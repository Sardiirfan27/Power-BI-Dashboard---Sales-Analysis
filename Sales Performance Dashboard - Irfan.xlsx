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charts/chart21.xml" ContentType="application/vnd.openxmlformats-officedocument.drawingml.chart+xml"/>
  <Override PartName="/xl/charts/style17.xml" ContentType="application/vnd.ms-office.chartstyle+xml"/>
  <Override PartName="/xl/charts/colors17.xml" ContentType="application/vnd.ms-office.chartcolorstyle+xml"/>
  <Override PartName="/xl/charts/chart22.xml" ContentType="application/vnd.openxmlformats-officedocument.drawingml.chart+xml"/>
  <Override PartName="/xl/charts/style18.xml" ContentType="application/vnd.ms-office.chartstyle+xml"/>
  <Override PartName="/xl/charts/colors18.xml" ContentType="application/vnd.ms-office.chartcolorstyle+xml"/>
  <Override PartName="/xl/charts/chart23.xml" ContentType="application/vnd.openxmlformats-officedocument.drawingml.chart+xml"/>
  <Override PartName="/xl/charts/style19.xml" ContentType="application/vnd.ms-office.chartstyle+xml"/>
  <Override PartName="/xl/charts/colors19.xml" ContentType="application/vnd.ms-office.chartcolorstyle+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charts/chart29.xml" ContentType="application/vnd.openxmlformats-officedocument.drawingml.chart+xml"/>
  <Override PartName="/xl/charts/style25.xml" ContentType="application/vnd.ms-office.chartstyle+xml"/>
  <Override PartName="/xl/charts/colors25.xml" ContentType="application/vnd.ms-office.chartcolorstyle+xml"/>
  <Override PartName="/xl/charts/chart30.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ardi\Downloads\"/>
    </mc:Choice>
  </mc:AlternateContent>
  <xr:revisionPtr revIDLastSave="0" documentId="8_{570927BD-7592-49CC-BA8B-8CFADFEA5D5D}" xr6:coauthVersionLast="47" xr6:coauthVersionMax="47" xr10:uidLastSave="{00000000-0000-0000-0000-000000000000}"/>
  <bookViews>
    <workbookView xWindow="-108" yWindow="-108" windowWidth="23256" windowHeight="12456" firstSheet="1" activeTab="3" xr2:uid="{8BC6D2D6-F757-0C4B-901B-94A06448BC91}"/>
  </bookViews>
  <sheets>
    <sheet name="Sheet1" sheetId="1" state="hidden" r:id="rId1"/>
    <sheet name="Database" sheetId="3" r:id="rId2"/>
    <sheet name="Pivot Tables" sheetId="4" r:id="rId3"/>
    <sheet name="Dashboard" sheetId="2" r:id="rId4"/>
    <sheet name="Dashboard (2)" sheetId="5" state="hidden" r:id="rId5"/>
  </sheets>
  <definedNames>
    <definedName name="_xlnm._FilterDatabase" localSheetId="2" hidden="1">'Pivot Tables'!$BY$4:$BZ$9</definedName>
    <definedName name="Slicer_Month">#N/A</definedName>
    <definedName name="Slicer_Sale_Team">#N/A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6" i="4" l="1"/>
  <c r="BG6" i="4" s="1"/>
  <c r="BF7" i="4"/>
  <c r="BG7" i="4" s="1"/>
  <c r="BF8" i="4"/>
  <c r="BG8" i="4" s="1"/>
  <c r="BF9" i="4"/>
  <c r="BG9" i="4" s="1"/>
  <c r="BF5" i="4"/>
  <c r="BG5" i="4" s="1"/>
  <c r="DI24" i="4"/>
  <c r="DD6" i="4"/>
  <c r="CS4" i="4"/>
  <c r="CT4" i="4"/>
  <c r="CU4" i="4"/>
  <c r="CV4" i="4"/>
  <c r="CW4" i="4"/>
  <c r="CR4" i="4"/>
  <c r="CO5" i="4"/>
  <c r="CO6" i="4"/>
  <c r="CO7" i="4"/>
  <c r="CO8" i="4"/>
  <c r="CO9" i="4"/>
  <c r="CO4" i="4"/>
  <c r="CB6" i="4"/>
  <c r="CC6" i="4"/>
  <c r="CB7" i="4"/>
  <c r="CC7" i="4"/>
  <c r="CB8" i="4"/>
  <c r="CC8" i="4"/>
  <c r="CC5" i="4"/>
  <c r="CB5" i="4"/>
  <c r="BR7" i="4"/>
  <c r="BR6" i="4"/>
  <c r="BR5" i="4"/>
  <c r="BM6" i="4"/>
  <c r="BN6" i="4"/>
  <c r="BM7" i="4"/>
  <c r="BN7" i="4"/>
  <c r="BM8" i="4"/>
  <c r="BN8" i="4"/>
  <c r="BM9" i="4"/>
  <c r="BN9" i="4"/>
  <c r="BM10" i="4"/>
  <c r="BN10" i="4"/>
  <c r="BM11" i="4"/>
  <c r="BN11" i="4"/>
  <c r="BM12" i="4"/>
  <c r="BN12" i="4"/>
  <c r="BM13" i="4"/>
  <c r="BN13" i="4"/>
  <c r="BM14" i="4"/>
  <c r="BN14" i="4"/>
  <c r="BM15" i="4"/>
  <c r="BN15" i="4"/>
  <c r="BM16" i="4"/>
  <c r="BN16" i="4"/>
  <c r="BN5" i="4"/>
  <c r="BM5" i="4"/>
  <c r="AD11" i="4"/>
  <c r="AD10" i="4"/>
  <c r="Z7" i="4"/>
  <c r="Z6" i="4"/>
  <c r="Z5" i="4"/>
  <c r="P6" i="4"/>
  <c r="Q6" i="4"/>
  <c r="P7" i="4"/>
  <c r="Q7" i="4"/>
  <c r="P8" i="4"/>
  <c r="Q8" i="4"/>
  <c r="P9" i="4"/>
  <c r="Q9" i="4"/>
  <c r="Q5" i="4"/>
  <c r="P5" i="4"/>
  <c r="I6" i="4"/>
  <c r="I5" i="4"/>
  <c r="AE10" i="4"/>
  <c r="CQ13" i="4"/>
  <c r="AE11" i="4"/>
  <c r="BP7" i="4" l="1"/>
  <c r="BP15" i="4"/>
  <c r="BO11" i="4"/>
  <c r="BP14" i="4"/>
  <c r="BO10" i="4"/>
  <c r="BP6" i="4"/>
  <c r="BP8" i="4"/>
  <c r="BP13" i="4"/>
  <c r="BP9" i="4"/>
  <c r="BO14" i="4"/>
  <c r="BP12" i="4"/>
  <c r="BO6" i="4"/>
  <c r="BP16" i="4"/>
  <c r="BO12" i="4"/>
  <c r="BP10" i="4"/>
  <c r="BO5" i="4"/>
  <c r="BO9" i="4"/>
  <c r="BO16" i="4"/>
  <c r="BO8" i="4"/>
  <c r="BO15" i="4"/>
  <c r="BO7" i="4"/>
  <c r="BP11" i="4"/>
  <c r="BO13" i="4"/>
  <c r="BP5" i="4"/>
  <c r="CR2" i="4"/>
  <c r="CS5" i="4" s="1"/>
  <c r="CU5" i="4" l="1"/>
  <c r="CT5" i="4"/>
  <c r="CR5" i="4"/>
  <c r="CW5" i="4"/>
  <c r="CV5" i="4"/>
</calcChain>
</file>

<file path=xl/sharedStrings.xml><?xml version="1.0" encoding="utf-8"?>
<sst xmlns="http://schemas.openxmlformats.org/spreadsheetml/2006/main" count="21397" uniqueCount="117">
  <si>
    <t>Fees Status</t>
  </si>
  <si>
    <t>Day</t>
  </si>
  <si>
    <t>Month</t>
  </si>
  <si>
    <t>Advertising Channel</t>
  </si>
  <si>
    <t xml:space="preserve">Advertisement </t>
  </si>
  <si>
    <t>Enrolled Courses</t>
  </si>
  <si>
    <t>Paid Fees</t>
  </si>
  <si>
    <t>Number of phone calls</t>
  </si>
  <si>
    <t>Average call duration</t>
  </si>
  <si>
    <t>Training Models</t>
  </si>
  <si>
    <t>Training Levels</t>
  </si>
  <si>
    <t>Area Code</t>
  </si>
  <si>
    <t>Sale Team</t>
  </si>
  <si>
    <t>Consultant</t>
  </si>
  <si>
    <t>Paid</t>
  </si>
  <si>
    <t>Apr</t>
  </si>
  <si>
    <t>Television Ad</t>
  </si>
  <si>
    <t>AD01-9364</t>
  </si>
  <si>
    <t>GK</t>
  </si>
  <si>
    <t>KJI. L4</t>
  </si>
  <si>
    <t>A7</t>
  </si>
  <si>
    <t>Jood</t>
  </si>
  <si>
    <t>Aug</t>
  </si>
  <si>
    <t>AD01-9361</t>
  </si>
  <si>
    <t>Pre. L8</t>
  </si>
  <si>
    <t>B13</t>
  </si>
  <si>
    <t>Kisho</t>
  </si>
  <si>
    <t>Sep</t>
  </si>
  <si>
    <t>Company Website</t>
  </si>
  <si>
    <t>Fndn. L5</t>
  </si>
  <si>
    <t>A1</t>
  </si>
  <si>
    <t>Rony</t>
  </si>
  <si>
    <t>Facebook Page</t>
  </si>
  <si>
    <t>A2</t>
  </si>
  <si>
    <t>Adam</t>
  </si>
  <si>
    <t>Fndn. L3</t>
  </si>
  <si>
    <t>Khalil</t>
  </si>
  <si>
    <t>Oct</t>
  </si>
  <si>
    <t>WhatsApp</t>
  </si>
  <si>
    <t>Fndn. L1</t>
  </si>
  <si>
    <t>A4</t>
  </si>
  <si>
    <t>Sahar</t>
  </si>
  <si>
    <t>AD01-9362</t>
  </si>
  <si>
    <t>B12</t>
  </si>
  <si>
    <t>Nov</t>
  </si>
  <si>
    <t>AD01-9363</t>
  </si>
  <si>
    <t>BE</t>
  </si>
  <si>
    <t>Pre. L2</t>
  </si>
  <si>
    <t>B18</t>
  </si>
  <si>
    <t>Google Ad</t>
  </si>
  <si>
    <t>Fndn. L6</t>
  </si>
  <si>
    <t>C8</t>
  </si>
  <si>
    <t>Mohmed</t>
  </si>
  <si>
    <t>Dary</t>
  </si>
  <si>
    <t>Reham</t>
  </si>
  <si>
    <t>Jan</t>
  </si>
  <si>
    <t>Pre. L3</t>
  </si>
  <si>
    <t>Feb</t>
  </si>
  <si>
    <t>Mar</t>
  </si>
  <si>
    <t>May</t>
  </si>
  <si>
    <t>Jun</t>
  </si>
  <si>
    <t>CNI</t>
  </si>
  <si>
    <t>Dina</t>
  </si>
  <si>
    <t>John</t>
  </si>
  <si>
    <t>Pre. L4</t>
  </si>
  <si>
    <t>Hisham</t>
  </si>
  <si>
    <t>Ahmed</t>
  </si>
  <si>
    <t>Hany</t>
  </si>
  <si>
    <t>AD01-9365</t>
  </si>
  <si>
    <t>Dec</t>
  </si>
  <si>
    <t>Not Paid</t>
  </si>
  <si>
    <t>Kenza</t>
  </si>
  <si>
    <t>Jul</t>
  </si>
  <si>
    <t>Youtube Channel</t>
  </si>
  <si>
    <t>FC</t>
  </si>
  <si>
    <t>Habib</t>
  </si>
  <si>
    <t>Mohammed</t>
  </si>
  <si>
    <t>Abdullah</t>
  </si>
  <si>
    <t>Salah</t>
  </si>
  <si>
    <t>Sum of Paid Fees</t>
  </si>
  <si>
    <t>Row Labels</t>
  </si>
  <si>
    <t>Count of Fees Status</t>
  </si>
  <si>
    <t>Total Earnings</t>
  </si>
  <si>
    <t>Total Calls</t>
  </si>
  <si>
    <t>Top 5 Consultant Sales Revenue</t>
  </si>
  <si>
    <t>Total Earnings by months</t>
  </si>
  <si>
    <t>Sum of Paid Fees2</t>
  </si>
  <si>
    <t>Max</t>
  </si>
  <si>
    <t>Avg</t>
  </si>
  <si>
    <t>Min</t>
  </si>
  <si>
    <t>Paid/unpaid calls</t>
  </si>
  <si>
    <t>Grand Total</t>
  </si>
  <si>
    <t>Sum of Enrolled Courses</t>
  </si>
  <si>
    <t>Average of Enrolled Courses</t>
  </si>
  <si>
    <t>Count of Area Code</t>
  </si>
  <si>
    <t>Training Level's Fees by Sales Team</t>
  </si>
  <si>
    <t>Enrolled Courses on Training Levels</t>
  </si>
  <si>
    <t>Top 5 Training Levels</t>
  </si>
  <si>
    <t>Average of Average call duration</t>
  </si>
  <si>
    <t>Duration</t>
  </si>
  <si>
    <t>min</t>
  </si>
  <si>
    <t>Consultants by sales</t>
  </si>
  <si>
    <t>Sales team by sales</t>
  </si>
  <si>
    <t>average calls by month</t>
  </si>
  <si>
    <t>Actual</t>
  </si>
  <si>
    <t>Difference between max</t>
  </si>
  <si>
    <t>max</t>
  </si>
  <si>
    <t>Paid Advertisement</t>
  </si>
  <si>
    <t>Count of Month</t>
  </si>
  <si>
    <t>Avg.</t>
  </si>
  <si>
    <t>Average calls by month</t>
  </si>
  <si>
    <t>Count of Month2</t>
  </si>
  <si>
    <t>Advertisements by total sales</t>
  </si>
  <si>
    <t>Column Labels</t>
  </si>
  <si>
    <t>Total ads</t>
  </si>
  <si>
    <t>Training Models Fees by Sales Team</t>
  </si>
  <si>
    <t>Training Models Fees by Consultants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</si>
</sst>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quot;$&quot;* #,##0.00_);_(&quot;$&quot;* \(#,##0.00\);_(&quot;$&quot;* &quot;-&quot;??_);_(@_)"/>
    <numFmt numFmtId="165" formatCode="[$EGP]\ #,##0_);\([$EGP]\ #,##0\)"/>
    <numFmt numFmtId="166" formatCode="[$NGN]\ #,##0"/>
    <numFmt numFmtId="167" formatCode="_-* #,##0_-;\-* #,##0_-;_-* &quot;-&quot;??_-;_-@_-"/>
    <numFmt numFmtId="168" formatCode="[&lt;999950]0.0,&quot;K&quot;;[&lt;999950000]0.0,,&quot;M&quot;;0.0,,,&quot;B&quot;"/>
  </numFmts>
  <fonts count="12" x14ac:knownFonts="1">
    <font>
      <sz val="12"/>
      <color theme="1"/>
      <name val="Calibri"/>
      <family val="2"/>
      <scheme val="minor"/>
    </font>
    <font>
      <sz val="12"/>
      <color theme="1"/>
      <name val="Calibri"/>
      <family val="2"/>
      <scheme val="minor"/>
    </font>
    <font>
      <b/>
      <sz val="12"/>
      <color theme="1"/>
      <name val="Calibri"/>
      <family val="2"/>
      <scheme val="minor"/>
    </font>
    <font>
      <sz val="10"/>
      <color rgb="FF000000"/>
      <name val="Arial"/>
      <family val="2"/>
    </font>
    <font>
      <sz val="11"/>
      <color theme="1"/>
      <name val="Arial"/>
      <family val="2"/>
    </font>
    <font>
      <b/>
      <sz val="11"/>
      <color theme="0"/>
      <name val="Arial"/>
      <family val="2"/>
    </font>
    <font>
      <sz val="12"/>
      <color theme="0"/>
      <name val="Calibri"/>
      <family val="2"/>
      <scheme val="minor"/>
    </font>
    <font>
      <sz val="11"/>
      <color theme="0"/>
      <name val="Arial"/>
      <family val="2"/>
    </font>
    <font>
      <sz val="11"/>
      <color rgb="FFFF7C80"/>
      <name val="Arial"/>
      <family val="2"/>
    </font>
    <font>
      <sz val="11"/>
      <color theme="1"/>
      <name val="Arial"/>
    </font>
    <font>
      <b/>
      <sz val="11"/>
      <color theme="0"/>
      <name val="Arial"/>
    </font>
    <font>
      <sz val="11"/>
      <color theme="0"/>
      <name val="Arial"/>
    </font>
  </fonts>
  <fills count="8">
    <fill>
      <patternFill patternType="none"/>
    </fill>
    <fill>
      <patternFill patternType="gray125"/>
    </fill>
    <fill>
      <patternFill patternType="solid">
        <fgColor theme="1" tint="4.9989318521683403E-2"/>
        <bgColor indexed="64"/>
      </patternFill>
    </fill>
    <fill>
      <patternFill patternType="solid">
        <fgColor rgb="FF362F4B"/>
        <bgColor indexed="64"/>
      </patternFill>
    </fill>
    <fill>
      <patternFill patternType="solid">
        <fgColor rgb="FFF6F6F6"/>
        <bgColor indexed="64"/>
      </patternFill>
    </fill>
    <fill>
      <patternFill patternType="solid">
        <fgColor rgb="FF4958CE"/>
        <bgColor indexed="64"/>
      </patternFill>
    </fill>
    <fill>
      <patternFill patternType="solid">
        <fgColor rgb="FFF1F0F5"/>
        <bgColor indexed="64"/>
      </patternFill>
    </fill>
    <fill>
      <patternFill patternType="solid">
        <fgColor theme="0"/>
        <bgColor indexed="64"/>
      </patternFill>
    </fill>
  </fills>
  <borders count="22">
    <border>
      <left/>
      <right/>
      <top/>
      <bottom/>
      <diagonal/>
    </border>
    <border>
      <left/>
      <right style="thin">
        <color rgb="FF4958CE"/>
      </right>
      <top/>
      <bottom/>
      <diagonal/>
    </border>
    <border>
      <left style="thin">
        <color theme="1" tint="0.34998626667073579"/>
      </left>
      <right/>
      <top/>
      <bottom/>
      <diagonal/>
    </border>
    <border>
      <left style="thin">
        <color theme="1" tint="0.34998626667073579"/>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style="thin">
        <color theme="1" tint="0.34998626667073579"/>
      </bottom>
      <diagonal/>
    </border>
    <border>
      <left/>
      <right style="thin">
        <color theme="1" tint="0.34998626667073579"/>
      </right>
      <top/>
      <bottom style="thin">
        <color theme="1" tint="0.34998626667073579"/>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164" fontId="1" fillId="0" borderId="0" applyFont="0" applyFill="0" applyBorder="0" applyAlignment="0" applyProtection="0"/>
    <xf numFmtId="0" fontId="3" fillId="0" borderId="0"/>
    <xf numFmtId="43" fontId="1" fillId="0" borderId="0" applyFont="0" applyFill="0" applyBorder="0" applyAlignment="0" applyProtection="0"/>
    <xf numFmtId="9" fontId="1" fillId="0" borderId="0" applyFont="0" applyFill="0" applyBorder="0" applyAlignment="0" applyProtection="0"/>
  </cellStyleXfs>
  <cellXfs count="76">
    <xf numFmtId="0" fontId="0" fillId="0" borderId="0" xfId="0"/>
    <xf numFmtId="165" fontId="4" fillId="0" borderId="0" xfId="1" applyNumberFormat="1" applyFont="1" applyFill="1" applyBorder="1" applyAlignment="1">
      <alignment horizontal="center" vertical="center"/>
    </xf>
    <xf numFmtId="0" fontId="4" fillId="0" borderId="0" xfId="2" applyFont="1" applyAlignment="1">
      <alignment horizontal="center" vertical="center"/>
    </xf>
    <xf numFmtId="1" fontId="4" fillId="0" borderId="0" xfId="2" applyNumberFormat="1" applyFont="1" applyAlignment="1">
      <alignment horizontal="center" vertical="center"/>
    </xf>
    <xf numFmtId="14" fontId="4" fillId="0" borderId="0" xfId="2" applyNumberFormat="1" applyFont="1" applyAlignment="1">
      <alignment horizontal="center" vertical="center"/>
    </xf>
    <xf numFmtId="3" fontId="4" fillId="0" borderId="0" xfId="2" applyNumberFormat="1" applyFont="1" applyAlignment="1">
      <alignment horizontal="center" vertical="center"/>
    </xf>
    <xf numFmtId="45" fontId="4" fillId="0" borderId="0" xfId="0" applyNumberFormat="1" applyFont="1" applyAlignment="1">
      <alignment horizontal="center" vertical="center"/>
    </xf>
    <xf numFmtId="0" fontId="2" fillId="0" borderId="0" xfId="0" applyFont="1"/>
    <xf numFmtId="0" fontId="5" fillId="2" borderId="0" xfId="2" applyFont="1" applyFill="1" applyAlignment="1">
      <alignment horizontal="center" vertical="center"/>
    </xf>
    <xf numFmtId="15" fontId="5" fillId="2" borderId="0" xfId="2" applyNumberFormat="1" applyFont="1" applyFill="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horizontal="center" vertical="center" wrapText="1"/>
    </xf>
    <xf numFmtId="0" fontId="4" fillId="4" borderId="0" xfId="2" applyFont="1" applyFill="1" applyAlignment="1">
      <alignment horizontal="center" vertical="center"/>
    </xf>
    <xf numFmtId="1" fontId="4" fillId="4" borderId="0" xfId="2" applyNumberFormat="1" applyFont="1" applyFill="1" applyAlignment="1">
      <alignment horizontal="center" vertical="center"/>
    </xf>
    <xf numFmtId="14" fontId="4" fillId="4" borderId="0" xfId="2" applyNumberFormat="1" applyFont="1" applyFill="1" applyAlignment="1">
      <alignment horizontal="center" vertical="center"/>
    </xf>
    <xf numFmtId="3" fontId="4" fillId="4" borderId="0" xfId="2" applyNumberFormat="1" applyFont="1" applyFill="1" applyAlignment="1">
      <alignment horizontal="center" vertical="center"/>
    </xf>
    <xf numFmtId="45" fontId="4" fillId="4" borderId="0" xfId="0" applyNumberFormat="1" applyFont="1" applyFill="1" applyAlignment="1">
      <alignment horizontal="center" vertical="center"/>
    </xf>
    <xf numFmtId="0" fontId="0" fillId="5" borderId="1" xfId="0" applyFill="1" applyBorder="1"/>
    <xf numFmtId="0" fontId="2" fillId="5" borderId="1" xfId="0" applyFont="1" applyFill="1" applyBorder="1"/>
    <xf numFmtId="0" fontId="0" fillId="6" borderId="0" xfId="0" applyFill="1"/>
    <xf numFmtId="166" fontId="4" fillId="0" borderId="0" xfId="1" applyNumberFormat="1" applyFont="1" applyFill="1" applyBorder="1" applyAlignment="1">
      <alignment horizontal="center" vertical="center"/>
    </xf>
    <xf numFmtId="166" fontId="4" fillId="4" borderId="0" xfId="1" applyNumberFormat="1" applyFont="1" applyFill="1" applyBorder="1" applyAlignment="1">
      <alignment horizontal="center" vertical="center"/>
    </xf>
    <xf numFmtId="0" fontId="7" fillId="5" borderId="0" xfId="0" applyFont="1" applyFill="1"/>
    <xf numFmtId="0" fontId="4" fillId="0" borderId="0" xfId="0" applyFont="1"/>
    <xf numFmtId="0" fontId="4" fillId="0" borderId="2" xfId="0" applyFont="1" applyBorder="1"/>
    <xf numFmtId="0" fontId="4" fillId="0" borderId="0" xfId="0" applyFont="1" applyAlignment="1">
      <alignment horizontal="left"/>
    </xf>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8" fillId="0" borderId="0" xfId="0" applyFont="1"/>
    <xf numFmtId="0" fontId="8" fillId="0" borderId="2" xfId="0" applyFont="1" applyBorder="1"/>
    <xf numFmtId="167" fontId="4" fillId="0" borderId="0" xfId="3" applyNumberFormat="1" applyFont="1"/>
    <xf numFmtId="0" fontId="4" fillId="0" borderId="7" xfId="0" applyFont="1" applyBorder="1"/>
    <xf numFmtId="167" fontId="4" fillId="0" borderId="8" xfId="3" applyNumberFormat="1" applyFont="1" applyBorder="1"/>
    <xf numFmtId="0" fontId="4" fillId="0" borderId="9" xfId="0" applyFont="1" applyBorder="1"/>
    <xf numFmtId="167" fontId="4" fillId="0" borderId="10" xfId="3" applyNumberFormat="1" applyFont="1" applyBorder="1"/>
    <xf numFmtId="0" fontId="4" fillId="0" borderId="11" xfId="0" applyFont="1" applyBorder="1"/>
    <xf numFmtId="167" fontId="4" fillId="0" borderId="12" xfId="3" applyNumberFormat="1" applyFont="1" applyBorder="1"/>
    <xf numFmtId="0" fontId="4" fillId="0" borderId="13" xfId="0" applyFont="1" applyBorder="1"/>
    <xf numFmtId="9" fontId="4" fillId="0" borderId="8" xfId="4" applyFont="1" applyBorder="1"/>
    <xf numFmtId="9" fontId="4" fillId="0" borderId="12" xfId="4" applyFont="1" applyBorder="1"/>
    <xf numFmtId="0" fontId="4" fillId="5" borderId="0" xfId="0" applyFont="1" applyFill="1"/>
    <xf numFmtId="168" fontId="4" fillId="0" borderId="0" xfId="0" applyNumberFormat="1" applyFont="1"/>
    <xf numFmtId="0" fontId="4" fillId="0" borderId="14" xfId="0" applyFont="1" applyBorder="1"/>
    <xf numFmtId="168" fontId="7" fillId="5" borderId="0" xfId="0" applyNumberFormat="1" applyFont="1" applyFill="1"/>
    <xf numFmtId="0" fontId="9" fillId="0" borderId="0" xfId="0" applyFont="1" applyAlignment="1">
      <alignment horizontal="left"/>
    </xf>
    <xf numFmtId="45" fontId="4" fillId="0" borderId="0" xfId="0" applyNumberFormat="1" applyFont="1"/>
    <xf numFmtId="45" fontId="7" fillId="5" borderId="0" xfId="0" applyNumberFormat="1" applyFont="1" applyFill="1"/>
    <xf numFmtId="0" fontId="5" fillId="5" borderId="15" xfId="0" applyFont="1" applyFill="1" applyBorder="1"/>
    <xf numFmtId="168" fontId="9" fillId="0" borderId="0" xfId="0" applyNumberFormat="1" applyFont="1"/>
    <xf numFmtId="0" fontId="10" fillId="5" borderId="15" xfId="0" applyFont="1" applyFill="1" applyBorder="1"/>
    <xf numFmtId="168" fontId="9" fillId="0" borderId="8" xfId="0" applyNumberFormat="1" applyFont="1" applyBorder="1"/>
    <xf numFmtId="168" fontId="9" fillId="0" borderId="10" xfId="0" applyNumberFormat="1" applyFont="1" applyBorder="1"/>
    <xf numFmtId="168" fontId="9" fillId="0" borderId="12" xfId="0" applyNumberFormat="1" applyFont="1" applyBorder="1"/>
    <xf numFmtId="0" fontId="9" fillId="0" borderId="16" xfId="0" applyFont="1" applyBorder="1" applyAlignment="1">
      <alignment horizontal="left"/>
    </xf>
    <xf numFmtId="168" fontId="9" fillId="0" borderId="16" xfId="0" applyNumberFormat="1" applyFont="1" applyBorder="1"/>
    <xf numFmtId="168" fontId="8" fillId="0" borderId="0" xfId="0" applyNumberFormat="1" applyFont="1"/>
    <xf numFmtId="0" fontId="10" fillId="5" borderId="0" xfId="0" applyFont="1" applyFill="1" applyAlignment="1">
      <alignment horizontal="center" vertical="center" wrapText="1"/>
    </xf>
    <xf numFmtId="0" fontId="4" fillId="0" borderId="17" xfId="0" applyFont="1" applyBorder="1"/>
    <xf numFmtId="168" fontId="9" fillId="0" borderId="17" xfId="0" applyNumberFormat="1" applyFont="1" applyBorder="1"/>
    <xf numFmtId="0" fontId="4" fillId="0" borderId="18" xfId="0" applyFont="1" applyBorder="1" applyAlignment="1">
      <alignment horizontal="center"/>
    </xf>
    <xf numFmtId="168" fontId="9" fillId="0" borderId="19" xfId="0" applyNumberFormat="1" applyFont="1" applyBorder="1" applyAlignment="1">
      <alignment horizontal="center"/>
    </xf>
    <xf numFmtId="0" fontId="4" fillId="0" borderId="20" xfId="0" applyFont="1" applyBorder="1"/>
    <xf numFmtId="1" fontId="4" fillId="0" borderId="21" xfId="0" applyNumberFormat="1" applyFont="1" applyBorder="1"/>
    <xf numFmtId="0" fontId="0" fillId="0" borderId="18" xfId="0" applyBorder="1" applyAlignment="1">
      <alignment horizontal="center" vertical="center"/>
    </xf>
    <xf numFmtId="0" fontId="0" fillId="0" borderId="19" xfId="0" applyBorder="1" applyAlignment="1">
      <alignment horizontal="center" vertical="center"/>
    </xf>
    <xf numFmtId="0" fontId="11" fillId="5" borderId="0" xfId="0" applyFont="1" applyFill="1"/>
    <xf numFmtId="0" fontId="9" fillId="0" borderId="0" xfId="0" applyFont="1"/>
    <xf numFmtId="0" fontId="9" fillId="5" borderId="0" xfId="0" applyFont="1" applyFill="1"/>
    <xf numFmtId="2" fontId="9" fillId="7" borderId="0" xfId="0" applyNumberFormat="1" applyFont="1" applyFill="1"/>
    <xf numFmtId="1" fontId="9" fillId="7" borderId="0" xfId="0" applyNumberFormat="1" applyFont="1" applyFill="1"/>
    <xf numFmtId="168" fontId="11" fillId="5" borderId="0" xfId="0" applyNumberFormat="1" applyFont="1" applyFill="1"/>
    <xf numFmtId="0" fontId="11" fillId="5" borderId="0" xfId="0" applyFont="1" applyFill="1" applyAlignment="1">
      <alignment horizontal="left"/>
    </xf>
    <xf numFmtId="0" fontId="9" fillId="0" borderId="0" xfId="0" applyFont="1" applyAlignment="1">
      <alignment horizontal="left" indent="1"/>
    </xf>
    <xf numFmtId="3" fontId="9" fillId="0" borderId="0" xfId="0" applyNumberFormat="1" applyFont="1"/>
  </cellXfs>
  <cellStyles count="5">
    <cellStyle name="Comma" xfId="3" builtinId="3"/>
    <cellStyle name="Currency" xfId="1" builtinId="4"/>
    <cellStyle name="Normal" xfId="0" builtinId="0"/>
    <cellStyle name="Normal 2" xfId="2" xr:uid="{956AD3D9-F9E9-1446-BC34-0D686802592F}"/>
    <cellStyle name="Percent" xfId="4" builtinId="5"/>
  </cellStyles>
  <dxfs count="602">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font>
        <color theme="0"/>
      </font>
      <fill>
        <patternFill patternType="solid">
          <fgColor indexed="64"/>
          <bgColor rgb="FF4958CE"/>
        </patternFill>
      </fill>
    </dxf>
    <dxf>
      <border>
        <left/>
        <right/>
        <top/>
        <vertical/>
        <horizontal/>
      </border>
    </dxf>
    <dxf>
      <font>
        <color theme="0"/>
      </font>
      <fill>
        <patternFill patternType="solid">
          <fgColor indexed="64"/>
          <bgColor rgb="FF4958CE"/>
        </patternFill>
      </fill>
    </dxf>
    <dxf>
      <font>
        <color theme="0"/>
      </font>
      <fill>
        <patternFill patternType="solid">
          <fgColor indexed="64"/>
          <bgColor rgb="FF4958CE"/>
        </patternFill>
      </fill>
    </dxf>
    <dxf>
      <fill>
        <patternFill patternType="solid">
          <fgColor indexed="64"/>
          <bgColor rgb="FF4958CE"/>
        </patternFill>
      </fill>
    </dxf>
    <dxf>
      <fill>
        <patternFill patternType="solid">
          <fgColor indexed="64"/>
          <bgColor rgb="FF4958CE"/>
        </patternFill>
      </fill>
    </dxf>
    <dxf>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border>
        <left/>
        <right/>
        <top/>
        <vertical/>
        <horizontal/>
      </border>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font>
        <color theme="0"/>
      </font>
      <fill>
        <patternFill patternType="solid">
          <fgColor indexed="64"/>
          <bgColor rgb="FF4958CE"/>
        </patternFill>
      </fill>
    </dxf>
    <dxf>
      <font>
        <color theme="0"/>
      </font>
      <fill>
        <patternFill patternType="solid">
          <fgColor indexed="64"/>
          <bgColor rgb="FF4958CE"/>
        </patternFill>
      </fill>
    </dxf>
    <dxf>
      <fill>
        <patternFill patternType="solid">
          <fgColor indexed="64"/>
          <bgColor rgb="FF4958CE"/>
        </patternFill>
      </fill>
    </dxf>
    <dxf>
      <fill>
        <patternFill patternType="solid">
          <fgColor indexed="64"/>
          <bgColor rgb="FF4958CE"/>
        </patternFill>
      </fill>
    </dxf>
    <dxf>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28" formatCode="mm:ss"/>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1" formatCode="0"/>
    </dxf>
    <dxf>
      <fill>
        <patternFill>
          <bgColor theme="0"/>
        </patternFill>
      </fill>
    </dxf>
    <dxf>
      <font>
        <color theme="1"/>
      </font>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ill>
        <patternFill patternType="solid">
          <fgColor indexed="64"/>
          <bgColor rgb="FF4958CE"/>
        </patternFill>
      </fill>
    </dxf>
    <dxf>
      <fill>
        <patternFill patternType="solid">
          <fgColor indexed="64"/>
          <bgColor rgb="FF4958CE"/>
        </patternFill>
      </fill>
    </dxf>
    <dxf>
      <numFmt numFmtId="168" formatCode="[&lt;999950]0.0,&quot;K&quot;;[&lt;999950000]0.0,,&quot;M&quot;;0.0,,,&quot;B&quot;"/>
    </dxf>
    <dxf>
      <fill>
        <patternFill patternType="solid">
          <bgColor rgb="FF4958CE"/>
        </patternFill>
      </fill>
    </dxf>
    <dxf>
      <font>
        <color theme="0"/>
      </font>
      <fill>
        <patternFill patternType="solid">
          <fgColor indexed="64"/>
          <bgColor rgb="FF4958CE"/>
        </patternFill>
      </fill>
    </dxf>
    <dxf>
      <font>
        <color theme="0"/>
      </font>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4958CE"/>
        </patternFill>
      </fill>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border>
        <left/>
        <right/>
        <top/>
        <vertical/>
        <horizontal/>
      </border>
    </dxf>
    <dxf>
      <font>
        <color theme="0"/>
      </font>
      <fill>
        <patternFill patternType="solid">
          <fgColor indexed="64"/>
          <bgColor rgb="FF4958CE"/>
        </patternFill>
      </fill>
    </dxf>
    <dxf>
      <font>
        <color theme="0"/>
      </font>
      <fill>
        <patternFill patternType="solid">
          <fgColor indexed="64"/>
          <bgColor rgb="FF4958CE"/>
        </patternFill>
      </fill>
    </dxf>
    <dxf>
      <fill>
        <patternFill patternType="solid">
          <fgColor indexed="64"/>
          <bgColor rgb="FF4958CE"/>
        </patternFill>
      </fill>
    </dxf>
    <dxf>
      <fill>
        <patternFill patternType="solid">
          <fgColor indexed="64"/>
          <bgColor rgb="FF4958CE"/>
        </patternFill>
      </fill>
    </dxf>
    <dxf>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2" formatCode="0.00"/>
    </dxf>
    <dxf>
      <fill>
        <patternFill>
          <bgColor theme="0"/>
        </patternFill>
      </fill>
    </dxf>
    <dxf>
      <font>
        <color theme="1"/>
      </font>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0" formatCode="Genera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border>
        <left/>
        <right/>
        <top/>
        <vertical/>
        <horizontal/>
      </border>
    </dxf>
    <dxf>
      <font>
        <color theme="0"/>
      </font>
      <fill>
        <patternFill patternType="solid">
          <fgColor indexed="64"/>
          <bgColor rgb="FF4958CE"/>
        </patternFill>
      </fill>
    </dxf>
    <dxf>
      <font>
        <color theme="0"/>
      </font>
      <fill>
        <patternFill patternType="solid">
          <fgColor indexed="64"/>
          <bgColor rgb="FF4958CE"/>
        </patternFill>
      </fill>
    </dxf>
    <dxf>
      <fill>
        <patternFill patternType="solid">
          <fgColor indexed="64"/>
          <bgColor rgb="FF4958CE"/>
        </patternFill>
      </fill>
    </dxf>
    <dxf>
      <fill>
        <patternFill patternType="solid">
          <fgColor indexed="64"/>
          <bgColor rgb="FF4958CE"/>
        </patternFill>
      </fill>
    </dxf>
    <dxf>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font>
        <color theme="0"/>
      </font>
    </dxf>
    <dxf>
      <font>
        <color theme="0"/>
      </font>
      <fill>
        <patternFill patternType="solid">
          <fgColor indexed="64"/>
          <bgColor rgb="FF4958CE"/>
        </patternFill>
      </fill>
    </dxf>
    <dxf>
      <font>
        <color theme="0"/>
      </font>
      <fill>
        <patternFill patternType="solid">
          <fgColor indexed="64"/>
          <bgColor rgb="FF4958CE"/>
        </patternFill>
      </fill>
    </dxf>
    <dxf>
      <font>
        <color theme="0"/>
      </font>
    </dxf>
    <dxf>
      <fill>
        <patternFill patternType="solid">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4958CE"/>
        </patternFill>
      </fill>
    </dxf>
    <dxf>
      <numFmt numFmtId="0" formatCode="General"/>
      <fill>
        <patternFill patternType="none">
          <fgColor indexed="64"/>
          <bgColor indexed="65"/>
        </patternFill>
      </fill>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3" formatCode="#,##0"/>
    </dxf>
    <dxf>
      <font>
        <color theme="0"/>
      </font>
      <fill>
        <patternFill patternType="solid">
          <fgColor indexed="64"/>
          <bgColor rgb="FF4958CE"/>
        </patternFill>
      </fill>
    </dxf>
    <dxf>
      <font>
        <color theme="0"/>
      </font>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font>
        <color theme="0"/>
      </font>
      <fill>
        <patternFill patternType="solid">
          <fgColor indexed="64"/>
          <bgColor rgb="FF4958CE"/>
        </patternFill>
      </fill>
    </dxf>
    <dxf>
      <font>
        <color theme="0"/>
      </font>
    </dxf>
    <dxf>
      <font>
        <color theme="0"/>
      </font>
      <fill>
        <patternFill patternType="solid">
          <fgColor indexed="64"/>
          <bgColor rgb="FF4958CE"/>
        </patternFill>
      </fill>
    </dxf>
    <dxf>
      <font>
        <color theme="0"/>
      </font>
      <fill>
        <patternFill patternType="solid">
          <fgColor indexed="64"/>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dxf>
    <dxf>
      <fill>
        <patternFill patternType="solid">
          <bgColor rgb="FF4958CE"/>
        </patternFill>
      </fill>
    </dxf>
    <dxf>
      <numFmt numFmtId="168" formatCode="[&lt;999950]0.0,&quot;K&quot;;[&lt;999950000]0.0,,&quot;M&quot;;0.0,,,&quot;B&quot;"/>
      <fill>
        <patternFill patternType="none">
          <fgColor indexed="64"/>
          <bgColor indexed="65"/>
        </patternFill>
      </fill>
    </dxf>
    <dxf>
      <font>
        <color theme="0"/>
      </font>
      <fill>
        <patternFill patternType="solid">
          <fgColor indexed="64"/>
          <bgColor rgb="FF4958CE"/>
        </patternFill>
      </fill>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8" formatCode="[&lt;999950]0.0,&quot;K&quot;;[&lt;999950000]0.0,,&quot;M&quot;;0.0,,,&quot;B&quot;"/>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dxf>
    <dxf>
      <font>
        <color theme="0"/>
      </font>
      <fill>
        <patternFill patternType="solid">
          <fgColor indexed="64"/>
          <bgColor rgb="FF4958CE"/>
        </patternFill>
      </fill>
      <alignment horizontal="general" vertical="bottom" textRotation="0" wrapText="0" indent="0" justifyLastLine="0" shrinkToFit="0" readingOrder="0"/>
    </dxf>
    <dxf>
      <fill>
        <patternFill patternType="solid">
          <bgColor rgb="FF4958CE"/>
        </patternFill>
      </fill>
    </dxf>
    <dxf>
      <font>
        <sz val="11"/>
      </font>
    </dxf>
    <dxf>
      <font>
        <sz val="11"/>
      </font>
    </dxf>
    <dxf>
      <font>
        <sz val="11"/>
      </font>
    </dxf>
    <dxf>
      <font>
        <name val="Arial"/>
        <scheme val="none"/>
      </font>
    </dxf>
    <dxf>
      <font>
        <name val="Arial"/>
        <scheme val="none"/>
      </font>
    </dxf>
    <dxf>
      <font>
        <name val="Arial"/>
        <scheme val="none"/>
      </font>
    </dxf>
    <dxf>
      <font>
        <color theme="0"/>
      </font>
    </dxf>
    <dxf>
      <fill>
        <patternFill patternType="solid">
          <bgColor rgb="FF4958CE"/>
        </patternFill>
      </fill>
    </dxf>
    <dxf>
      <font>
        <sz val="11"/>
        <color theme="1"/>
        <name val="Abadi"/>
        <family val="2"/>
        <scheme val="none"/>
      </font>
      <fill>
        <patternFill>
          <bgColor theme="0"/>
        </patternFill>
      </fill>
      <border diagonalUp="0" diagonalDown="0">
        <left/>
        <right/>
        <top/>
        <bottom/>
        <vertical/>
        <horizontal/>
      </border>
    </dxf>
    <dxf>
      <font>
        <sz val="11"/>
        <color theme="0"/>
        <name val="Abadi"/>
        <family val="2"/>
        <scheme val="none"/>
      </font>
      <fill>
        <patternFill>
          <bgColor theme="9" tint="0.59996337778862885"/>
        </patternFill>
      </fill>
      <border diagonalUp="0" diagonalDown="0">
        <left/>
        <right/>
        <top/>
        <bottom/>
        <vertical/>
        <horizontal/>
      </border>
    </dxf>
  </dxfs>
  <tableStyles count="3" defaultTableStyle="TableStyleMedium2" defaultPivotStyle="PivotStyleLight16">
    <tableStyle name="My first slicer" pivot="0" table="0" count="3" xr9:uid="{C83B83BB-DBA2-4266-A212-D76248C21403}">
      <tableStyleElement type="wholeTable" dxfId="601"/>
    </tableStyle>
    <tableStyle name="My style" pivot="0" table="0" count="0" xr9:uid="{9E1CE91A-DC0B-45C1-BB8A-391E4549E708}"/>
    <tableStyle name="second" pivot="0" table="0" count="3" xr9:uid="{10558E19-6ADF-4041-842C-B583485DB0A5}">
      <tableStyleElement type="wholeTable" dxfId="600"/>
    </tableStyle>
  </tableStyles>
  <colors>
    <mruColors>
      <color rgb="FFF1F0F5"/>
      <color rgb="FFD5D2E9"/>
      <color rgb="FF8D7EF3"/>
      <color rgb="FFD3DBEF"/>
      <color rgb="FF4958CE"/>
      <color rgb="FFA13F9E"/>
      <color rgb="FFFF7C80"/>
      <color rgb="FF00B626"/>
      <color rgb="FFF1F2FE"/>
      <color rgb="FF0AEAE0"/>
    </mruColors>
  </colors>
  <extLst>
    <ext xmlns:x14="http://schemas.microsoft.com/office/spreadsheetml/2009/9/main" uri="{46F421CA-312F-682f-3DD2-61675219B42D}">
      <x14:dxfs count="3">
        <dxf>
          <font>
            <sz val="11"/>
            <color theme="0"/>
            <name val="Abadi"/>
            <family val="2"/>
            <scheme val="none"/>
          </font>
          <fill>
            <patternFill>
              <bgColor rgb="FF7030A0"/>
            </patternFill>
          </fill>
        </dxf>
        <dxf>
          <font>
            <sz val="11"/>
            <color theme="1"/>
            <name val="Abadi"/>
            <family val="2"/>
            <scheme val="none"/>
          </font>
          <fill>
            <patternFill>
              <bgColor theme="0"/>
            </patternFill>
          </fill>
        </dxf>
        <dxf>
          <font>
            <sz val="11"/>
            <color theme="0"/>
            <name val="Abadi"/>
            <family val="2"/>
            <scheme val="none"/>
          </font>
          <fill>
            <patternFill>
              <bgColor theme="9" tint="0.39994506668294322"/>
            </patternFill>
          </fill>
        </dxf>
      </x14:dxfs>
    </ext>
    <ext xmlns:x14="http://schemas.microsoft.com/office/spreadsheetml/2009/9/main" uri="{EB79DEF2-80B8-43e5-95BD-54CBDDF9020C}">
      <x14:slicerStyles defaultSlicerStyle="SlicerStyleLight1">
        <x14:slicerStyle name="My first slicer">
          <x14:slicerStyleElements>
            <x14:slicerStyleElement type="selectedItemWithData"/>
            <x14:slicerStyleElement type="hoveredSelectedItemWithData" dxfId="2"/>
          </x14:slicerStyleElements>
        </x14:slicerStyle>
        <x14:slicerStyle name="My style"/>
        <x14:slicerStyle name="second">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Tables!Average number of Calls by month</c:name>
    <c:fmtId val="48"/>
  </c:pivotSource>
  <c:chart>
    <c:autoTitleDeleted val="0"/>
    <c:pivotFmts>
      <c:pivotFmt>
        <c:idx val="0"/>
        <c:spPr>
          <a:ln w="2222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7C80">
                  <a:alpha val="26000"/>
                </a:srgbClr>
              </a:gs>
              <a:gs pos="87000">
                <a:srgbClr val="FF7C80">
                  <a:alpha val="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Tables'!$DB$4</c:f>
              <c:strCache>
                <c:ptCount val="1"/>
                <c:pt idx="0">
                  <c:v>Count of Month2</c:v>
                </c:pt>
              </c:strCache>
            </c:strRef>
          </c:tx>
          <c:spPr>
            <a:gradFill>
              <a:gsLst>
                <a:gs pos="0">
                  <a:srgbClr val="FF7C80">
                    <a:alpha val="26000"/>
                  </a:srgbClr>
                </a:gs>
                <a:gs pos="87000">
                  <a:srgbClr val="FF7C80">
                    <a:alpha val="0"/>
                  </a:srgbClr>
                </a:gs>
              </a:gsLst>
              <a:lin ang="5400000" scaled="1"/>
            </a:gradFill>
            <a:ln>
              <a:noFill/>
            </a:ln>
            <a:effectLst/>
          </c:spPr>
          <c:cat>
            <c:strRef>
              <c:f>'Pivot Tables'!$CZ$5:$CZ$17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Tables'!$DB$5:$DB$17</c:f>
              <c:numCache>
                <c:formatCode>General</c:formatCode>
                <c:ptCount val="12"/>
                <c:pt idx="0">
                  <c:v>68</c:v>
                </c:pt>
                <c:pt idx="1">
                  <c:v>66</c:v>
                </c:pt>
                <c:pt idx="2">
                  <c:v>30</c:v>
                </c:pt>
                <c:pt idx="3">
                  <c:v>38</c:v>
                </c:pt>
                <c:pt idx="4">
                  <c:v>86</c:v>
                </c:pt>
                <c:pt idx="5">
                  <c:v>42</c:v>
                </c:pt>
                <c:pt idx="6">
                  <c:v>38</c:v>
                </c:pt>
                <c:pt idx="7">
                  <c:v>79</c:v>
                </c:pt>
                <c:pt idx="8">
                  <c:v>173</c:v>
                </c:pt>
                <c:pt idx="9">
                  <c:v>278</c:v>
                </c:pt>
                <c:pt idx="10">
                  <c:v>212</c:v>
                </c:pt>
                <c:pt idx="11">
                  <c:v>127</c:v>
                </c:pt>
              </c:numCache>
            </c:numRef>
          </c:val>
          <c:extLst>
            <c:ext xmlns:c16="http://schemas.microsoft.com/office/drawing/2014/chart" uri="{C3380CC4-5D6E-409C-BE32-E72D297353CC}">
              <c16:uniqueId val="{00000003-3A0C-4CB8-8E91-C471CA099F60}"/>
            </c:ext>
          </c:extLst>
        </c:ser>
        <c:dLbls>
          <c:showLegendKey val="0"/>
          <c:showVal val="0"/>
          <c:showCatName val="0"/>
          <c:showSerName val="0"/>
          <c:showPercent val="0"/>
          <c:showBubbleSize val="0"/>
        </c:dLbls>
        <c:axId val="657903"/>
        <c:axId val="150896863"/>
      </c:areaChart>
      <c:lineChart>
        <c:grouping val="standard"/>
        <c:varyColors val="0"/>
        <c:ser>
          <c:idx val="0"/>
          <c:order val="0"/>
          <c:tx>
            <c:strRef>
              <c:f>'Pivot Tables'!$DA$4</c:f>
              <c:strCache>
                <c:ptCount val="1"/>
                <c:pt idx="0">
                  <c:v>Count of Month</c:v>
                </c:pt>
              </c:strCache>
            </c:strRef>
          </c:tx>
          <c:spPr>
            <a:ln w="22225" cap="rnd">
              <a:solidFill>
                <a:srgbClr val="00B626"/>
              </a:solidFill>
              <a:round/>
            </a:ln>
            <a:effectLst/>
          </c:spPr>
          <c:marker>
            <c:symbol val="none"/>
          </c:marker>
          <c:cat>
            <c:strRef>
              <c:f>'Pivot Tables'!$CZ$5:$CZ$17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Tables'!$DA$5:$DA$17</c:f>
              <c:numCache>
                <c:formatCode>General</c:formatCode>
                <c:ptCount val="12"/>
                <c:pt idx="0">
                  <c:v>68</c:v>
                </c:pt>
                <c:pt idx="1">
                  <c:v>66</c:v>
                </c:pt>
                <c:pt idx="2">
                  <c:v>30</c:v>
                </c:pt>
                <c:pt idx="3">
                  <c:v>38</c:v>
                </c:pt>
                <c:pt idx="4">
                  <c:v>86</c:v>
                </c:pt>
                <c:pt idx="5">
                  <c:v>42</c:v>
                </c:pt>
                <c:pt idx="6">
                  <c:v>38</c:v>
                </c:pt>
                <c:pt idx="7">
                  <c:v>79</c:v>
                </c:pt>
                <c:pt idx="8">
                  <c:v>173</c:v>
                </c:pt>
                <c:pt idx="9">
                  <c:v>278</c:v>
                </c:pt>
                <c:pt idx="10">
                  <c:v>212</c:v>
                </c:pt>
                <c:pt idx="11">
                  <c:v>127</c:v>
                </c:pt>
              </c:numCache>
            </c:numRef>
          </c:val>
          <c:smooth val="1"/>
          <c:extLst>
            <c:ext xmlns:c16="http://schemas.microsoft.com/office/drawing/2014/chart" uri="{C3380CC4-5D6E-409C-BE32-E72D297353CC}">
              <c16:uniqueId val="{00000000-3A0C-4CB8-8E91-C471CA099F60}"/>
            </c:ext>
          </c:extLst>
        </c:ser>
        <c:dLbls>
          <c:showLegendKey val="0"/>
          <c:showVal val="0"/>
          <c:showCatName val="0"/>
          <c:showSerName val="0"/>
          <c:showPercent val="0"/>
          <c:showBubbleSize val="0"/>
        </c:dLbls>
        <c:marker val="1"/>
        <c:smooth val="0"/>
        <c:axId val="657903"/>
        <c:axId val="150896863"/>
      </c:lineChart>
      <c:catAx>
        <c:axId val="657903"/>
        <c:scaling>
          <c:orientation val="minMax"/>
        </c:scaling>
        <c:delete val="1"/>
        <c:axPos val="b"/>
        <c:numFmt formatCode="General" sourceLinked="1"/>
        <c:majorTickMark val="none"/>
        <c:minorTickMark val="none"/>
        <c:tickLblPos val="nextTo"/>
        <c:crossAx val="150896863"/>
        <c:crosses val="autoZero"/>
        <c:auto val="1"/>
        <c:lblAlgn val="ctr"/>
        <c:lblOffset val="100"/>
        <c:noMultiLvlLbl val="0"/>
      </c:catAx>
      <c:valAx>
        <c:axId val="150896863"/>
        <c:scaling>
          <c:orientation val="minMax"/>
        </c:scaling>
        <c:delete val="1"/>
        <c:axPos val="l"/>
        <c:numFmt formatCode="General" sourceLinked="1"/>
        <c:majorTickMark val="none"/>
        <c:minorTickMark val="none"/>
        <c:tickLblPos val="nextTo"/>
        <c:crossAx val="65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Tables!total earnings by month</c:name>
    <c:fmtId val="5"/>
  </c:pivotSource>
  <c:chart>
    <c:autoTitleDeleted val="1"/>
    <c:pivotFmts>
      <c:pivotFmt>
        <c:idx val="0"/>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35000">
                <a:srgbClr val="FF7C80">
                  <a:alpha val="0"/>
                </a:srgbClr>
              </a:gs>
              <a:gs pos="0">
                <a:srgbClr val="FF7C80">
                  <a:alpha val="40000"/>
                </a:srgbClr>
              </a:gs>
            </a:gsLst>
            <a:lin ang="5400000" scaled="1"/>
          </a:gradFill>
          <a:ln>
            <a:noFill/>
          </a:ln>
          <a:effectLst/>
        </c:spPr>
        <c:marker>
          <c:symbol val="none"/>
        </c:marker>
      </c:pivotFmt>
      <c:pivotFmt>
        <c:idx val="4"/>
        <c:spPr>
          <a:gradFill>
            <a:gsLst>
              <a:gs pos="35000">
                <a:srgbClr val="FF7C80">
                  <a:alpha val="0"/>
                </a:srgbClr>
              </a:gs>
              <a:gs pos="0">
                <a:srgbClr val="FF7C80">
                  <a:alpha val="4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35000">
                <a:srgbClr val="FF7C80">
                  <a:alpha val="0"/>
                </a:srgbClr>
              </a:gs>
              <a:gs pos="0">
                <a:srgbClr val="FF7C80">
                  <a:alpha val="4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158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49024199843872E-2"/>
          <c:y val="3.6781609195402298E-2"/>
          <c:w val="0.97501951600312253"/>
          <c:h val="0.9264367816091954"/>
        </c:manualLayout>
      </c:layout>
      <c:areaChart>
        <c:grouping val="standard"/>
        <c:varyColors val="0"/>
        <c:ser>
          <c:idx val="1"/>
          <c:order val="1"/>
          <c:tx>
            <c:strRef>
              <c:f>'Pivot Tables'!$V$4</c:f>
              <c:strCache>
                <c:ptCount val="1"/>
                <c:pt idx="0">
                  <c:v>Sum of Paid Fees2</c:v>
                </c:pt>
              </c:strCache>
            </c:strRef>
          </c:tx>
          <c:spPr>
            <a:gradFill>
              <a:gsLst>
                <a:gs pos="35000">
                  <a:srgbClr val="FF7C80">
                    <a:alpha val="0"/>
                  </a:srgbClr>
                </a:gs>
                <a:gs pos="0">
                  <a:srgbClr val="FF7C80">
                    <a:alpha val="40000"/>
                  </a:srgbClr>
                </a:gs>
              </a:gsLst>
              <a:lin ang="5400000" scaled="1"/>
            </a:gradFill>
            <a:ln>
              <a:noFill/>
            </a:ln>
            <a:effectLst/>
          </c:spPr>
          <c:cat>
            <c:strRef>
              <c:f>'Pivot Tables'!$T$5:$T$16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Tables'!$V$5:$V$16</c:f>
              <c:numCache>
                <c:formatCode>General</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extLst>
            <c:ext xmlns:c16="http://schemas.microsoft.com/office/drawing/2014/chart" uri="{C3380CC4-5D6E-409C-BE32-E72D297353CC}">
              <c16:uniqueId val="{00000000-E932-4603-BEA7-8DEDE6A92485}"/>
            </c:ext>
          </c:extLst>
        </c:ser>
        <c:dLbls>
          <c:showLegendKey val="0"/>
          <c:showVal val="0"/>
          <c:showCatName val="0"/>
          <c:showSerName val="0"/>
          <c:showPercent val="0"/>
          <c:showBubbleSize val="0"/>
        </c:dLbls>
        <c:axId val="750846367"/>
        <c:axId val="1309249263"/>
      </c:areaChart>
      <c:lineChart>
        <c:grouping val="standard"/>
        <c:varyColors val="0"/>
        <c:ser>
          <c:idx val="0"/>
          <c:order val="0"/>
          <c:tx>
            <c:strRef>
              <c:f>'Pivot Tables'!$U$4</c:f>
              <c:strCache>
                <c:ptCount val="1"/>
                <c:pt idx="0">
                  <c:v>Sum of Paid Fees</c:v>
                </c:pt>
              </c:strCache>
            </c:strRef>
          </c:tx>
          <c:spPr>
            <a:ln w="15875" cap="rnd">
              <a:solidFill>
                <a:srgbClr val="7030A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Tables'!$T$5:$T$16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Tables'!$U$5:$U$16</c:f>
              <c:numCache>
                <c:formatCode>[&lt;999950]0.0,"K";[&lt;999950000]0.0,,"M";0.0,,,"B"</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smooth val="1"/>
          <c:extLst>
            <c:ext xmlns:c16="http://schemas.microsoft.com/office/drawing/2014/chart" uri="{C3380CC4-5D6E-409C-BE32-E72D297353CC}">
              <c16:uniqueId val="{00000001-E932-4603-BEA7-8DEDE6A92485}"/>
            </c:ext>
          </c:extLst>
        </c:ser>
        <c:dLbls>
          <c:dLblPos val="t"/>
          <c:showLegendKey val="0"/>
          <c:showVal val="1"/>
          <c:showCatName val="0"/>
          <c:showSerName val="0"/>
          <c:showPercent val="0"/>
          <c:showBubbleSize val="0"/>
        </c:dLbls>
        <c:marker val="1"/>
        <c:smooth val="0"/>
        <c:axId val="750846367"/>
        <c:axId val="1309249263"/>
      </c:lineChart>
      <c:catAx>
        <c:axId val="750846367"/>
        <c:scaling>
          <c:orientation val="minMax"/>
        </c:scaling>
        <c:delete val="1"/>
        <c:axPos val="b"/>
        <c:numFmt formatCode="General" sourceLinked="1"/>
        <c:majorTickMark val="none"/>
        <c:minorTickMark val="none"/>
        <c:tickLblPos val="nextTo"/>
        <c:crossAx val="1309249263"/>
        <c:crosses val="autoZero"/>
        <c:auto val="1"/>
        <c:lblAlgn val="ctr"/>
        <c:lblOffset val="100"/>
        <c:noMultiLvlLbl val="0"/>
      </c:catAx>
      <c:valAx>
        <c:axId val="1309249263"/>
        <c:scaling>
          <c:orientation val="minMax"/>
        </c:scaling>
        <c:delete val="1"/>
        <c:axPos val="l"/>
        <c:numFmt formatCode="General" sourceLinked="1"/>
        <c:majorTickMark val="none"/>
        <c:minorTickMark val="none"/>
        <c:tickLblPos val="nextTo"/>
        <c:crossAx val="75084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Tables!PivotTable6</c:name>
    <c:fmtId val="11"/>
  </c:pivotSource>
  <c:chart>
    <c:autoTitleDeleted val="1"/>
    <c:pivotFmts>
      <c:pivotFmt>
        <c:idx val="0"/>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bg1">
              <a:lumMod val="95000"/>
            </a:schemeClr>
          </a:solidFill>
          <a:ln w="19050">
            <a:solidFill>
              <a:schemeClr val="lt1"/>
            </a:solidFill>
          </a:ln>
          <a:effectLst/>
        </c:spPr>
      </c:pivotFmt>
      <c:pivotFmt>
        <c:idx val="2"/>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rgbClr val="00B626"/>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00B626"/>
          </a:solidFill>
          <a:ln w="19050">
            <a:solidFill>
              <a:schemeClr val="lt1"/>
            </a:solidFill>
          </a:ln>
          <a:effectLst/>
        </c:spPr>
      </c:pivotFmt>
      <c:pivotFmt>
        <c:idx val="7"/>
        <c:spPr>
          <a:solidFill>
            <a:schemeClr val="bg1">
              <a:lumMod val="95000"/>
            </a:schemeClr>
          </a:solidFill>
          <a:ln w="19050">
            <a:solidFill>
              <a:schemeClr val="lt1"/>
            </a:solidFill>
          </a:ln>
          <a:effectLst/>
        </c:spPr>
      </c:pivotFmt>
      <c:pivotFmt>
        <c:idx val="8"/>
        <c:spPr>
          <a:solidFill>
            <a:srgbClr val="00B626"/>
          </a:solidFill>
        </c:spPr>
        <c:marker>
          <c:symbol val="none"/>
        </c:marker>
        <c:dLbl>
          <c:idx val="0"/>
          <c:delete val="1"/>
          <c:extLst>
            <c:ext xmlns:c15="http://schemas.microsoft.com/office/drawing/2012/chart" uri="{CE6537A1-D6FC-4f65-9D91-7224C49458BB}"/>
          </c:extLst>
        </c:dLbl>
      </c:pivotFmt>
      <c:pivotFmt>
        <c:idx val="9"/>
        <c:spPr>
          <a:solidFill>
            <a:srgbClr val="00B626"/>
          </a:solidFill>
          <a:ln w="19050">
            <a:solidFill>
              <a:schemeClr val="lt1"/>
            </a:solidFill>
          </a:ln>
          <a:effectLst/>
        </c:spPr>
      </c:pivotFmt>
      <c:pivotFmt>
        <c:idx val="10"/>
        <c:spPr>
          <a:solidFill>
            <a:schemeClr val="bg1">
              <a:lumMod val="95000"/>
            </a:schemeClr>
          </a:solidFill>
          <a:ln w="19050">
            <a:solidFill>
              <a:schemeClr val="lt1"/>
            </a:solidFill>
          </a:ln>
          <a:effectLst/>
        </c:spPr>
      </c:pivotFmt>
      <c:pivotFmt>
        <c:idx val="11"/>
        <c:spPr>
          <a:solidFill>
            <a:srgbClr val="00B626"/>
          </a:solidFill>
        </c:spPr>
        <c:marker>
          <c:symbol val="none"/>
        </c:marker>
        <c:dLbl>
          <c:idx val="0"/>
          <c:delete val="1"/>
          <c:extLst>
            <c:ext xmlns:c15="http://schemas.microsoft.com/office/drawing/2012/chart" uri="{CE6537A1-D6FC-4f65-9D91-7224C49458BB}"/>
          </c:extLst>
        </c:dLbl>
      </c:pivotFmt>
      <c:pivotFmt>
        <c:idx val="12"/>
        <c:spPr>
          <a:solidFill>
            <a:srgbClr val="00B626"/>
          </a:solidFill>
          <a:ln w="19050">
            <a:solidFill>
              <a:schemeClr val="lt1"/>
            </a:solidFill>
          </a:ln>
          <a:effectLst/>
        </c:spPr>
      </c:pivotFmt>
      <c:pivotFmt>
        <c:idx val="13"/>
        <c:spPr>
          <a:solidFill>
            <a:schemeClr val="bg1">
              <a:lumMod val="95000"/>
            </a:schemeClr>
          </a:solidFill>
          <a:ln w="19050">
            <a:solidFill>
              <a:schemeClr val="lt1"/>
            </a:solidFill>
          </a:ln>
          <a:effectLst/>
        </c:spPr>
      </c:pivotFmt>
      <c:pivotFmt>
        <c:idx val="14"/>
        <c:spPr>
          <a:solidFill>
            <a:srgbClr val="00B626"/>
          </a:solidFill>
        </c:spPr>
        <c:marker>
          <c:symbol val="none"/>
        </c:marker>
        <c:dLbl>
          <c:idx val="0"/>
          <c:delete val="1"/>
          <c:extLst>
            <c:ext xmlns:c15="http://schemas.microsoft.com/office/drawing/2012/chart" uri="{CE6537A1-D6FC-4f65-9D91-7224C49458BB}"/>
          </c:extLst>
        </c:dLbl>
      </c:pivotFmt>
      <c:pivotFmt>
        <c:idx val="15"/>
        <c:spPr>
          <a:solidFill>
            <a:srgbClr val="00B626"/>
          </a:solidFill>
          <a:ln w="19050">
            <a:solidFill>
              <a:schemeClr val="lt1"/>
            </a:solidFill>
          </a:ln>
          <a:effectLst/>
        </c:spPr>
      </c:pivotFmt>
      <c:pivotFmt>
        <c:idx val="16"/>
        <c:spPr>
          <a:solidFill>
            <a:schemeClr val="bg1">
              <a:lumMod val="95000"/>
            </a:schemeClr>
          </a:solidFill>
          <a:ln w="19050">
            <a:solidFill>
              <a:schemeClr val="lt1"/>
            </a:solidFill>
          </a:ln>
          <a:effectLst/>
        </c:spPr>
      </c:pivotFmt>
      <c:pivotFmt>
        <c:idx val="17"/>
        <c:spPr>
          <a:solidFill>
            <a:srgbClr val="00B626"/>
          </a:solidFill>
        </c:spPr>
        <c:marker>
          <c:symbol val="none"/>
        </c:marker>
        <c:dLbl>
          <c:idx val="0"/>
          <c:delete val="1"/>
          <c:extLst>
            <c:ext xmlns:c15="http://schemas.microsoft.com/office/drawing/2012/chart" uri="{CE6537A1-D6FC-4f65-9D91-7224C49458BB}"/>
          </c:extLst>
        </c:dLbl>
      </c:pivotFmt>
      <c:pivotFmt>
        <c:idx val="18"/>
        <c:spPr>
          <a:solidFill>
            <a:srgbClr val="00B626"/>
          </a:solidFill>
          <a:ln w="19050">
            <a:solidFill>
              <a:schemeClr val="lt1"/>
            </a:solidFill>
          </a:ln>
          <a:effectLst/>
        </c:spPr>
      </c:pivotFmt>
      <c:pivotFmt>
        <c:idx val="19"/>
        <c:spPr>
          <a:solidFill>
            <a:schemeClr val="bg1">
              <a:lumMod val="95000"/>
            </a:schemeClr>
          </a:solidFill>
          <a:ln w="19050">
            <a:solidFill>
              <a:schemeClr val="lt1"/>
            </a:solidFill>
          </a:ln>
          <a:effectLst/>
        </c:spPr>
      </c:pivotFmt>
      <c:pivotFmt>
        <c:idx val="20"/>
        <c:spPr>
          <a:solidFill>
            <a:srgbClr val="00B626"/>
          </a:solidFill>
        </c:spPr>
        <c:marker>
          <c:symbol val="none"/>
        </c:marker>
        <c:dLbl>
          <c:idx val="0"/>
          <c:delete val="1"/>
          <c:extLst>
            <c:ext xmlns:c15="http://schemas.microsoft.com/office/drawing/2012/chart" uri="{CE6537A1-D6FC-4f65-9D91-7224C49458BB}"/>
          </c:extLst>
        </c:dLbl>
      </c:pivotFmt>
      <c:pivotFmt>
        <c:idx val="21"/>
        <c:spPr>
          <a:solidFill>
            <a:srgbClr val="00B626"/>
          </a:solidFill>
          <a:ln w="19050">
            <a:solidFill>
              <a:schemeClr val="lt1"/>
            </a:solidFill>
          </a:ln>
          <a:effectLst/>
        </c:spPr>
      </c:pivotFmt>
      <c:pivotFmt>
        <c:idx val="22"/>
        <c:spPr>
          <a:solidFill>
            <a:schemeClr val="bg1">
              <a:lumMod val="95000"/>
            </a:schemeClr>
          </a:solidFill>
          <a:ln w="19050">
            <a:solidFill>
              <a:schemeClr val="lt1"/>
            </a:solidFill>
          </a:ln>
          <a:effectLst/>
        </c:spPr>
      </c:pivotFmt>
      <c:pivotFmt>
        <c:idx val="23"/>
        <c:spPr>
          <a:solidFill>
            <a:srgbClr val="00B626"/>
          </a:solidFill>
        </c:spPr>
        <c:marker>
          <c:symbol val="none"/>
        </c:marker>
        <c:dLbl>
          <c:idx val="0"/>
          <c:delete val="1"/>
          <c:extLst>
            <c:ext xmlns:c15="http://schemas.microsoft.com/office/drawing/2012/chart" uri="{CE6537A1-D6FC-4f65-9D91-7224C49458BB}"/>
          </c:extLst>
        </c:dLbl>
      </c:pivotFmt>
      <c:pivotFmt>
        <c:idx val="24"/>
        <c:spPr>
          <a:solidFill>
            <a:srgbClr val="00B626"/>
          </a:solidFill>
          <a:ln w="19050">
            <a:solidFill>
              <a:schemeClr val="lt1"/>
            </a:solidFill>
          </a:ln>
          <a:effectLst/>
        </c:spPr>
      </c:pivotFmt>
      <c:pivotFmt>
        <c:idx val="25"/>
        <c:spPr>
          <a:solidFill>
            <a:schemeClr val="bg1">
              <a:lumMod val="95000"/>
            </a:schemeClr>
          </a:solidFill>
          <a:ln w="19050">
            <a:solidFill>
              <a:schemeClr val="lt1"/>
            </a:solidFill>
          </a:ln>
          <a:effectLst/>
        </c:spPr>
      </c:pivotFmt>
    </c:pivotFmts>
    <c:plotArea>
      <c:layout/>
      <c:doughnutChart>
        <c:varyColors val="1"/>
        <c:ser>
          <c:idx val="0"/>
          <c:order val="0"/>
          <c:tx>
            <c:strRef>
              <c:f>'Pivot Tables'!$AD$4</c:f>
              <c:strCache>
                <c:ptCount val="1"/>
                <c:pt idx="0">
                  <c:v>Total</c:v>
                </c:pt>
              </c:strCache>
            </c:strRef>
          </c:tx>
          <c:spPr>
            <a:solidFill>
              <a:srgbClr val="00B626"/>
            </a:solidFill>
          </c:spPr>
          <c:dPt>
            <c:idx val="0"/>
            <c:bubble3D val="0"/>
            <c:spPr>
              <a:solidFill>
                <a:srgbClr val="00B626"/>
              </a:solidFill>
              <a:ln w="19050">
                <a:solidFill>
                  <a:schemeClr val="lt1"/>
                </a:solidFill>
              </a:ln>
              <a:effectLst/>
            </c:spPr>
            <c:extLst>
              <c:ext xmlns:c16="http://schemas.microsoft.com/office/drawing/2014/chart" uri="{C3380CC4-5D6E-409C-BE32-E72D297353CC}">
                <c16:uniqueId val="{00000001-4261-41F8-AC52-12C2CCC31CE6}"/>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4261-41F8-AC52-12C2CCC31CE6}"/>
              </c:ext>
            </c:extLst>
          </c:dPt>
          <c:cat>
            <c:strRef>
              <c:f>'Pivot Tables'!$AC$5:$AC$7</c:f>
              <c:strCache>
                <c:ptCount val="2"/>
                <c:pt idx="0">
                  <c:v>Paid</c:v>
                </c:pt>
                <c:pt idx="1">
                  <c:v>Not Paid</c:v>
                </c:pt>
              </c:strCache>
            </c:strRef>
          </c:cat>
          <c:val>
            <c:numRef>
              <c:f>'Pivot Tables'!$AD$5:$AD$7</c:f>
              <c:numCache>
                <c:formatCode>General</c:formatCode>
                <c:ptCount val="2"/>
                <c:pt idx="0">
                  <c:v>926</c:v>
                </c:pt>
                <c:pt idx="1">
                  <c:v>311</c:v>
                </c:pt>
              </c:numCache>
            </c:numRef>
          </c:val>
          <c:extLst>
            <c:ext xmlns:c16="http://schemas.microsoft.com/office/drawing/2014/chart" uri="{C3380CC4-5D6E-409C-BE32-E72D297353CC}">
              <c16:uniqueId val="{00000004-4261-41F8-AC52-12C2CCC31CE6}"/>
            </c:ext>
          </c:extLst>
        </c:ser>
        <c:dLbls>
          <c:showLegendKey val="0"/>
          <c:showVal val="0"/>
          <c:showCatName val="0"/>
          <c:showSerName val="0"/>
          <c:showPercent val="0"/>
          <c:showBubbleSize val="0"/>
          <c:showLeaderLines val="1"/>
        </c:dLbls>
        <c:firstSliceAng val="0"/>
        <c:holeSize val="75"/>
      </c:doughnutChart>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Tables!PivotTable6</c:name>
    <c:fmtId val="12"/>
  </c:pivotSource>
  <c:chart>
    <c:autoTitleDeleted val="1"/>
    <c:pivotFmts>
      <c:pivotFmt>
        <c:idx val="0"/>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bg1">
              <a:lumMod val="95000"/>
            </a:schemeClr>
          </a:solidFill>
          <a:ln w="19050">
            <a:solidFill>
              <a:schemeClr val="lt1"/>
            </a:solidFill>
          </a:ln>
          <a:effectLst/>
        </c:spPr>
      </c:pivotFmt>
      <c:pivotFmt>
        <c:idx val="2"/>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rgbClr val="00B626"/>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00B626"/>
          </a:solidFill>
          <a:ln w="19050">
            <a:solidFill>
              <a:schemeClr val="lt1"/>
            </a:solidFill>
          </a:ln>
          <a:effectLst/>
        </c:spPr>
      </c:pivotFmt>
      <c:pivotFmt>
        <c:idx val="7"/>
        <c:spPr>
          <a:solidFill>
            <a:schemeClr val="bg1">
              <a:lumMod val="95000"/>
            </a:schemeClr>
          </a:solidFill>
          <a:ln w="19050">
            <a:solidFill>
              <a:schemeClr val="lt1"/>
            </a:solidFill>
          </a:ln>
          <a:effectLst/>
        </c:spPr>
      </c:pivotFmt>
      <c:pivotFmt>
        <c:idx val="8"/>
        <c:spPr>
          <a:solidFill>
            <a:srgbClr val="00B626"/>
          </a:solidFill>
        </c:spPr>
        <c:marker>
          <c:symbol val="none"/>
        </c:marker>
        <c:dLbl>
          <c:idx val="0"/>
          <c:delete val="1"/>
          <c:extLst>
            <c:ext xmlns:c15="http://schemas.microsoft.com/office/drawing/2012/chart" uri="{CE6537A1-D6FC-4f65-9D91-7224C49458BB}"/>
          </c:extLst>
        </c:dLbl>
      </c:pivotFmt>
      <c:pivotFmt>
        <c:idx val="9"/>
        <c:spPr>
          <a:solidFill>
            <a:srgbClr val="00B626"/>
          </a:solidFill>
          <a:ln w="19050">
            <a:solidFill>
              <a:schemeClr val="lt1"/>
            </a:solidFill>
          </a:ln>
          <a:effectLst/>
        </c:spPr>
      </c:pivotFmt>
      <c:pivotFmt>
        <c:idx val="10"/>
        <c:spPr>
          <a:solidFill>
            <a:schemeClr val="bg1">
              <a:lumMod val="95000"/>
            </a:schemeClr>
          </a:solidFill>
          <a:ln w="19050">
            <a:solidFill>
              <a:schemeClr val="lt1"/>
            </a:solidFill>
          </a:ln>
          <a:effectLst/>
        </c:spPr>
      </c:pivotFmt>
      <c:pivotFmt>
        <c:idx val="11"/>
        <c:spPr>
          <a:solidFill>
            <a:srgbClr val="00B626"/>
          </a:solidFill>
        </c:spPr>
        <c:marker>
          <c:symbol val="none"/>
        </c:marker>
        <c:dLbl>
          <c:idx val="0"/>
          <c:delete val="1"/>
          <c:extLst>
            <c:ext xmlns:c15="http://schemas.microsoft.com/office/drawing/2012/chart" uri="{CE6537A1-D6FC-4f65-9D91-7224C49458BB}"/>
          </c:extLst>
        </c:dLbl>
      </c:pivotFmt>
      <c:pivotFmt>
        <c:idx val="12"/>
        <c:spPr>
          <a:solidFill>
            <a:srgbClr val="00B626"/>
          </a:solidFill>
          <a:ln w="19050">
            <a:solidFill>
              <a:schemeClr val="lt1"/>
            </a:solidFill>
          </a:ln>
          <a:effectLst/>
        </c:spPr>
      </c:pivotFmt>
      <c:pivotFmt>
        <c:idx val="13"/>
        <c:spPr>
          <a:solidFill>
            <a:schemeClr val="bg1">
              <a:lumMod val="95000"/>
            </a:schemeClr>
          </a:solidFill>
          <a:ln w="19050">
            <a:solidFill>
              <a:schemeClr val="lt1"/>
            </a:solidFill>
          </a:ln>
          <a:effectLst/>
        </c:spPr>
      </c:pivotFmt>
      <c:pivotFmt>
        <c:idx val="14"/>
        <c:spPr>
          <a:solidFill>
            <a:srgbClr val="00B626"/>
          </a:solidFill>
        </c:spPr>
        <c:marker>
          <c:symbol val="none"/>
        </c:marker>
        <c:dLbl>
          <c:idx val="0"/>
          <c:delete val="1"/>
          <c:extLst>
            <c:ext xmlns:c15="http://schemas.microsoft.com/office/drawing/2012/chart" uri="{CE6537A1-D6FC-4f65-9D91-7224C49458BB}"/>
          </c:extLst>
        </c:dLbl>
      </c:pivotFmt>
      <c:pivotFmt>
        <c:idx val="15"/>
        <c:spPr>
          <a:solidFill>
            <a:srgbClr val="00B626"/>
          </a:solidFill>
          <a:ln w="19050">
            <a:solidFill>
              <a:schemeClr val="lt1"/>
            </a:solidFill>
          </a:ln>
          <a:effectLst/>
        </c:spPr>
      </c:pivotFmt>
      <c:pivotFmt>
        <c:idx val="16"/>
        <c:spPr>
          <a:solidFill>
            <a:schemeClr val="bg1">
              <a:lumMod val="95000"/>
            </a:schemeClr>
          </a:solidFill>
          <a:ln w="19050">
            <a:solidFill>
              <a:schemeClr val="lt1"/>
            </a:solidFill>
          </a:ln>
          <a:effectLst/>
        </c:spPr>
      </c:pivotFmt>
      <c:pivotFmt>
        <c:idx val="17"/>
        <c:spPr>
          <a:solidFill>
            <a:srgbClr val="00B626"/>
          </a:solidFill>
        </c:spPr>
        <c:marker>
          <c:symbol val="none"/>
        </c:marker>
        <c:dLbl>
          <c:idx val="0"/>
          <c:delete val="1"/>
          <c:extLst>
            <c:ext xmlns:c15="http://schemas.microsoft.com/office/drawing/2012/chart" uri="{CE6537A1-D6FC-4f65-9D91-7224C49458BB}"/>
          </c:extLst>
        </c:dLbl>
      </c:pivotFmt>
      <c:pivotFmt>
        <c:idx val="18"/>
        <c:spPr>
          <a:solidFill>
            <a:srgbClr val="00B626"/>
          </a:solidFill>
          <a:ln w="19050">
            <a:solidFill>
              <a:schemeClr val="lt1"/>
            </a:solidFill>
          </a:ln>
          <a:effectLst/>
        </c:spPr>
      </c:pivotFmt>
      <c:pivotFmt>
        <c:idx val="19"/>
        <c:spPr>
          <a:solidFill>
            <a:schemeClr val="bg1">
              <a:lumMod val="95000"/>
            </a:schemeClr>
          </a:solidFill>
          <a:ln w="19050">
            <a:solidFill>
              <a:schemeClr val="lt1"/>
            </a:solidFill>
          </a:ln>
          <a:effectLst/>
        </c:spPr>
      </c:pivotFmt>
      <c:pivotFmt>
        <c:idx val="20"/>
        <c:spPr>
          <a:solidFill>
            <a:srgbClr val="00B626"/>
          </a:solidFill>
        </c:spPr>
        <c:marker>
          <c:symbol val="none"/>
        </c:marker>
        <c:dLbl>
          <c:idx val="0"/>
          <c:delete val="1"/>
          <c:extLst>
            <c:ext xmlns:c15="http://schemas.microsoft.com/office/drawing/2012/chart" uri="{CE6537A1-D6FC-4f65-9D91-7224C49458BB}"/>
          </c:extLst>
        </c:dLbl>
      </c:pivotFmt>
      <c:pivotFmt>
        <c:idx val="21"/>
        <c:spPr>
          <a:solidFill>
            <a:srgbClr val="00B626"/>
          </a:solidFill>
          <a:ln w="19050">
            <a:solidFill>
              <a:schemeClr val="lt1"/>
            </a:solidFill>
          </a:ln>
          <a:effectLst/>
        </c:spPr>
      </c:pivotFmt>
      <c:pivotFmt>
        <c:idx val="22"/>
        <c:spPr>
          <a:solidFill>
            <a:schemeClr val="bg1">
              <a:lumMod val="95000"/>
            </a:schemeClr>
          </a:solidFill>
          <a:ln w="19050">
            <a:solidFill>
              <a:schemeClr val="lt1"/>
            </a:solidFill>
          </a:ln>
          <a:effectLst/>
        </c:spPr>
      </c:pivotFmt>
      <c:pivotFmt>
        <c:idx val="23"/>
        <c:spPr>
          <a:solidFill>
            <a:schemeClr val="bg1">
              <a:lumMod val="95000"/>
            </a:schemeClr>
          </a:solidFill>
        </c:spPr>
        <c:marker>
          <c:symbol val="none"/>
        </c:marker>
        <c:dLbl>
          <c:idx val="0"/>
          <c:delete val="1"/>
          <c:extLst>
            <c:ext xmlns:c15="http://schemas.microsoft.com/office/drawing/2012/chart" uri="{CE6537A1-D6FC-4f65-9D91-7224C49458BB}"/>
          </c:extLst>
        </c:dLbl>
      </c:pivotFmt>
      <c:pivotFmt>
        <c:idx val="24"/>
        <c:spPr>
          <a:solidFill>
            <a:schemeClr val="bg1">
              <a:lumMod val="95000"/>
            </a:schemeClr>
          </a:solidFill>
          <a:ln w="19050">
            <a:solidFill>
              <a:schemeClr val="lt1"/>
            </a:solidFill>
          </a:ln>
          <a:effectLst/>
        </c:spPr>
      </c:pivotFmt>
      <c:pivotFmt>
        <c:idx val="25"/>
        <c:spPr>
          <a:solidFill>
            <a:srgbClr val="FF7C80"/>
          </a:solidFill>
          <a:ln w="19050">
            <a:solidFill>
              <a:schemeClr val="lt1"/>
            </a:solidFill>
          </a:ln>
          <a:effectLst/>
        </c:spPr>
      </c:pivotFmt>
      <c:pivotFmt>
        <c:idx val="26"/>
        <c:spPr>
          <a:solidFill>
            <a:schemeClr val="bg1">
              <a:lumMod val="95000"/>
            </a:schemeClr>
          </a:solidFill>
        </c:spPr>
        <c:marker>
          <c:symbol val="none"/>
        </c:marker>
        <c:dLbl>
          <c:idx val="0"/>
          <c:delete val="1"/>
          <c:extLst>
            <c:ext xmlns:c15="http://schemas.microsoft.com/office/drawing/2012/chart" uri="{CE6537A1-D6FC-4f65-9D91-7224C49458BB}"/>
          </c:extLst>
        </c:dLbl>
      </c:pivotFmt>
      <c:pivotFmt>
        <c:idx val="27"/>
        <c:spPr>
          <a:solidFill>
            <a:schemeClr val="bg1">
              <a:lumMod val="95000"/>
            </a:schemeClr>
          </a:solidFill>
          <a:ln w="19050">
            <a:solidFill>
              <a:schemeClr val="lt1"/>
            </a:solidFill>
          </a:ln>
          <a:effectLst/>
        </c:spPr>
      </c:pivotFmt>
      <c:pivotFmt>
        <c:idx val="28"/>
        <c:spPr>
          <a:solidFill>
            <a:srgbClr val="FF7C80"/>
          </a:solidFill>
          <a:ln w="19050">
            <a:solidFill>
              <a:schemeClr val="lt1"/>
            </a:solidFill>
          </a:ln>
          <a:effectLst/>
        </c:spPr>
      </c:pivotFmt>
      <c:pivotFmt>
        <c:idx val="29"/>
        <c:spPr>
          <a:solidFill>
            <a:schemeClr val="bg1">
              <a:lumMod val="95000"/>
            </a:schemeClr>
          </a:solidFill>
        </c:spPr>
        <c:marker>
          <c:symbol val="none"/>
        </c:marker>
        <c:dLbl>
          <c:idx val="0"/>
          <c:delete val="1"/>
          <c:extLst>
            <c:ext xmlns:c15="http://schemas.microsoft.com/office/drawing/2012/chart" uri="{CE6537A1-D6FC-4f65-9D91-7224C49458BB}"/>
          </c:extLst>
        </c:dLbl>
      </c:pivotFmt>
      <c:pivotFmt>
        <c:idx val="30"/>
        <c:spPr>
          <a:solidFill>
            <a:schemeClr val="bg1">
              <a:lumMod val="95000"/>
            </a:schemeClr>
          </a:solidFill>
          <a:ln w="19050">
            <a:solidFill>
              <a:schemeClr val="lt1"/>
            </a:solidFill>
          </a:ln>
          <a:effectLst/>
        </c:spPr>
      </c:pivotFmt>
      <c:pivotFmt>
        <c:idx val="31"/>
        <c:spPr>
          <a:solidFill>
            <a:srgbClr val="FF7C80"/>
          </a:solidFill>
          <a:ln w="19050">
            <a:solidFill>
              <a:schemeClr val="lt1"/>
            </a:solidFill>
          </a:ln>
          <a:effectLst/>
        </c:spPr>
      </c:pivotFmt>
    </c:pivotFmts>
    <c:plotArea>
      <c:layout/>
      <c:doughnutChart>
        <c:varyColors val="1"/>
        <c:ser>
          <c:idx val="0"/>
          <c:order val="0"/>
          <c:tx>
            <c:strRef>
              <c:f>'Pivot Tables'!$AD$4</c:f>
              <c:strCache>
                <c:ptCount val="1"/>
                <c:pt idx="0">
                  <c:v>Total</c:v>
                </c:pt>
              </c:strCache>
            </c:strRef>
          </c:tx>
          <c:spPr>
            <a:solidFill>
              <a:schemeClr val="bg1">
                <a:lumMod val="95000"/>
              </a:schemeClr>
            </a:solidFill>
          </c:spPr>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C0E2-4E02-A7F7-14E066DAB8CD}"/>
              </c:ext>
            </c:extLst>
          </c:dPt>
          <c:dPt>
            <c:idx val="1"/>
            <c:bubble3D val="0"/>
            <c:spPr>
              <a:solidFill>
                <a:srgbClr val="FF7C80"/>
              </a:solidFill>
              <a:ln w="19050">
                <a:solidFill>
                  <a:schemeClr val="lt1"/>
                </a:solidFill>
              </a:ln>
              <a:effectLst/>
            </c:spPr>
            <c:extLst>
              <c:ext xmlns:c16="http://schemas.microsoft.com/office/drawing/2014/chart" uri="{C3380CC4-5D6E-409C-BE32-E72D297353CC}">
                <c16:uniqueId val="{00000003-C0E2-4E02-A7F7-14E066DAB8CD}"/>
              </c:ext>
            </c:extLst>
          </c:dPt>
          <c:cat>
            <c:strRef>
              <c:f>'Pivot Tables'!$AC$5:$AC$7</c:f>
              <c:strCache>
                <c:ptCount val="2"/>
                <c:pt idx="0">
                  <c:v>Paid</c:v>
                </c:pt>
                <c:pt idx="1">
                  <c:v>Not Paid</c:v>
                </c:pt>
              </c:strCache>
            </c:strRef>
          </c:cat>
          <c:val>
            <c:numRef>
              <c:f>'Pivot Tables'!$AD$5:$AD$7</c:f>
              <c:numCache>
                <c:formatCode>General</c:formatCode>
                <c:ptCount val="2"/>
                <c:pt idx="0">
                  <c:v>926</c:v>
                </c:pt>
                <c:pt idx="1">
                  <c:v>311</c:v>
                </c:pt>
              </c:numCache>
            </c:numRef>
          </c:val>
          <c:extLst>
            <c:ext xmlns:c16="http://schemas.microsoft.com/office/drawing/2014/chart" uri="{C3380CC4-5D6E-409C-BE32-E72D297353CC}">
              <c16:uniqueId val="{00000004-C0E2-4E02-A7F7-14E066DAB8CD}"/>
            </c:ext>
          </c:extLst>
        </c:ser>
        <c:dLbls>
          <c:showLegendKey val="0"/>
          <c:showVal val="0"/>
          <c:showCatName val="0"/>
          <c:showSerName val="0"/>
          <c:showPercent val="0"/>
          <c:showBubbleSize val="0"/>
          <c:showLeaderLines val="1"/>
        </c:dLbls>
        <c:firstSliceAng val="0"/>
        <c:holeSize val="75"/>
      </c:doughnutChart>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Tables!enrolled courses by month</c:name>
    <c:fmtId val="18"/>
  </c:pivotSource>
  <c:chart>
    <c:autoTitleDeleted val="1"/>
    <c:pivotFmts>
      <c:pivotFmt>
        <c:idx val="0"/>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Tables'!$AI$4</c:f>
              <c:strCache>
                <c:ptCount val="1"/>
                <c:pt idx="0">
                  <c:v>Total</c:v>
                </c:pt>
              </c:strCache>
            </c:strRef>
          </c:tx>
          <c:spPr>
            <a:ln w="15875" cap="rnd">
              <a:solidFill>
                <a:srgbClr val="7030A0"/>
              </a:solidFill>
              <a:round/>
            </a:ln>
            <a:effectLst/>
          </c:spPr>
          <c:marker>
            <c:symbol val="none"/>
          </c:marker>
          <c:cat>
            <c:strRef>
              <c:f>'Pivot Tables'!$AH$5:$AH$17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Tables'!$AI$5:$AI$17</c:f>
              <c:numCache>
                <c:formatCode>General</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1"/>
          <c:extLst>
            <c:ext xmlns:c16="http://schemas.microsoft.com/office/drawing/2014/chart" uri="{C3380CC4-5D6E-409C-BE32-E72D297353CC}">
              <c16:uniqueId val="{00000000-473B-4B6F-8FE3-C3F47F8A6F75}"/>
            </c:ext>
          </c:extLst>
        </c:ser>
        <c:dLbls>
          <c:showLegendKey val="0"/>
          <c:showVal val="0"/>
          <c:showCatName val="0"/>
          <c:showSerName val="0"/>
          <c:showPercent val="0"/>
          <c:showBubbleSize val="0"/>
        </c:dLbls>
        <c:smooth val="0"/>
        <c:axId val="1475659247"/>
        <c:axId val="1451850623"/>
      </c:lineChart>
      <c:catAx>
        <c:axId val="1475659247"/>
        <c:scaling>
          <c:orientation val="minMax"/>
        </c:scaling>
        <c:delete val="1"/>
        <c:axPos val="b"/>
        <c:numFmt formatCode="General" sourceLinked="1"/>
        <c:majorTickMark val="none"/>
        <c:minorTickMark val="none"/>
        <c:tickLblPos val="nextTo"/>
        <c:crossAx val="1451850623"/>
        <c:crosses val="autoZero"/>
        <c:auto val="1"/>
        <c:lblAlgn val="ctr"/>
        <c:lblOffset val="100"/>
        <c:noMultiLvlLbl val="0"/>
      </c:catAx>
      <c:valAx>
        <c:axId val="1451850623"/>
        <c:scaling>
          <c:orientation val="minMax"/>
        </c:scaling>
        <c:delete val="1"/>
        <c:axPos val="l"/>
        <c:numFmt formatCode="General" sourceLinked="1"/>
        <c:majorTickMark val="none"/>
        <c:minorTickMark val="none"/>
        <c:tickLblPos val="nextTo"/>
        <c:crossAx val="147565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Tables!PivotTable11</c:name>
    <c:fmtId val="21"/>
  </c:pivotSource>
  <c:chart>
    <c:autoTitleDeleted val="1"/>
    <c:pivotFmts>
      <c:pivotFmt>
        <c:idx val="0"/>
        <c:spPr>
          <a:solidFill>
            <a:srgbClr val="0AEAE0">
              <a:alpha val="33000"/>
            </a:srgbClr>
          </a:solidFill>
          <a:ln w="1270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AEAE0">
              <a:alpha val="33000"/>
            </a:srgbClr>
          </a:solidFill>
          <a:ln w="1270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AEAE0">
              <a:alpha val="33000"/>
            </a:srgbClr>
          </a:solidFill>
          <a:ln w="12700">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 Tables'!$AM$4</c:f>
              <c:strCache>
                <c:ptCount val="1"/>
                <c:pt idx="0">
                  <c:v>Total</c:v>
                </c:pt>
              </c:strCache>
            </c:strRef>
          </c:tx>
          <c:spPr>
            <a:solidFill>
              <a:srgbClr val="0AEAE0">
                <a:alpha val="33000"/>
              </a:srgbClr>
            </a:solidFill>
            <a:ln w="12700">
              <a:solidFill>
                <a:srgbClr val="7030A0"/>
              </a:solidFill>
            </a:ln>
            <a:effectLst/>
          </c:spPr>
          <c:cat>
            <c:strRef>
              <c:f>'Pivot Tables'!$AL$5:$AL$13</c:f>
              <c:strCache>
                <c:ptCount val="8"/>
                <c:pt idx="0">
                  <c:v>A1</c:v>
                </c:pt>
                <c:pt idx="1">
                  <c:v>A2</c:v>
                </c:pt>
                <c:pt idx="2">
                  <c:v>A4</c:v>
                </c:pt>
                <c:pt idx="3">
                  <c:v>A7</c:v>
                </c:pt>
                <c:pt idx="4">
                  <c:v>B12</c:v>
                </c:pt>
                <c:pt idx="5">
                  <c:v>B13</c:v>
                </c:pt>
                <c:pt idx="6">
                  <c:v>B18</c:v>
                </c:pt>
                <c:pt idx="7">
                  <c:v>C8</c:v>
                </c:pt>
              </c:strCache>
            </c:strRef>
          </c:cat>
          <c:val>
            <c:numRef>
              <c:f>'Pivot Tables'!$AM$5:$AM$13</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50F7-4F92-900A-4DAD35D7909A}"/>
            </c:ext>
          </c:extLst>
        </c:ser>
        <c:dLbls>
          <c:showLegendKey val="0"/>
          <c:showVal val="0"/>
          <c:showCatName val="0"/>
          <c:showSerName val="0"/>
          <c:showPercent val="0"/>
          <c:showBubbleSize val="0"/>
        </c:dLbls>
        <c:axId val="1425627263"/>
        <c:axId val="1555720783"/>
      </c:radarChart>
      <c:catAx>
        <c:axId val="14256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crossAx val="1555720783"/>
        <c:crosses val="autoZero"/>
        <c:auto val="1"/>
        <c:lblAlgn val="ctr"/>
        <c:lblOffset val="100"/>
        <c:noMultiLvlLbl val="0"/>
      </c:catAx>
      <c:valAx>
        <c:axId val="15557207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256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Tables!Training level's fee by sales team</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8D7EF3"/>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Tables'!$AU$4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8D7EF3"/>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Tables'!$AT$5:$AT$14</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Tables'!$AU$5:$AU$14</c:f>
              <c:numCache>
                <c:formatCode>[&lt;999950]0.0,"K";[&lt;999950000]0.0,,"M";0.0,,,"B"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8489-4A7C-BE3B-E3F3AD52AA01}"/>
            </c:ext>
          </c:extLst>
        </c:ser>
        <c:dLbls>
          <c:dLblPos val="outEnd"/>
          <c:showLegendKey val="0"/>
          <c:showVal val="1"/>
          <c:showCatName val="0"/>
          <c:showSerName val="0"/>
          <c:showPercent val="0"/>
          <c:showBubbleSize val="0"/>
        </c:dLbls>
        <c:gapWidth val="182"/>
        <c:axId val="1826009839"/>
        <c:axId val="1463589375"/>
      </c:barChart>
      <c:catAx>
        <c:axId val="18260098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crossAx val="1463589375"/>
        <c:crosses val="autoZero"/>
        <c:auto val="1"/>
        <c:lblAlgn val="ctr"/>
        <c:lblOffset val="100"/>
        <c:noMultiLvlLbl val="0"/>
      </c:catAx>
      <c:valAx>
        <c:axId val="1463589375"/>
        <c:scaling>
          <c:orientation val="minMax"/>
        </c:scaling>
        <c:delete val="1"/>
        <c:axPos val="b"/>
        <c:numFmt formatCode="[&lt;999950]0.0,&quot;K&quot;;[&lt;999950000]0.0,,&quot;M&quot;;0.0,,,&quot;B&quot;" sourceLinked="1"/>
        <c:majorTickMark val="none"/>
        <c:minorTickMark val="none"/>
        <c:tickLblPos val="nextTo"/>
        <c:crossAx val="182600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Tables!PivotTable14</c:name>
    <c:fmtId val="3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7030A0"/>
            </a:solidFill>
            <a:round/>
          </a:ln>
          <a:effectLst/>
        </c:spPr>
        <c:marker>
          <c:symbol val="circle"/>
          <c:size val="8"/>
          <c:spPr>
            <a:solidFill>
              <a:schemeClr val="bg1"/>
            </a:solidFill>
            <a:ln w="9525">
              <a:solidFill>
                <a:srgbClr val="7030A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Tables'!$AY$4</c:f>
              <c:strCache>
                <c:ptCount val="1"/>
                <c:pt idx="0">
                  <c:v>Total</c:v>
                </c:pt>
              </c:strCache>
            </c:strRef>
          </c:tx>
          <c:spPr>
            <a:ln w="22225" cap="rnd">
              <a:solidFill>
                <a:srgbClr val="7030A0"/>
              </a:solidFill>
              <a:round/>
            </a:ln>
            <a:effectLst/>
          </c:spPr>
          <c:marker>
            <c:symbol val="circle"/>
            <c:size val="8"/>
            <c:spPr>
              <a:solidFill>
                <a:schemeClr val="bg1"/>
              </a:solidFill>
              <a:ln w="9525">
                <a:solidFill>
                  <a:srgbClr val="7030A0"/>
                </a:solidFill>
              </a:ln>
              <a:effectLst/>
            </c:spPr>
          </c:marker>
          <c:cat>
            <c:strRef>
              <c:f>'Pivot Tables'!$AX$5:$AX$14</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Tables'!$AY$5:$AY$14</c:f>
              <c:numCache>
                <c:formatCode>General</c:formatCode>
                <c:ptCount val="9"/>
                <c:pt idx="0">
                  <c:v>374</c:v>
                </c:pt>
                <c:pt idx="1">
                  <c:v>189</c:v>
                </c:pt>
                <c:pt idx="2">
                  <c:v>472</c:v>
                </c:pt>
                <c:pt idx="3">
                  <c:v>90</c:v>
                </c:pt>
                <c:pt idx="4">
                  <c:v>562</c:v>
                </c:pt>
                <c:pt idx="5">
                  <c:v>211</c:v>
                </c:pt>
                <c:pt idx="6">
                  <c:v>376</c:v>
                </c:pt>
                <c:pt idx="7">
                  <c:v>185</c:v>
                </c:pt>
                <c:pt idx="8">
                  <c:v>184</c:v>
                </c:pt>
              </c:numCache>
            </c:numRef>
          </c:val>
          <c:smooth val="0"/>
          <c:extLst>
            <c:ext xmlns:c16="http://schemas.microsoft.com/office/drawing/2014/chart" uri="{C3380CC4-5D6E-409C-BE32-E72D297353CC}">
              <c16:uniqueId val="{00000000-6FA7-4BAB-B914-9DEFC7EDDE4C}"/>
            </c:ext>
          </c:extLst>
        </c:ser>
        <c:dLbls>
          <c:showLegendKey val="0"/>
          <c:showVal val="0"/>
          <c:showCatName val="0"/>
          <c:showSerName val="0"/>
          <c:showPercent val="0"/>
          <c:showBubbleSize val="0"/>
        </c:dLbls>
        <c:marker val="1"/>
        <c:smooth val="0"/>
        <c:axId val="1622089071"/>
        <c:axId val="1463642175"/>
      </c:lineChart>
      <c:catAx>
        <c:axId val="162208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63642175"/>
        <c:crosses val="autoZero"/>
        <c:auto val="1"/>
        <c:lblAlgn val="ctr"/>
        <c:lblOffset val="100"/>
        <c:noMultiLvlLbl val="0"/>
      </c:catAx>
      <c:valAx>
        <c:axId val="1463642175"/>
        <c:scaling>
          <c:orientation val="minMax"/>
        </c:scaling>
        <c:delete val="1"/>
        <c:axPos val="l"/>
        <c:numFmt formatCode="General" sourceLinked="1"/>
        <c:majorTickMark val="none"/>
        <c:minorTickMark val="none"/>
        <c:tickLblPos val="nextTo"/>
        <c:crossAx val="162208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 Tables'!$BN$4</c:f>
              <c:strCache>
                <c:ptCount val="1"/>
                <c:pt idx="0">
                  <c:v>Duration</c:v>
                </c:pt>
              </c:strCache>
            </c:strRef>
          </c:tx>
          <c:spPr>
            <a:ln w="28575" cap="rnd">
              <a:noFill/>
              <a:round/>
            </a:ln>
            <a:effectLst/>
          </c:spPr>
          <c:marker>
            <c:symbol val="circle"/>
            <c:size val="8"/>
            <c:spPr>
              <a:solidFill>
                <a:srgbClr val="7030A0"/>
              </a:solidFill>
              <a:ln w="9525">
                <a:noFill/>
              </a:ln>
              <a:effectLst/>
            </c:spPr>
          </c:marker>
          <c:dPt>
            <c:idx val="2"/>
            <c:marker>
              <c:symbol val="circle"/>
              <c:size val="8"/>
              <c:spPr>
                <a:solidFill>
                  <a:srgbClr val="00B626"/>
                </a:solidFill>
                <a:ln w="9525">
                  <a:noFill/>
                </a:ln>
                <a:effectLst/>
              </c:spPr>
            </c:marker>
            <c:bubble3D val="0"/>
            <c:extLst>
              <c:ext xmlns:c16="http://schemas.microsoft.com/office/drawing/2014/chart" uri="{C3380CC4-5D6E-409C-BE32-E72D297353CC}">
                <c16:uniqueId val="{00000000-9246-40CD-B4A1-4D8146E3A0FB}"/>
              </c:ext>
            </c:extLst>
          </c:dPt>
          <c:cat>
            <c:strRef>
              <c:f>'Pivot Tables'!$BM$5:$BM$16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Tables'!$BN$5:$BN$16</c:f>
              <c:numCache>
                <c:formatCode>mm:ss</c:formatCode>
                <c:ptCount val="12"/>
                <c:pt idx="0">
                  <c:v>3.0161179698216726E-3</c:v>
                </c:pt>
                <c:pt idx="1">
                  <c:v>2.8763440860215049E-3</c:v>
                </c:pt>
                <c:pt idx="2">
                  <c:v>1.3888888888888889E-3</c:v>
                </c:pt>
                <c:pt idx="3">
                  <c:v>3.497540509259258E-3</c:v>
                </c:pt>
                <c:pt idx="4">
                  <c:v>3.0488351254480289E-3</c:v>
                </c:pt>
                <c:pt idx="5">
                  <c:v>2.9208002645502639E-3</c:v>
                </c:pt>
                <c:pt idx="6">
                  <c:v>2.9407051282051289E-3</c:v>
                </c:pt>
                <c:pt idx="7">
                  <c:v>3.0726650563607082E-3</c:v>
                </c:pt>
                <c:pt idx="8">
                  <c:v>3.1521213377556649E-3</c:v>
                </c:pt>
                <c:pt idx="9">
                  <c:v>3.276282366437237E-3</c:v>
                </c:pt>
                <c:pt idx="10">
                  <c:v>3.120971050164087E-3</c:v>
                </c:pt>
                <c:pt idx="11">
                  <c:v>3.2518257694314021E-3</c:v>
                </c:pt>
              </c:numCache>
            </c:numRef>
          </c:val>
          <c:smooth val="0"/>
          <c:extLst>
            <c:ext xmlns:c16="http://schemas.microsoft.com/office/drawing/2014/chart" uri="{C3380CC4-5D6E-409C-BE32-E72D297353CC}">
              <c16:uniqueId val="{00000001-9246-40CD-B4A1-4D8146E3A0FB}"/>
            </c:ext>
          </c:extLst>
        </c:ser>
        <c:ser>
          <c:idx val="1"/>
          <c:order val="1"/>
          <c:tx>
            <c:strRef>
              <c:f>'Pivot Tables'!$BO$4</c:f>
              <c:strCache>
                <c:ptCount val="1"/>
                <c:pt idx="0">
                  <c:v>Max</c:v>
                </c:pt>
              </c:strCache>
            </c:strRef>
          </c:tx>
          <c:spPr>
            <a:ln w="25400" cap="rnd">
              <a:noFill/>
              <a:round/>
            </a:ln>
            <a:effectLst/>
          </c:spPr>
          <c:marker>
            <c:symbol val="circle"/>
            <c:size val="5"/>
            <c:spPr>
              <a:solidFill>
                <a:srgbClr val="FF0000">
                  <a:alpha val="98000"/>
                </a:srgbClr>
              </a:solidFill>
              <a:ln w="9525">
                <a:noFill/>
              </a:ln>
              <a:effectLst/>
            </c:spPr>
          </c:marker>
          <c:cat>
            <c:strRef>
              <c:f>'Pivot Tables'!$BM$5:$BM$16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Tables'!$BO$5:$BO$16</c:f>
              <c:numCache>
                <c:formatCode>mm:ss</c:formatCode>
                <c:ptCount val="12"/>
                <c:pt idx="0">
                  <c:v>0</c:v>
                </c:pt>
                <c:pt idx="1">
                  <c:v>0</c:v>
                </c:pt>
                <c:pt idx="2">
                  <c:v>0</c:v>
                </c:pt>
                <c:pt idx="3">
                  <c:v>3.497540509259258E-3</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9246-40CD-B4A1-4D8146E3A0FB}"/>
            </c:ext>
          </c:extLst>
        </c:ser>
        <c:ser>
          <c:idx val="2"/>
          <c:order val="2"/>
          <c:tx>
            <c:strRef>
              <c:f>'Pivot Tables'!$BP$4</c:f>
              <c:strCache>
                <c:ptCount val="1"/>
                <c:pt idx="0">
                  <c:v>Min</c:v>
                </c:pt>
              </c:strCache>
            </c:strRef>
          </c:tx>
          <c:spPr>
            <a:ln w="25400" cap="rnd">
              <a:noFill/>
              <a:round/>
            </a:ln>
            <a:effectLst/>
          </c:spPr>
          <c:marker>
            <c:symbol val="circle"/>
            <c:size val="5"/>
            <c:spPr>
              <a:solidFill>
                <a:srgbClr val="00B626"/>
              </a:solidFill>
              <a:ln w="9525">
                <a:noFill/>
              </a:ln>
              <a:effectLst/>
            </c:spPr>
          </c:marker>
          <c:cat>
            <c:strRef>
              <c:f>'Pivot Tables'!$BM$5:$BM$16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Tables'!$BP$5:$BP$16</c:f>
              <c:numCache>
                <c:formatCode>mm:ss</c:formatCode>
                <c:ptCount val="12"/>
                <c:pt idx="0">
                  <c:v>0</c:v>
                </c:pt>
                <c:pt idx="1">
                  <c:v>0</c:v>
                </c:pt>
                <c:pt idx="2">
                  <c:v>1.3888888888888889E-3</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9246-40CD-B4A1-4D8146E3A0FB}"/>
            </c:ext>
          </c:extLst>
        </c:ser>
        <c:dLbls>
          <c:showLegendKey val="0"/>
          <c:showVal val="0"/>
          <c:showCatName val="0"/>
          <c:showSerName val="0"/>
          <c:showPercent val="0"/>
          <c:showBubbleSize val="0"/>
        </c:dLbls>
        <c:marker val="1"/>
        <c:smooth val="0"/>
        <c:axId val="1765450959"/>
        <c:axId val="1764641855"/>
      </c:lineChart>
      <c:catAx>
        <c:axId val="176545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64641855"/>
        <c:crosses val="autoZero"/>
        <c:auto val="1"/>
        <c:lblAlgn val="ctr"/>
        <c:lblOffset val="100"/>
        <c:noMultiLvlLbl val="0"/>
      </c:catAx>
      <c:valAx>
        <c:axId val="1764641855"/>
        <c:scaling>
          <c:orientation val="minMax"/>
        </c:scaling>
        <c:delete val="0"/>
        <c:axPos val="l"/>
        <c:majorGridlines>
          <c:spPr>
            <a:ln w="9525" cap="flat" cmpd="sng" algn="ctr">
              <a:solidFill>
                <a:schemeClr val="bg1">
                  <a:lumMod val="9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6545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Tables!Sales by sales team</c:name>
    <c:fmtId val="4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2"/>
        <c:spPr>
          <a:solidFill>
            <a:srgbClr val="00B626"/>
          </a:solidFill>
          <a:ln>
            <a:noFill/>
          </a:ln>
          <a:effectLst/>
        </c:spPr>
      </c:pivotFmt>
      <c:pivotFmt>
        <c:idx val="3"/>
        <c:spPr>
          <a:solidFill>
            <a:srgbClr val="92D050"/>
          </a:solidFill>
          <a:ln>
            <a:noFill/>
          </a:ln>
          <a:effectLst/>
        </c:spPr>
      </c:pivotFmt>
      <c:pivotFmt>
        <c:idx val="4"/>
        <c:spPr>
          <a:solidFill>
            <a:srgbClr val="FFC000"/>
          </a:solidFill>
          <a:ln>
            <a:noFill/>
          </a:ln>
          <a:effectLst/>
        </c:spPr>
      </c:pivotFmt>
      <c:pivotFmt>
        <c:idx val="5"/>
        <c:spPr>
          <a:solidFill>
            <a:srgbClr val="FF7C8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7C80"/>
          </a:solidFill>
          <a:ln>
            <a:noFill/>
          </a:ln>
          <a:effectLst/>
        </c:spPr>
      </c:pivotFmt>
      <c:pivotFmt>
        <c:idx val="8"/>
        <c:spPr>
          <a:solidFill>
            <a:srgbClr val="FFC000"/>
          </a:solidFill>
          <a:ln>
            <a:noFill/>
          </a:ln>
          <a:effectLst/>
        </c:spPr>
      </c:pivotFmt>
      <c:pivotFmt>
        <c:idx val="9"/>
        <c:spPr>
          <a:solidFill>
            <a:srgbClr val="00B626"/>
          </a:solidFill>
          <a:ln>
            <a:noFill/>
          </a:ln>
          <a:effectLst/>
        </c:spPr>
      </c:pivotFmt>
      <c:pivotFmt>
        <c:idx val="10"/>
        <c:spPr>
          <a:solidFill>
            <a:srgbClr val="92D050"/>
          </a:solidFill>
          <a:ln>
            <a:noFill/>
          </a:ln>
          <a:effectLst/>
        </c:spPr>
      </c:pivotFmt>
      <c:pivotFmt>
        <c:idx val="1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1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pivotFmt>
      <c:pivotFmt>
        <c:idx val="14"/>
        <c:spPr>
          <a:solidFill>
            <a:srgbClr val="7030A0"/>
          </a:solidFill>
          <a:ln>
            <a:noFill/>
          </a:ln>
          <a:effectLst/>
        </c:spPr>
      </c:pivotFmt>
      <c:pivotFmt>
        <c:idx val="15"/>
        <c:spPr>
          <a:solidFill>
            <a:srgbClr val="7030A0"/>
          </a:solidFill>
          <a:ln>
            <a:noFill/>
          </a:ln>
          <a:effectLst/>
        </c:spPr>
      </c:pivotFmt>
      <c:pivotFmt>
        <c:idx val="16"/>
        <c:spPr>
          <a:solidFill>
            <a:srgbClr val="7030A0"/>
          </a:solidFill>
          <a:ln>
            <a:noFill/>
          </a:ln>
          <a:effectLst/>
        </c:spPr>
      </c:pivotFmt>
      <c:pivotFmt>
        <c:idx val="1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18"/>
        <c:spPr>
          <a:no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9234126984126979"/>
                  <c:h val="0.19047630035262919"/>
                </c:manualLayout>
              </c15:layout>
            </c:ext>
          </c:extLst>
        </c:dLbl>
      </c:pivotFmt>
    </c:pivotFmts>
    <c:plotArea>
      <c:layout/>
      <c:barChart>
        <c:barDir val="bar"/>
        <c:grouping val="clustered"/>
        <c:varyColors val="0"/>
        <c:ser>
          <c:idx val="0"/>
          <c:order val="0"/>
          <c:tx>
            <c:strRef>
              <c:f>'Pivot Tables'!$BU$4</c:f>
              <c:strCache>
                <c:ptCount val="1"/>
                <c:pt idx="0">
                  <c:v>Sum of Paid Fees</c:v>
                </c:pt>
              </c:strCache>
            </c:strRef>
          </c:tx>
          <c:spPr>
            <a:solidFill>
              <a:srgbClr val="7030A0"/>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C30B-4DF2-8DCC-0E1B8151CDA3}"/>
              </c:ext>
            </c:extLst>
          </c:dPt>
          <c:dPt>
            <c:idx val="1"/>
            <c:invertIfNegative val="0"/>
            <c:bubble3D val="0"/>
            <c:spPr>
              <a:solidFill>
                <a:srgbClr val="7030A0"/>
              </a:solidFill>
              <a:ln>
                <a:noFill/>
              </a:ln>
              <a:effectLst/>
            </c:spPr>
            <c:extLst>
              <c:ext xmlns:c16="http://schemas.microsoft.com/office/drawing/2014/chart" uri="{C3380CC4-5D6E-409C-BE32-E72D297353CC}">
                <c16:uniqueId val="{00000003-C30B-4DF2-8DCC-0E1B8151CDA3}"/>
              </c:ext>
            </c:extLst>
          </c:dPt>
          <c:dPt>
            <c:idx val="2"/>
            <c:invertIfNegative val="0"/>
            <c:bubble3D val="0"/>
            <c:spPr>
              <a:solidFill>
                <a:srgbClr val="7030A0"/>
              </a:solidFill>
              <a:ln>
                <a:noFill/>
              </a:ln>
              <a:effectLst/>
            </c:spPr>
            <c:extLst>
              <c:ext xmlns:c16="http://schemas.microsoft.com/office/drawing/2014/chart" uri="{C3380CC4-5D6E-409C-BE32-E72D297353CC}">
                <c16:uniqueId val="{00000005-C30B-4DF2-8DCC-0E1B8151CDA3}"/>
              </c:ext>
            </c:extLst>
          </c:dPt>
          <c:dPt>
            <c:idx val="3"/>
            <c:invertIfNegative val="0"/>
            <c:bubble3D val="0"/>
            <c:spPr>
              <a:solidFill>
                <a:srgbClr val="7030A0"/>
              </a:solidFill>
              <a:ln>
                <a:noFill/>
              </a:ln>
              <a:effectLst/>
            </c:spPr>
            <c:extLst>
              <c:ext xmlns:c16="http://schemas.microsoft.com/office/drawing/2014/chart" uri="{C3380CC4-5D6E-409C-BE32-E72D297353CC}">
                <c16:uniqueId val="{00000007-C30B-4DF2-8DCC-0E1B8151CD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Tables'!$BT$5:$BT$9</c:f>
              <c:strCache>
                <c:ptCount val="4"/>
                <c:pt idx="0">
                  <c:v>Abdullah</c:v>
                </c:pt>
                <c:pt idx="1">
                  <c:v>Ahmed</c:v>
                </c:pt>
                <c:pt idx="2">
                  <c:v>Mohammed</c:v>
                </c:pt>
                <c:pt idx="3">
                  <c:v>Salah</c:v>
                </c:pt>
              </c:strCache>
            </c:strRef>
          </c:cat>
          <c:val>
            <c:numRef>
              <c:f>'Pivot Tables'!$BU$5:$BU$9</c:f>
              <c:numCache>
                <c:formatCode>[&lt;999950]0.0,"K";[&lt;999950000]0.0,,"M";0.0,,,"B"</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8-C30B-4DF2-8DCC-0E1B8151CDA3}"/>
            </c:ext>
          </c:extLst>
        </c:ser>
        <c:ser>
          <c:idx val="1"/>
          <c:order val="1"/>
          <c:tx>
            <c:strRef>
              <c:f>'Pivot Tables'!$BV$4</c:f>
              <c:strCache>
                <c:ptCount val="1"/>
                <c:pt idx="0">
                  <c:v>Sum of Paid Fees2</c:v>
                </c:pt>
              </c:strCache>
            </c:strRef>
          </c:tx>
          <c:spPr>
            <a:noFill/>
            <a:ln>
              <a:noFill/>
            </a:ln>
            <a:effectLst/>
          </c:spPr>
          <c:invertIfNegative val="0"/>
          <c:dPt>
            <c:idx val="2"/>
            <c:invertIfNegative val="0"/>
            <c:bubble3D val="0"/>
            <c:spPr>
              <a:noFill/>
              <a:ln>
                <a:noFill/>
              </a:ln>
              <a:effectLst/>
            </c:spPr>
            <c:extLst>
              <c:ext xmlns:c16="http://schemas.microsoft.com/office/drawing/2014/chart" uri="{C3380CC4-5D6E-409C-BE32-E72D297353CC}">
                <c16:uniqueId val="{0000000A-C30B-4DF2-8DCC-0E1B8151CDA3}"/>
              </c:ext>
            </c:extLst>
          </c:dPt>
          <c:dLbls>
            <c:dLbl>
              <c:idx val="2"/>
              <c:spPr>
                <a:noFill/>
                <a:ln>
                  <a:noFill/>
                </a:ln>
                <a:effectLst/>
              </c:spPr>
              <c:txPr>
                <a:bodyPr rot="0" spcFirstLastPara="1" vertOverflow="ellipsis" vert="horz" wrap="square" lIns="38100" tIns="19050" rIns="38100" bIns="19050" anchor="ctr" anchorCtr="0">
                  <a:spAutoFit/>
                </a:bodyPr>
                <a:lstStyle/>
                <a:p>
                  <a:pPr algn="l">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9234126984126979"/>
                      <c:h val="0.19047630035262919"/>
                    </c:manualLayout>
                  </c15:layout>
                </c:ext>
                <c:ext xmlns:c16="http://schemas.microsoft.com/office/drawing/2014/chart" uri="{C3380CC4-5D6E-409C-BE32-E72D297353CC}">
                  <c16:uniqueId val="{0000000A-C30B-4DF2-8DCC-0E1B8151CDA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'Pivot Tables'!$BT$5:$BT$9</c:f>
              <c:strCache>
                <c:ptCount val="4"/>
                <c:pt idx="0">
                  <c:v>Abdullah</c:v>
                </c:pt>
                <c:pt idx="1">
                  <c:v>Ahmed</c:v>
                </c:pt>
                <c:pt idx="2">
                  <c:v>Mohammed</c:v>
                </c:pt>
                <c:pt idx="3">
                  <c:v>Salah</c:v>
                </c:pt>
              </c:strCache>
            </c:strRef>
          </c:cat>
          <c:val>
            <c:numRef>
              <c:f>'Pivot Tables'!$BV$5:$BV$9</c:f>
              <c:numCache>
                <c:formatCode>[&lt;999950]0.0,"K";[&lt;999950000]0.0,,"M";0.0,,,"B"</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9-C30B-4DF2-8DCC-0E1B8151CDA3}"/>
            </c:ext>
          </c:extLst>
        </c:ser>
        <c:dLbls>
          <c:dLblPos val="outEnd"/>
          <c:showLegendKey val="0"/>
          <c:showVal val="1"/>
          <c:showCatName val="0"/>
          <c:showSerName val="0"/>
          <c:showPercent val="0"/>
          <c:showBubbleSize val="0"/>
        </c:dLbls>
        <c:gapWidth val="182"/>
        <c:overlap val="-80"/>
        <c:axId val="1789263103"/>
        <c:axId val="11281455"/>
      </c:barChart>
      <c:catAx>
        <c:axId val="1789263103"/>
        <c:scaling>
          <c:orientation val="minMax"/>
        </c:scaling>
        <c:delete val="1"/>
        <c:axPos val="l"/>
        <c:numFmt formatCode="General" sourceLinked="1"/>
        <c:majorTickMark val="none"/>
        <c:minorTickMark val="none"/>
        <c:tickLblPos val="nextTo"/>
        <c:crossAx val="11281455"/>
        <c:crosses val="autoZero"/>
        <c:auto val="1"/>
        <c:lblAlgn val="ctr"/>
        <c:lblOffset val="100"/>
        <c:noMultiLvlLbl val="0"/>
      </c:catAx>
      <c:valAx>
        <c:axId val="11281455"/>
        <c:scaling>
          <c:orientation val="minMax"/>
        </c:scaling>
        <c:delete val="1"/>
        <c:axPos val="b"/>
        <c:numFmt formatCode="[&lt;999950]0.0,&quot;K&quot;;[&lt;999950000]0.0,,&quot;M&quot;;0.0,,,&quot;B&quot;" sourceLinked="1"/>
        <c:majorTickMark val="none"/>
        <c:minorTickMark val="none"/>
        <c:tickLblPos val="nextTo"/>
        <c:crossAx val="178926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Tables!PivotTable16</c:name>
    <c:fmtId val="46"/>
  </c:pivotSource>
  <c:chart>
    <c:autoTitleDeleted val="1"/>
    <c:pivotFmts>
      <c:pivotFmt>
        <c:idx val="0"/>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rgbClr val="8D7EF3"/>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Tables'!$CG$4</c:f>
              <c:strCache>
                <c:ptCount val="1"/>
                <c:pt idx="0">
                  <c:v>Total</c:v>
                </c:pt>
              </c:strCache>
            </c:strRef>
          </c:tx>
          <c:spPr>
            <a:solidFill>
              <a:srgbClr val="7030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rgbClr val="8D7EF3"/>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Tables'!$CF$5:$CF$21</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Tables'!$CG$5:$CG$21</c:f>
              <c:numCache>
                <c:formatCode>[&lt;999950]0.0,"K";[&lt;999950000]0.0,,"M";0.0,,,"B"</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0-76BD-4287-BF04-CB3D93A369DB}"/>
            </c:ext>
          </c:extLst>
        </c:ser>
        <c:dLbls>
          <c:dLblPos val="outEnd"/>
          <c:showLegendKey val="0"/>
          <c:showVal val="1"/>
          <c:showCatName val="0"/>
          <c:showSerName val="0"/>
          <c:showPercent val="0"/>
          <c:showBubbleSize val="0"/>
        </c:dLbls>
        <c:gapWidth val="219"/>
        <c:overlap val="-27"/>
        <c:axId val="2117722351"/>
        <c:axId val="2067539167"/>
      </c:barChart>
      <c:catAx>
        <c:axId val="211772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67539167"/>
        <c:crosses val="autoZero"/>
        <c:auto val="1"/>
        <c:lblAlgn val="ctr"/>
        <c:lblOffset val="100"/>
        <c:noMultiLvlLbl val="0"/>
      </c:catAx>
      <c:valAx>
        <c:axId val="2067539167"/>
        <c:scaling>
          <c:orientation val="minMax"/>
        </c:scaling>
        <c:delete val="1"/>
        <c:axPos val="l"/>
        <c:numFmt formatCode="[&lt;999950]0.0,&quot;K&quot;;[&lt;999950000]0.0,,&quot;M&quot;;0.0,,,&quot;B&quot;" sourceLinked="1"/>
        <c:majorTickMark val="none"/>
        <c:minorTickMark val="none"/>
        <c:tickLblPos val="nextTo"/>
        <c:crossAx val="211772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Tables'!$CR$3</c:f>
              <c:strCache>
                <c:ptCount val="1"/>
                <c:pt idx="0">
                  <c:v>Youtube Channel</c:v>
                </c:pt>
              </c:strCache>
            </c:strRef>
          </c:tx>
          <c:spPr>
            <a:solidFill>
              <a:srgbClr val="F1F2FE"/>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A0EA-47F7-813A-6DF02A9CDB7E}"/>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3-A0EA-47F7-813A-6DF02A9CDB7E}"/>
              </c:ext>
            </c:extLst>
          </c:dPt>
          <c:cat>
            <c:strRef>
              <c:f>'Pivot Tables'!$CQ$4:$CQ$5</c:f>
              <c:strCache>
                <c:ptCount val="2"/>
                <c:pt idx="0">
                  <c:v>Actual</c:v>
                </c:pt>
                <c:pt idx="1">
                  <c:v>Difference between max</c:v>
                </c:pt>
              </c:strCache>
            </c:strRef>
          </c:cat>
          <c:val>
            <c:numRef>
              <c:f>'Pivot Tables'!$CR$4:$CR$5</c:f>
              <c:numCache>
                <c:formatCode>[&lt;999950]0.0,"K";[&lt;999950000]0.0,,"M";0.0,,,"B"</c:formatCode>
                <c:ptCount val="2"/>
                <c:pt idx="0">
                  <c:v>806000000</c:v>
                </c:pt>
                <c:pt idx="1">
                  <c:v>4766000000</c:v>
                </c:pt>
              </c:numCache>
            </c:numRef>
          </c:val>
          <c:extLst>
            <c:ext xmlns:c16="http://schemas.microsoft.com/office/drawing/2014/chart" uri="{C3380CC4-5D6E-409C-BE32-E72D297353CC}">
              <c16:uniqueId val="{00000004-A0EA-47F7-813A-6DF02A9CDB7E}"/>
            </c:ext>
          </c:extLst>
        </c:ser>
        <c:ser>
          <c:idx val="1"/>
          <c:order val="1"/>
          <c:tx>
            <c:strRef>
              <c:f>'Pivot Tables'!$CS$3</c:f>
              <c:strCache>
                <c:ptCount val="1"/>
                <c:pt idx="0">
                  <c:v>Google Ad</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6-A0EA-47F7-813A-6DF02A9CDB7E}"/>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8-A0EA-47F7-813A-6DF02A9CDB7E}"/>
              </c:ext>
            </c:extLst>
          </c:dPt>
          <c:cat>
            <c:strRef>
              <c:f>'Pivot Tables'!$CQ$4:$CQ$5</c:f>
              <c:strCache>
                <c:ptCount val="2"/>
                <c:pt idx="0">
                  <c:v>Actual</c:v>
                </c:pt>
                <c:pt idx="1">
                  <c:v>Difference between max</c:v>
                </c:pt>
              </c:strCache>
            </c:strRef>
          </c:cat>
          <c:val>
            <c:numRef>
              <c:f>'Pivot Tables'!$CS$4:$CS$5</c:f>
              <c:numCache>
                <c:formatCode>[&lt;999950]0.0,"K";[&lt;999950000]0.0,,"M";0.0,,,"B"</c:formatCode>
                <c:ptCount val="2"/>
                <c:pt idx="0">
                  <c:v>1823000000</c:v>
                </c:pt>
                <c:pt idx="1">
                  <c:v>3749000000</c:v>
                </c:pt>
              </c:numCache>
            </c:numRef>
          </c:val>
          <c:extLst>
            <c:ext xmlns:c16="http://schemas.microsoft.com/office/drawing/2014/chart" uri="{C3380CC4-5D6E-409C-BE32-E72D297353CC}">
              <c16:uniqueId val="{00000009-A0EA-47F7-813A-6DF02A9CDB7E}"/>
            </c:ext>
          </c:extLst>
        </c:ser>
        <c:ser>
          <c:idx val="2"/>
          <c:order val="2"/>
          <c:tx>
            <c:strRef>
              <c:f>'Pivot Tables'!$CT$3</c:f>
              <c:strCache>
                <c:ptCount val="1"/>
                <c:pt idx="0">
                  <c:v>WhatsApp</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B-A0EA-47F7-813A-6DF02A9CDB7E}"/>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D-A0EA-47F7-813A-6DF02A9CDB7E}"/>
              </c:ext>
            </c:extLst>
          </c:dPt>
          <c:cat>
            <c:strRef>
              <c:f>'Pivot Tables'!$CQ$4:$CQ$5</c:f>
              <c:strCache>
                <c:ptCount val="2"/>
                <c:pt idx="0">
                  <c:v>Actual</c:v>
                </c:pt>
                <c:pt idx="1">
                  <c:v>Difference between max</c:v>
                </c:pt>
              </c:strCache>
            </c:strRef>
          </c:cat>
          <c:val>
            <c:numRef>
              <c:f>'Pivot Tables'!$CT$4:$CT$5</c:f>
              <c:numCache>
                <c:formatCode>[&lt;999950]0.0,"K";[&lt;999950000]0.0,,"M";0.0,,,"B"</c:formatCode>
                <c:ptCount val="2"/>
                <c:pt idx="0">
                  <c:v>2494000000</c:v>
                </c:pt>
                <c:pt idx="1">
                  <c:v>3078000000</c:v>
                </c:pt>
              </c:numCache>
            </c:numRef>
          </c:val>
          <c:extLst>
            <c:ext xmlns:c16="http://schemas.microsoft.com/office/drawing/2014/chart" uri="{C3380CC4-5D6E-409C-BE32-E72D297353CC}">
              <c16:uniqueId val="{0000000E-A0EA-47F7-813A-6DF02A9CDB7E}"/>
            </c:ext>
          </c:extLst>
        </c:ser>
        <c:ser>
          <c:idx val="3"/>
          <c:order val="3"/>
          <c:tx>
            <c:strRef>
              <c:f>'Pivot Tables'!$CU$3</c:f>
              <c:strCache>
                <c:ptCount val="1"/>
                <c:pt idx="0">
                  <c:v>Company Website</c:v>
                </c:pt>
              </c:strCache>
            </c:strRef>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10-A0EA-47F7-813A-6DF02A9CDB7E}"/>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2-A0EA-47F7-813A-6DF02A9CDB7E}"/>
              </c:ext>
            </c:extLst>
          </c:dPt>
          <c:cat>
            <c:strRef>
              <c:f>'Pivot Tables'!$CQ$4:$CQ$5</c:f>
              <c:strCache>
                <c:ptCount val="2"/>
                <c:pt idx="0">
                  <c:v>Actual</c:v>
                </c:pt>
                <c:pt idx="1">
                  <c:v>Difference between max</c:v>
                </c:pt>
              </c:strCache>
            </c:strRef>
          </c:cat>
          <c:val>
            <c:numRef>
              <c:f>'Pivot Tables'!$CU$4:$CU$5</c:f>
              <c:numCache>
                <c:formatCode>[&lt;999950]0.0,"K";[&lt;999950000]0.0,,"M";0.0,,,"B"</c:formatCode>
                <c:ptCount val="2"/>
                <c:pt idx="0">
                  <c:v>2749000000</c:v>
                </c:pt>
                <c:pt idx="1">
                  <c:v>2823000000</c:v>
                </c:pt>
              </c:numCache>
            </c:numRef>
          </c:val>
          <c:extLst>
            <c:ext xmlns:c16="http://schemas.microsoft.com/office/drawing/2014/chart" uri="{C3380CC4-5D6E-409C-BE32-E72D297353CC}">
              <c16:uniqueId val="{00000013-A0EA-47F7-813A-6DF02A9CDB7E}"/>
            </c:ext>
          </c:extLst>
        </c:ser>
        <c:ser>
          <c:idx val="4"/>
          <c:order val="4"/>
          <c:tx>
            <c:strRef>
              <c:f>'Pivot Tables'!$CV$3</c:f>
              <c:strCache>
                <c:ptCount val="1"/>
                <c:pt idx="0">
                  <c:v>Facebook Page</c:v>
                </c:pt>
              </c:strCache>
            </c:strRef>
          </c:tx>
          <c:dPt>
            <c:idx val="0"/>
            <c:bubble3D val="0"/>
            <c:spPr>
              <a:solidFill>
                <a:srgbClr val="FF7C80"/>
              </a:solidFill>
              <a:ln w="19050">
                <a:solidFill>
                  <a:schemeClr val="lt1"/>
                </a:solidFill>
              </a:ln>
              <a:effectLst/>
            </c:spPr>
            <c:extLst>
              <c:ext xmlns:c16="http://schemas.microsoft.com/office/drawing/2014/chart" uri="{C3380CC4-5D6E-409C-BE32-E72D297353CC}">
                <c16:uniqueId val="{00000015-A0EA-47F7-813A-6DF02A9CDB7E}"/>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7-A0EA-47F7-813A-6DF02A9CDB7E}"/>
              </c:ext>
            </c:extLst>
          </c:dPt>
          <c:cat>
            <c:strRef>
              <c:f>'Pivot Tables'!$CQ$4:$CQ$5</c:f>
              <c:strCache>
                <c:ptCount val="2"/>
                <c:pt idx="0">
                  <c:v>Actual</c:v>
                </c:pt>
                <c:pt idx="1">
                  <c:v>Difference between max</c:v>
                </c:pt>
              </c:strCache>
            </c:strRef>
          </c:cat>
          <c:val>
            <c:numRef>
              <c:f>'Pivot Tables'!$CV$4:$CV$5</c:f>
              <c:numCache>
                <c:formatCode>[&lt;999950]0.0,"K";[&lt;999950000]0.0,,"M";0.0,,,"B"</c:formatCode>
                <c:ptCount val="2"/>
                <c:pt idx="0">
                  <c:v>3546000000</c:v>
                </c:pt>
                <c:pt idx="1">
                  <c:v>2026000000</c:v>
                </c:pt>
              </c:numCache>
            </c:numRef>
          </c:val>
          <c:extLst>
            <c:ext xmlns:c16="http://schemas.microsoft.com/office/drawing/2014/chart" uri="{C3380CC4-5D6E-409C-BE32-E72D297353CC}">
              <c16:uniqueId val="{00000018-A0EA-47F7-813A-6DF02A9CDB7E}"/>
            </c:ext>
          </c:extLst>
        </c:ser>
        <c:ser>
          <c:idx val="5"/>
          <c:order val="5"/>
          <c:tx>
            <c:strRef>
              <c:f>'Pivot Tables'!$CW$3</c:f>
              <c:strCache>
                <c:ptCount val="1"/>
                <c:pt idx="0">
                  <c:v>Television Ad</c:v>
                </c:pt>
              </c:strCache>
            </c:strRef>
          </c:tx>
          <c:spPr>
            <a:solidFill>
              <a:srgbClr val="F1F2FE"/>
            </a:solidFill>
          </c:spPr>
          <c:dPt>
            <c:idx val="0"/>
            <c:bubble3D val="0"/>
            <c:spPr>
              <a:solidFill>
                <a:srgbClr val="8D7EF3"/>
              </a:solidFill>
              <a:ln w="19050">
                <a:solidFill>
                  <a:schemeClr val="lt1"/>
                </a:solidFill>
              </a:ln>
              <a:effectLst/>
            </c:spPr>
            <c:extLst>
              <c:ext xmlns:c16="http://schemas.microsoft.com/office/drawing/2014/chart" uri="{C3380CC4-5D6E-409C-BE32-E72D297353CC}">
                <c16:uniqueId val="{0000001A-A0EA-47F7-813A-6DF02A9CDB7E}"/>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C-A0EA-47F7-813A-6DF02A9CDB7E}"/>
              </c:ext>
            </c:extLst>
          </c:dPt>
          <c:cat>
            <c:strRef>
              <c:f>'Pivot Tables'!$CQ$4:$CQ$5</c:f>
              <c:strCache>
                <c:ptCount val="2"/>
                <c:pt idx="0">
                  <c:v>Actual</c:v>
                </c:pt>
                <c:pt idx="1">
                  <c:v>Difference between max</c:v>
                </c:pt>
              </c:strCache>
            </c:strRef>
          </c:cat>
          <c:val>
            <c:numRef>
              <c:f>'Pivot Tables'!$CW$4:$CW$5</c:f>
              <c:numCache>
                <c:formatCode>[&lt;999950]0.0,"K";[&lt;999950000]0.0,,"M";0.0,,,"B"</c:formatCode>
                <c:ptCount val="2"/>
                <c:pt idx="0">
                  <c:v>4572000000</c:v>
                </c:pt>
                <c:pt idx="1">
                  <c:v>1000000000</c:v>
                </c:pt>
              </c:numCache>
            </c:numRef>
          </c:val>
          <c:extLst>
            <c:ext xmlns:c16="http://schemas.microsoft.com/office/drawing/2014/chart" uri="{C3380CC4-5D6E-409C-BE32-E72D297353CC}">
              <c16:uniqueId val="{0000001D-A0EA-47F7-813A-6DF02A9CDB7E}"/>
            </c:ext>
          </c:extLst>
        </c:ser>
        <c:dLbls>
          <c:showLegendKey val="0"/>
          <c:showVal val="0"/>
          <c:showCatName val="0"/>
          <c:showSerName val="0"/>
          <c:showPercent val="0"/>
          <c:showBubbleSize val="0"/>
          <c:showLeaderLines val="1"/>
        </c:dLbls>
        <c:firstSliceAng val="18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Tables!Training models by sales team</c:name>
    <c:fmtId val="57"/>
  </c:pivotSource>
  <c:chart>
    <c:autoTitleDeleted val="1"/>
    <c:pivotFmts>
      <c:pivotFmt>
        <c:idx val="0"/>
        <c:spPr>
          <a:solidFill>
            <a:srgbClr val="00B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rgbClr val="8D7EF3"/>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Tables'!$DP$4</c:f>
              <c:strCache>
                <c:ptCount val="1"/>
                <c:pt idx="0">
                  <c:v>Total</c:v>
                </c:pt>
              </c:strCache>
            </c:strRef>
          </c:tx>
          <c:spPr>
            <a:solidFill>
              <a:srgbClr val="7030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rgbClr val="8D7EF3"/>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Tables'!$DO$5:$DO$24</c:f>
              <c:multiLvlStrCache>
                <c:ptCount val="15"/>
                <c:lvl>
                  <c:pt idx="0">
                    <c:v>BE</c:v>
                  </c:pt>
                  <c:pt idx="1">
                    <c:v>CNI</c:v>
                  </c:pt>
                  <c:pt idx="2">
                    <c:v>GK</c:v>
                  </c:pt>
                  <c:pt idx="3">
                    <c:v>BE</c:v>
                  </c:pt>
                  <c:pt idx="4">
                    <c:v>CNI</c:v>
                  </c:pt>
                  <c:pt idx="5">
                    <c:v>FC</c:v>
                  </c:pt>
                  <c:pt idx="6">
                    <c:v>GK</c:v>
                  </c:pt>
                  <c:pt idx="7">
                    <c:v>BE</c:v>
                  </c:pt>
                  <c:pt idx="8">
                    <c:v>CNI</c:v>
                  </c:pt>
                  <c:pt idx="9">
                    <c:v>FC</c:v>
                  </c:pt>
                  <c:pt idx="10">
                    <c:v>GK</c:v>
                  </c:pt>
                  <c:pt idx="11">
                    <c:v>BE</c:v>
                  </c:pt>
                  <c:pt idx="12">
                    <c:v>CNI</c:v>
                  </c:pt>
                  <c:pt idx="13">
                    <c:v>FC</c:v>
                  </c:pt>
                  <c:pt idx="14">
                    <c:v>GK</c:v>
                  </c:pt>
                </c:lvl>
                <c:lvl>
                  <c:pt idx="0">
                    <c:v>Abdullah</c:v>
                  </c:pt>
                  <c:pt idx="3">
                    <c:v>Ahmed</c:v>
                  </c:pt>
                  <c:pt idx="7">
                    <c:v>Mohammed</c:v>
                  </c:pt>
                  <c:pt idx="11">
                    <c:v>Salah</c:v>
                  </c:pt>
                </c:lvl>
              </c:multiLvlStrCache>
            </c:multiLvlStrRef>
          </c:cat>
          <c:val>
            <c:numRef>
              <c:f>'Pivot Tables'!$DP$5:$DP$24</c:f>
              <c:numCache>
                <c:formatCode>[&lt;999950]0.0,"K";[&lt;999950000]0.0,,"M";0.0,,,"B"</c:formatCode>
                <c:ptCount val="15"/>
                <c:pt idx="0">
                  <c:v>513000000</c:v>
                </c:pt>
                <c:pt idx="1">
                  <c:v>146000000</c:v>
                </c:pt>
                <c:pt idx="2">
                  <c:v>1920000000</c:v>
                </c:pt>
                <c:pt idx="3">
                  <c:v>703000000</c:v>
                </c:pt>
                <c:pt idx="4">
                  <c:v>284000000</c:v>
                </c:pt>
                <c:pt idx="5">
                  <c:v>95000000</c:v>
                </c:pt>
                <c:pt idx="6">
                  <c:v>1669000000</c:v>
                </c:pt>
                <c:pt idx="7">
                  <c:v>1254000000</c:v>
                </c:pt>
                <c:pt idx="8">
                  <c:v>410000000</c:v>
                </c:pt>
                <c:pt idx="9">
                  <c:v>114000000</c:v>
                </c:pt>
                <c:pt idx="10">
                  <c:v>3594000000</c:v>
                </c:pt>
                <c:pt idx="11">
                  <c:v>1425000000</c:v>
                </c:pt>
                <c:pt idx="12">
                  <c:v>417000000</c:v>
                </c:pt>
                <c:pt idx="13">
                  <c:v>38000000</c:v>
                </c:pt>
                <c:pt idx="14">
                  <c:v>3408000000</c:v>
                </c:pt>
              </c:numCache>
            </c:numRef>
          </c:val>
          <c:extLst>
            <c:ext xmlns:c16="http://schemas.microsoft.com/office/drawing/2014/chart" uri="{C3380CC4-5D6E-409C-BE32-E72D297353CC}">
              <c16:uniqueId val="{00000000-ADE5-425C-B847-4BD6C2D8F001}"/>
            </c:ext>
          </c:extLst>
        </c:ser>
        <c:dLbls>
          <c:dLblPos val="outEnd"/>
          <c:showLegendKey val="0"/>
          <c:showVal val="1"/>
          <c:showCatName val="0"/>
          <c:showSerName val="0"/>
          <c:showPercent val="0"/>
          <c:showBubbleSize val="0"/>
        </c:dLbls>
        <c:gapWidth val="219"/>
        <c:overlap val="-27"/>
        <c:axId val="1776858607"/>
        <c:axId val="1603358271"/>
      </c:barChart>
      <c:catAx>
        <c:axId val="17768586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03358271"/>
        <c:crosses val="autoZero"/>
        <c:auto val="1"/>
        <c:lblAlgn val="ctr"/>
        <c:lblOffset val="100"/>
        <c:noMultiLvlLbl val="0"/>
      </c:catAx>
      <c:valAx>
        <c:axId val="1603358271"/>
        <c:scaling>
          <c:orientation val="minMax"/>
        </c:scaling>
        <c:delete val="1"/>
        <c:axPos val="l"/>
        <c:numFmt formatCode="[&lt;999950]0.0,&quot;K&quot;;[&lt;999950000]0.0,,&quot;M&quot;;0.0,,,&quot;B&quot;" sourceLinked="1"/>
        <c:majorTickMark val="none"/>
        <c:minorTickMark val="none"/>
        <c:tickLblPos val="nextTo"/>
        <c:crossAx val="177685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Tables!PivotTable12</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626"/>
          </a:solidFill>
          <a:ln w="19050">
            <a:solidFill>
              <a:schemeClr val="lt1"/>
            </a:solidFill>
          </a:ln>
          <a:effectLst/>
        </c:spPr>
      </c:pivotFmt>
      <c:pivotFmt>
        <c:idx val="2"/>
        <c:spPr>
          <a:solidFill>
            <a:srgbClr val="0AEAE0"/>
          </a:solidFill>
          <a:ln w="19050">
            <a:solidFill>
              <a:schemeClr val="lt1"/>
            </a:solidFill>
          </a:ln>
          <a:effectLst/>
        </c:spPr>
      </c:pivotFmt>
      <c:pivotFmt>
        <c:idx val="3"/>
        <c:spPr>
          <a:solidFill>
            <a:srgbClr val="FF7C80"/>
          </a:solidFill>
          <a:ln w="19050">
            <a:solidFill>
              <a:schemeClr val="lt1"/>
            </a:solidFill>
          </a:ln>
          <a:effectLst/>
        </c:spPr>
      </c:pivotFmt>
      <c:pivotFmt>
        <c:idx val="4"/>
        <c:spPr>
          <a:solidFill>
            <a:srgbClr val="FFFF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AEAE0"/>
          </a:solidFill>
          <a:ln w="19050">
            <a:solidFill>
              <a:schemeClr val="lt1"/>
            </a:solidFill>
          </a:ln>
          <a:effectLst/>
        </c:spPr>
      </c:pivotFmt>
      <c:pivotFmt>
        <c:idx val="7"/>
        <c:spPr>
          <a:solidFill>
            <a:srgbClr val="FF7C80"/>
          </a:solidFill>
          <a:ln w="19050">
            <a:solidFill>
              <a:schemeClr val="lt1"/>
            </a:solidFill>
          </a:ln>
          <a:effectLst/>
        </c:spPr>
      </c:pivotFmt>
      <c:pivotFmt>
        <c:idx val="8"/>
        <c:spPr>
          <a:solidFill>
            <a:srgbClr val="FFFF00"/>
          </a:solidFill>
          <a:ln w="19050">
            <a:solidFill>
              <a:schemeClr val="lt1"/>
            </a:solidFill>
          </a:ln>
          <a:effectLst/>
        </c:spPr>
      </c:pivotFmt>
      <c:pivotFmt>
        <c:idx val="9"/>
        <c:spPr>
          <a:solidFill>
            <a:srgbClr val="00B626"/>
          </a:solidFill>
          <a:ln w="19050">
            <a:solidFill>
              <a:schemeClr val="lt1"/>
            </a:solidFill>
          </a:ln>
          <a:effectLst/>
        </c:spPr>
      </c:pivotFmt>
      <c:pivotFmt>
        <c:idx val="10"/>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AEAE0"/>
          </a:solidFill>
          <a:ln w="25400">
            <a:solidFill>
              <a:schemeClr val="lt1"/>
            </a:solidFill>
          </a:ln>
          <a:effectLst/>
        </c:spPr>
      </c:pivotFmt>
      <c:pivotFmt>
        <c:idx val="12"/>
        <c:spPr>
          <a:solidFill>
            <a:srgbClr val="FF7C80"/>
          </a:solidFill>
          <a:ln w="25400">
            <a:solidFill>
              <a:schemeClr val="lt1"/>
            </a:solidFill>
          </a:ln>
          <a:effectLst/>
        </c:spPr>
      </c:pivotFmt>
      <c:pivotFmt>
        <c:idx val="13"/>
        <c:spPr>
          <a:solidFill>
            <a:srgbClr val="FFFF00"/>
          </a:solidFill>
          <a:ln w="25400">
            <a:solidFill>
              <a:schemeClr val="lt1"/>
            </a:solidFill>
          </a:ln>
          <a:effectLst/>
        </c:spPr>
      </c:pivotFmt>
      <c:pivotFmt>
        <c:idx val="14"/>
        <c:spPr>
          <a:solidFill>
            <a:srgbClr val="8D7EF3"/>
          </a:solidFill>
          <a:ln w="25400">
            <a:solidFill>
              <a:schemeClr val="lt1"/>
            </a:solidFill>
          </a:ln>
          <a:effectLst/>
        </c:spPr>
      </c:pivotFmt>
      <c:pivotFmt>
        <c:idx val="15"/>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AEAE0"/>
          </a:solidFill>
          <a:ln w="25400">
            <a:solidFill>
              <a:schemeClr val="lt1"/>
            </a:solidFill>
          </a:ln>
          <a:effectLst/>
        </c:spPr>
      </c:pivotFmt>
      <c:pivotFmt>
        <c:idx val="17"/>
        <c:spPr>
          <a:solidFill>
            <a:srgbClr val="FF7C80"/>
          </a:solidFill>
          <a:ln w="25400">
            <a:solidFill>
              <a:schemeClr val="lt1"/>
            </a:solidFill>
          </a:ln>
          <a:effectLst/>
        </c:spPr>
      </c:pivotFmt>
      <c:pivotFmt>
        <c:idx val="18"/>
        <c:spPr>
          <a:solidFill>
            <a:srgbClr val="FFFF00"/>
          </a:solidFill>
          <a:ln w="25400">
            <a:solidFill>
              <a:schemeClr val="lt1"/>
            </a:solidFill>
          </a:ln>
          <a:effectLst/>
        </c:spPr>
      </c:pivotFmt>
      <c:pivotFmt>
        <c:idx val="19"/>
        <c:spPr>
          <a:solidFill>
            <a:srgbClr val="8D7EF3"/>
          </a:solidFill>
          <a:ln w="25400">
            <a:solidFill>
              <a:schemeClr val="lt1"/>
            </a:solidFill>
          </a:ln>
          <a:effectLst/>
        </c:spPr>
      </c:pivotFmt>
      <c:pivotFmt>
        <c:idx val="20"/>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AEAE0"/>
          </a:solidFill>
          <a:ln w="25400">
            <a:solidFill>
              <a:schemeClr val="lt1"/>
            </a:solidFill>
          </a:ln>
          <a:effectLst/>
        </c:spPr>
      </c:pivotFmt>
      <c:pivotFmt>
        <c:idx val="22"/>
        <c:spPr>
          <a:solidFill>
            <a:srgbClr val="FF7C80"/>
          </a:solidFill>
          <a:ln w="25400">
            <a:solidFill>
              <a:schemeClr val="lt1"/>
            </a:solidFill>
          </a:ln>
          <a:effectLst/>
        </c:spPr>
      </c:pivotFmt>
      <c:pivotFmt>
        <c:idx val="23"/>
        <c:spPr>
          <a:solidFill>
            <a:srgbClr val="FFFF00"/>
          </a:solidFill>
          <a:ln w="25400">
            <a:solidFill>
              <a:schemeClr val="lt1"/>
            </a:solidFill>
          </a:ln>
          <a:effectLst/>
        </c:spPr>
      </c:pivotFmt>
      <c:pivotFmt>
        <c:idx val="24"/>
        <c:spPr>
          <a:solidFill>
            <a:srgbClr val="8D7EF3"/>
          </a:solidFill>
          <a:ln w="25400">
            <a:solidFill>
              <a:schemeClr val="lt1"/>
            </a:solidFill>
          </a:ln>
          <a:effectLst/>
        </c:spPr>
      </c:pivotFmt>
      <c:pivotFmt>
        <c:idx val="25"/>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AEAE0"/>
          </a:solidFill>
          <a:ln w="25400">
            <a:solidFill>
              <a:schemeClr val="lt1"/>
            </a:solidFill>
          </a:ln>
          <a:effectLst/>
        </c:spPr>
      </c:pivotFmt>
      <c:pivotFmt>
        <c:idx val="27"/>
        <c:spPr>
          <a:solidFill>
            <a:srgbClr val="FF7C80"/>
          </a:solidFill>
          <a:ln w="25400">
            <a:solidFill>
              <a:schemeClr val="lt1"/>
            </a:solidFill>
          </a:ln>
          <a:effectLst/>
        </c:spPr>
      </c:pivotFmt>
      <c:pivotFmt>
        <c:idx val="28"/>
        <c:spPr>
          <a:solidFill>
            <a:srgbClr val="FFFF00"/>
          </a:solidFill>
          <a:ln w="25400">
            <a:solidFill>
              <a:schemeClr val="lt1"/>
            </a:solidFill>
          </a:ln>
          <a:effectLst/>
        </c:spPr>
      </c:pivotFmt>
      <c:pivotFmt>
        <c:idx val="29"/>
        <c:spPr>
          <a:solidFill>
            <a:srgbClr val="8D7EF3"/>
          </a:solidFill>
          <a:ln w="25400">
            <a:solidFill>
              <a:schemeClr val="lt1"/>
            </a:solidFill>
          </a:ln>
          <a:effectLst/>
        </c:spPr>
      </c:pivotFmt>
      <c:pivotFmt>
        <c:idx val="30"/>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0AEAE0"/>
          </a:solidFill>
          <a:ln w="25400">
            <a:solidFill>
              <a:schemeClr val="lt1"/>
            </a:solidFill>
          </a:ln>
          <a:effectLst/>
        </c:spPr>
      </c:pivotFmt>
      <c:pivotFmt>
        <c:idx val="32"/>
        <c:spPr>
          <a:solidFill>
            <a:srgbClr val="FF7C80"/>
          </a:solidFill>
          <a:ln w="25400">
            <a:solidFill>
              <a:schemeClr val="lt1"/>
            </a:solidFill>
          </a:ln>
          <a:effectLst/>
        </c:spPr>
      </c:pivotFmt>
      <c:pivotFmt>
        <c:idx val="33"/>
        <c:spPr>
          <a:solidFill>
            <a:srgbClr val="FFFF00"/>
          </a:solidFill>
          <a:ln w="25400">
            <a:solidFill>
              <a:schemeClr val="lt1"/>
            </a:solidFill>
          </a:ln>
          <a:effectLst/>
        </c:spPr>
      </c:pivotFmt>
      <c:pivotFmt>
        <c:idx val="34"/>
        <c:spPr>
          <a:solidFill>
            <a:srgbClr val="8D7EF3"/>
          </a:solidFill>
          <a:ln w="25400">
            <a:solidFill>
              <a:schemeClr val="lt1"/>
            </a:solidFill>
          </a:ln>
          <a:effectLst/>
        </c:spPr>
      </c:pivotFmt>
    </c:pivotFmts>
    <c:plotArea>
      <c:layout/>
      <c:pieChart>
        <c:varyColors val="1"/>
        <c:ser>
          <c:idx val="0"/>
          <c:order val="0"/>
          <c:tx>
            <c:strRef>
              <c:f>'Pivot Tables'!$AQ$4</c:f>
              <c:strCache>
                <c:ptCount val="1"/>
                <c:pt idx="0">
                  <c:v>Total</c:v>
                </c:pt>
              </c:strCache>
            </c:strRef>
          </c:tx>
          <c:spPr>
            <a:ln w="25400"/>
          </c:spPr>
          <c:dPt>
            <c:idx val="0"/>
            <c:bubble3D val="0"/>
            <c:spPr>
              <a:solidFill>
                <a:srgbClr val="0AEAE0"/>
              </a:solidFill>
              <a:ln w="25400">
                <a:solidFill>
                  <a:schemeClr val="lt1"/>
                </a:solidFill>
              </a:ln>
              <a:effectLst/>
            </c:spPr>
            <c:extLst>
              <c:ext xmlns:c16="http://schemas.microsoft.com/office/drawing/2014/chart" uri="{C3380CC4-5D6E-409C-BE32-E72D297353CC}">
                <c16:uniqueId val="{00000001-1F2D-4302-A0AA-409B9D906A5F}"/>
              </c:ext>
            </c:extLst>
          </c:dPt>
          <c:dPt>
            <c:idx val="1"/>
            <c:bubble3D val="0"/>
            <c:spPr>
              <a:solidFill>
                <a:srgbClr val="FF7C80"/>
              </a:solidFill>
              <a:ln w="25400">
                <a:solidFill>
                  <a:schemeClr val="lt1"/>
                </a:solidFill>
              </a:ln>
              <a:effectLst/>
            </c:spPr>
            <c:extLst>
              <c:ext xmlns:c16="http://schemas.microsoft.com/office/drawing/2014/chart" uri="{C3380CC4-5D6E-409C-BE32-E72D297353CC}">
                <c16:uniqueId val="{00000003-1F2D-4302-A0AA-409B9D906A5F}"/>
              </c:ext>
            </c:extLst>
          </c:dPt>
          <c:dPt>
            <c:idx val="2"/>
            <c:bubble3D val="0"/>
            <c:spPr>
              <a:solidFill>
                <a:srgbClr val="FFFF00"/>
              </a:solidFill>
              <a:ln w="25400">
                <a:solidFill>
                  <a:schemeClr val="lt1"/>
                </a:solidFill>
              </a:ln>
              <a:effectLst/>
            </c:spPr>
            <c:extLst>
              <c:ext xmlns:c16="http://schemas.microsoft.com/office/drawing/2014/chart" uri="{C3380CC4-5D6E-409C-BE32-E72D297353CC}">
                <c16:uniqueId val="{00000005-1F2D-4302-A0AA-409B9D906A5F}"/>
              </c:ext>
            </c:extLst>
          </c:dPt>
          <c:dPt>
            <c:idx val="3"/>
            <c:bubble3D val="0"/>
            <c:spPr>
              <a:solidFill>
                <a:srgbClr val="8D7EF3"/>
              </a:solidFill>
              <a:ln w="25400">
                <a:solidFill>
                  <a:schemeClr val="lt1"/>
                </a:solidFill>
              </a:ln>
              <a:effectLst/>
            </c:spPr>
            <c:extLst>
              <c:ext xmlns:c16="http://schemas.microsoft.com/office/drawing/2014/chart" uri="{C3380CC4-5D6E-409C-BE32-E72D297353CC}">
                <c16:uniqueId val="{00000007-1F2D-4302-A0AA-409B9D906A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Tables'!$AP$5:$AP$9</c:f>
              <c:strCache>
                <c:ptCount val="4"/>
                <c:pt idx="0">
                  <c:v>BE</c:v>
                </c:pt>
                <c:pt idx="1">
                  <c:v>CNI</c:v>
                </c:pt>
                <c:pt idx="2">
                  <c:v>FC</c:v>
                </c:pt>
                <c:pt idx="3">
                  <c:v>GK</c:v>
                </c:pt>
              </c:strCache>
            </c:strRef>
          </c:cat>
          <c:val>
            <c:numRef>
              <c:f>'Pivot Tables'!$AQ$5:$AQ$9</c:f>
              <c:numCache>
                <c:formatCode>[&lt;999950]0.0,"K";[&lt;999950000]0.0,,"M";0.0,,,"B"</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8-1F2D-4302-A0AA-409B9D906A5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Tables!total earnings by month</c:name>
    <c:fmtId val="7"/>
  </c:pivotSource>
  <c:chart>
    <c:autoTitleDeleted val="1"/>
    <c:pivotFmts>
      <c:pivotFmt>
        <c:idx val="0"/>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35000">
                <a:srgbClr val="FF7C80">
                  <a:alpha val="0"/>
                </a:srgbClr>
              </a:gs>
              <a:gs pos="0">
                <a:srgbClr val="FF7C80">
                  <a:alpha val="40000"/>
                </a:srgbClr>
              </a:gs>
            </a:gsLst>
            <a:lin ang="5400000" scaled="1"/>
          </a:gradFill>
          <a:ln>
            <a:noFill/>
          </a:ln>
          <a:effectLst/>
        </c:spPr>
        <c:marker>
          <c:symbol val="none"/>
        </c:marker>
      </c:pivotFmt>
      <c:pivotFmt>
        <c:idx val="4"/>
        <c:spPr>
          <a:gradFill>
            <a:gsLst>
              <a:gs pos="35000">
                <a:srgbClr val="FF7C80">
                  <a:alpha val="0"/>
                </a:srgbClr>
              </a:gs>
              <a:gs pos="0">
                <a:srgbClr val="FF7C80">
                  <a:alpha val="4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35000">
                <a:srgbClr val="FF7C80">
                  <a:alpha val="0"/>
                </a:srgbClr>
              </a:gs>
              <a:gs pos="0">
                <a:srgbClr val="FF7C80">
                  <a:alpha val="4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587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35000">
                <a:srgbClr val="FF7C80">
                  <a:alpha val="0"/>
                </a:srgbClr>
              </a:gs>
              <a:gs pos="0">
                <a:srgbClr val="FF7C80">
                  <a:alpha val="4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587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35000">
                <a:srgbClr val="FF7C80">
                  <a:alpha val="0"/>
                </a:srgbClr>
              </a:gs>
              <a:gs pos="0">
                <a:srgbClr val="FF7C80">
                  <a:alpha val="4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587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49024199843872E-2"/>
          <c:y val="3.6781609195402298E-2"/>
          <c:w val="0.97501951600312253"/>
          <c:h val="0.9264367816091954"/>
        </c:manualLayout>
      </c:layout>
      <c:areaChart>
        <c:grouping val="standard"/>
        <c:varyColors val="0"/>
        <c:ser>
          <c:idx val="1"/>
          <c:order val="1"/>
          <c:tx>
            <c:strRef>
              <c:f>'Pivot Tables'!$V$4</c:f>
              <c:strCache>
                <c:ptCount val="1"/>
                <c:pt idx="0">
                  <c:v>Sum of Paid Fees2</c:v>
                </c:pt>
              </c:strCache>
            </c:strRef>
          </c:tx>
          <c:spPr>
            <a:gradFill>
              <a:gsLst>
                <a:gs pos="35000">
                  <a:srgbClr val="FF7C80">
                    <a:alpha val="0"/>
                  </a:srgbClr>
                </a:gs>
                <a:gs pos="0">
                  <a:srgbClr val="FF7C80">
                    <a:alpha val="40000"/>
                  </a:srgbClr>
                </a:gs>
              </a:gsLst>
              <a:lin ang="5400000" scaled="1"/>
            </a:gradFill>
            <a:ln>
              <a:noFill/>
            </a:ln>
            <a:effectLst/>
          </c:spPr>
          <c:cat>
            <c:strRef>
              <c:f>'Pivot Tables'!$T$5:$T$16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Tables'!$V$5:$V$16</c:f>
              <c:numCache>
                <c:formatCode>General</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extLst>
            <c:ext xmlns:c16="http://schemas.microsoft.com/office/drawing/2014/chart" uri="{C3380CC4-5D6E-409C-BE32-E72D297353CC}">
              <c16:uniqueId val="{00000000-2786-491B-B2D3-70A79F1A58F8}"/>
            </c:ext>
          </c:extLst>
        </c:ser>
        <c:dLbls>
          <c:showLegendKey val="0"/>
          <c:showVal val="0"/>
          <c:showCatName val="0"/>
          <c:showSerName val="0"/>
          <c:showPercent val="0"/>
          <c:showBubbleSize val="0"/>
        </c:dLbls>
        <c:axId val="750846367"/>
        <c:axId val="1309249263"/>
      </c:areaChart>
      <c:lineChart>
        <c:grouping val="standard"/>
        <c:varyColors val="0"/>
        <c:ser>
          <c:idx val="0"/>
          <c:order val="0"/>
          <c:tx>
            <c:strRef>
              <c:f>'Pivot Tables'!$U$4</c:f>
              <c:strCache>
                <c:ptCount val="1"/>
                <c:pt idx="0">
                  <c:v>Sum of Paid Fees</c:v>
                </c:pt>
              </c:strCache>
            </c:strRef>
          </c:tx>
          <c:spPr>
            <a:ln w="15875" cap="rnd">
              <a:solidFill>
                <a:srgbClr val="00B62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Tables'!$T$5:$T$16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Tables'!$U$5:$U$16</c:f>
              <c:numCache>
                <c:formatCode>[&lt;999950]0.0,"K";[&lt;999950000]0.0,,"M";0.0,,,"B"</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smooth val="1"/>
          <c:extLst>
            <c:ext xmlns:c16="http://schemas.microsoft.com/office/drawing/2014/chart" uri="{C3380CC4-5D6E-409C-BE32-E72D297353CC}">
              <c16:uniqueId val="{00000001-2786-491B-B2D3-70A79F1A58F8}"/>
            </c:ext>
          </c:extLst>
        </c:ser>
        <c:dLbls>
          <c:dLblPos val="t"/>
          <c:showLegendKey val="0"/>
          <c:showVal val="1"/>
          <c:showCatName val="0"/>
          <c:showSerName val="0"/>
          <c:showPercent val="0"/>
          <c:showBubbleSize val="0"/>
        </c:dLbls>
        <c:marker val="1"/>
        <c:smooth val="0"/>
        <c:axId val="750846367"/>
        <c:axId val="1309249263"/>
      </c:lineChart>
      <c:catAx>
        <c:axId val="750846367"/>
        <c:scaling>
          <c:orientation val="minMax"/>
        </c:scaling>
        <c:delete val="1"/>
        <c:axPos val="b"/>
        <c:numFmt formatCode="General" sourceLinked="1"/>
        <c:majorTickMark val="none"/>
        <c:minorTickMark val="none"/>
        <c:tickLblPos val="nextTo"/>
        <c:crossAx val="1309249263"/>
        <c:crosses val="autoZero"/>
        <c:auto val="1"/>
        <c:lblAlgn val="ctr"/>
        <c:lblOffset val="100"/>
        <c:noMultiLvlLbl val="0"/>
      </c:catAx>
      <c:valAx>
        <c:axId val="1309249263"/>
        <c:scaling>
          <c:orientation val="minMax"/>
        </c:scaling>
        <c:delete val="1"/>
        <c:axPos val="l"/>
        <c:numFmt formatCode="General" sourceLinked="1"/>
        <c:majorTickMark val="none"/>
        <c:minorTickMark val="none"/>
        <c:tickLblPos val="nextTo"/>
        <c:crossAx val="75084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Tables!PivotTable6</c:name>
    <c:fmtId val="15"/>
  </c:pivotSource>
  <c:chart>
    <c:autoTitleDeleted val="1"/>
    <c:pivotFmts>
      <c:pivotFmt>
        <c:idx val="0"/>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bg1">
              <a:lumMod val="95000"/>
            </a:schemeClr>
          </a:solidFill>
          <a:ln w="19050">
            <a:solidFill>
              <a:schemeClr val="lt1"/>
            </a:solidFill>
          </a:ln>
          <a:effectLst/>
        </c:spPr>
      </c:pivotFmt>
      <c:pivotFmt>
        <c:idx val="2"/>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rgbClr val="00B626"/>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00B626"/>
          </a:solidFill>
          <a:ln w="19050">
            <a:solidFill>
              <a:schemeClr val="lt1"/>
            </a:solidFill>
          </a:ln>
          <a:effectLst/>
        </c:spPr>
      </c:pivotFmt>
      <c:pivotFmt>
        <c:idx val="7"/>
        <c:spPr>
          <a:solidFill>
            <a:schemeClr val="bg1">
              <a:lumMod val="95000"/>
            </a:schemeClr>
          </a:solidFill>
          <a:ln w="19050">
            <a:solidFill>
              <a:schemeClr val="lt1"/>
            </a:solidFill>
          </a:ln>
          <a:effectLst/>
        </c:spPr>
      </c:pivotFmt>
      <c:pivotFmt>
        <c:idx val="8"/>
        <c:spPr>
          <a:solidFill>
            <a:srgbClr val="00B626"/>
          </a:solidFill>
        </c:spPr>
        <c:marker>
          <c:symbol val="none"/>
        </c:marker>
        <c:dLbl>
          <c:idx val="0"/>
          <c:delete val="1"/>
          <c:extLst>
            <c:ext xmlns:c15="http://schemas.microsoft.com/office/drawing/2012/chart" uri="{CE6537A1-D6FC-4f65-9D91-7224C49458BB}"/>
          </c:extLst>
        </c:dLbl>
      </c:pivotFmt>
      <c:pivotFmt>
        <c:idx val="9"/>
        <c:spPr>
          <a:solidFill>
            <a:srgbClr val="00B626"/>
          </a:solidFill>
          <a:ln w="19050">
            <a:solidFill>
              <a:schemeClr val="lt1"/>
            </a:solidFill>
          </a:ln>
          <a:effectLst/>
        </c:spPr>
      </c:pivotFmt>
      <c:pivotFmt>
        <c:idx val="10"/>
        <c:spPr>
          <a:solidFill>
            <a:schemeClr val="bg1">
              <a:lumMod val="95000"/>
            </a:schemeClr>
          </a:solidFill>
          <a:ln w="19050">
            <a:solidFill>
              <a:schemeClr val="lt1"/>
            </a:solidFill>
          </a:ln>
          <a:effectLst/>
        </c:spPr>
      </c:pivotFmt>
      <c:pivotFmt>
        <c:idx val="11"/>
        <c:spPr>
          <a:solidFill>
            <a:srgbClr val="00B626"/>
          </a:solidFill>
        </c:spPr>
        <c:marker>
          <c:symbol val="none"/>
        </c:marker>
        <c:dLbl>
          <c:idx val="0"/>
          <c:delete val="1"/>
          <c:extLst>
            <c:ext xmlns:c15="http://schemas.microsoft.com/office/drawing/2012/chart" uri="{CE6537A1-D6FC-4f65-9D91-7224C49458BB}"/>
          </c:extLst>
        </c:dLbl>
      </c:pivotFmt>
      <c:pivotFmt>
        <c:idx val="12"/>
        <c:spPr>
          <a:solidFill>
            <a:srgbClr val="00B626"/>
          </a:solidFill>
          <a:ln w="19050">
            <a:solidFill>
              <a:schemeClr val="lt1"/>
            </a:solidFill>
          </a:ln>
          <a:effectLst/>
        </c:spPr>
      </c:pivotFmt>
      <c:pivotFmt>
        <c:idx val="13"/>
        <c:spPr>
          <a:solidFill>
            <a:schemeClr val="bg1">
              <a:lumMod val="95000"/>
            </a:schemeClr>
          </a:solidFill>
          <a:ln w="19050">
            <a:solidFill>
              <a:schemeClr val="lt1"/>
            </a:solidFill>
          </a:ln>
          <a:effectLst/>
        </c:spPr>
      </c:pivotFmt>
      <c:pivotFmt>
        <c:idx val="14"/>
        <c:spPr>
          <a:solidFill>
            <a:srgbClr val="00B626"/>
          </a:solidFill>
        </c:spPr>
        <c:marker>
          <c:symbol val="none"/>
        </c:marker>
        <c:dLbl>
          <c:idx val="0"/>
          <c:delete val="1"/>
          <c:extLst>
            <c:ext xmlns:c15="http://schemas.microsoft.com/office/drawing/2012/chart" uri="{CE6537A1-D6FC-4f65-9D91-7224C49458BB}"/>
          </c:extLst>
        </c:dLbl>
      </c:pivotFmt>
      <c:pivotFmt>
        <c:idx val="15"/>
        <c:spPr>
          <a:solidFill>
            <a:srgbClr val="00B626"/>
          </a:solidFill>
          <a:ln w="19050">
            <a:solidFill>
              <a:schemeClr val="lt1"/>
            </a:solidFill>
          </a:ln>
          <a:effectLst/>
        </c:spPr>
      </c:pivotFmt>
      <c:pivotFmt>
        <c:idx val="16"/>
        <c:spPr>
          <a:solidFill>
            <a:schemeClr val="bg1">
              <a:lumMod val="95000"/>
            </a:schemeClr>
          </a:solidFill>
          <a:ln w="19050">
            <a:solidFill>
              <a:schemeClr val="lt1"/>
            </a:solidFill>
          </a:ln>
          <a:effectLst/>
        </c:spPr>
      </c:pivotFmt>
      <c:pivotFmt>
        <c:idx val="17"/>
        <c:spPr>
          <a:solidFill>
            <a:srgbClr val="00B626"/>
          </a:solidFill>
        </c:spPr>
        <c:marker>
          <c:symbol val="none"/>
        </c:marker>
        <c:dLbl>
          <c:idx val="0"/>
          <c:delete val="1"/>
          <c:extLst>
            <c:ext xmlns:c15="http://schemas.microsoft.com/office/drawing/2012/chart" uri="{CE6537A1-D6FC-4f65-9D91-7224C49458BB}"/>
          </c:extLst>
        </c:dLbl>
      </c:pivotFmt>
      <c:pivotFmt>
        <c:idx val="18"/>
        <c:spPr>
          <a:solidFill>
            <a:srgbClr val="00B626"/>
          </a:solidFill>
          <a:ln w="19050">
            <a:solidFill>
              <a:schemeClr val="lt1"/>
            </a:solidFill>
          </a:ln>
          <a:effectLst/>
        </c:spPr>
      </c:pivotFmt>
      <c:pivotFmt>
        <c:idx val="19"/>
        <c:spPr>
          <a:solidFill>
            <a:schemeClr val="bg1">
              <a:lumMod val="95000"/>
            </a:schemeClr>
          </a:solidFill>
          <a:ln w="19050">
            <a:solidFill>
              <a:schemeClr val="lt1"/>
            </a:solidFill>
          </a:ln>
          <a:effectLst/>
        </c:spPr>
      </c:pivotFmt>
      <c:pivotFmt>
        <c:idx val="20"/>
        <c:spPr>
          <a:solidFill>
            <a:srgbClr val="00B626"/>
          </a:solidFill>
        </c:spPr>
        <c:marker>
          <c:symbol val="none"/>
        </c:marker>
        <c:dLbl>
          <c:idx val="0"/>
          <c:delete val="1"/>
          <c:extLst>
            <c:ext xmlns:c15="http://schemas.microsoft.com/office/drawing/2012/chart" uri="{CE6537A1-D6FC-4f65-9D91-7224C49458BB}"/>
          </c:extLst>
        </c:dLbl>
      </c:pivotFmt>
      <c:pivotFmt>
        <c:idx val="21"/>
        <c:spPr>
          <a:solidFill>
            <a:srgbClr val="00B626"/>
          </a:solidFill>
          <a:ln w="19050">
            <a:solidFill>
              <a:schemeClr val="lt1"/>
            </a:solidFill>
          </a:ln>
          <a:effectLst/>
        </c:spPr>
      </c:pivotFmt>
      <c:pivotFmt>
        <c:idx val="22"/>
        <c:spPr>
          <a:solidFill>
            <a:schemeClr val="bg1">
              <a:lumMod val="95000"/>
            </a:schemeClr>
          </a:solidFill>
          <a:ln w="19050">
            <a:solidFill>
              <a:schemeClr val="lt1"/>
            </a:solidFill>
          </a:ln>
          <a:effectLst/>
        </c:spPr>
      </c:pivotFmt>
      <c:pivotFmt>
        <c:idx val="23"/>
        <c:spPr>
          <a:solidFill>
            <a:srgbClr val="00B626"/>
          </a:solidFill>
        </c:spPr>
        <c:marker>
          <c:symbol val="none"/>
        </c:marker>
        <c:dLbl>
          <c:idx val="0"/>
          <c:delete val="1"/>
          <c:extLst>
            <c:ext xmlns:c15="http://schemas.microsoft.com/office/drawing/2012/chart" uri="{CE6537A1-D6FC-4f65-9D91-7224C49458BB}"/>
          </c:extLst>
        </c:dLbl>
      </c:pivotFmt>
      <c:pivotFmt>
        <c:idx val="24"/>
        <c:spPr>
          <a:solidFill>
            <a:srgbClr val="00B626"/>
          </a:solidFill>
          <a:ln w="19050">
            <a:solidFill>
              <a:schemeClr val="lt1"/>
            </a:solidFill>
          </a:ln>
          <a:effectLst/>
        </c:spPr>
      </c:pivotFmt>
      <c:pivotFmt>
        <c:idx val="25"/>
        <c:spPr>
          <a:solidFill>
            <a:schemeClr val="bg1">
              <a:lumMod val="95000"/>
            </a:schemeClr>
          </a:solidFill>
          <a:ln w="19050">
            <a:solidFill>
              <a:schemeClr val="lt1"/>
            </a:solidFill>
          </a:ln>
          <a:effectLst/>
        </c:spPr>
      </c:pivotFmt>
      <c:pivotFmt>
        <c:idx val="26"/>
        <c:spPr>
          <a:solidFill>
            <a:srgbClr val="00B626"/>
          </a:solidFill>
        </c:spPr>
        <c:marker>
          <c:symbol val="none"/>
        </c:marker>
        <c:dLbl>
          <c:idx val="0"/>
          <c:delete val="1"/>
          <c:extLst>
            <c:ext xmlns:c15="http://schemas.microsoft.com/office/drawing/2012/chart" uri="{CE6537A1-D6FC-4f65-9D91-7224C49458BB}"/>
          </c:extLst>
        </c:dLbl>
      </c:pivotFmt>
      <c:pivotFmt>
        <c:idx val="27"/>
        <c:spPr>
          <a:solidFill>
            <a:srgbClr val="00B626"/>
          </a:solidFill>
          <a:ln w="19050">
            <a:solidFill>
              <a:schemeClr val="lt1"/>
            </a:solidFill>
          </a:ln>
          <a:effectLst/>
        </c:spPr>
      </c:pivotFmt>
      <c:pivotFmt>
        <c:idx val="28"/>
        <c:spPr>
          <a:solidFill>
            <a:schemeClr val="bg1">
              <a:lumMod val="95000"/>
            </a:schemeClr>
          </a:solidFill>
          <a:ln w="19050">
            <a:solidFill>
              <a:schemeClr val="lt1"/>
            </a:solidFill>
          </a:ln>
          <a:effectLst/>
        </c:spPr>
      </c:pivotFmt>
      <c:pivotFmt>
        <c:idx val="29"/>
        <c:spPr>
          <a:solidFill>
            <a:srgbClr val="00B626"/>
          </a:solidFill>
        </c:spPr>
        <c:marker>
          <c:symbol val="none"/>
        </c:marker>
        <c:dLbl>
          <c:idx val="0"/>
          <c:delete val="1"/>
          <c:extLst>
            <c:ext xmlns:c15="http://schemas.microsoft.com/office/drawing/2012/chart" uri="{CE6537A1-D6FC-4f65-9D91-7224C49458BB}"/>
          </c:extLst>
        </c:dLbl>
      </c:pivotFmt>
      <c:pivotFmt>
        <c:idx val="30"/>
        <c:spPr>
          <a:solidFill>
            <a:srgbClr val="00B626"/>
          </a:solidFill>
          <a:ln w="19050">
            <a:solidFill>
              <a:schemeClr val="lt1"/>
            </a:solidFill>
          </a:ln>
          <a:effectLst/>
        </c:spPr>
      </c:pivotFmt>
      <c:pivotFmt>
        <c:idx val="31"/>
        <c:spPr>
          <a:solidFill>
            <a:schemeClr val="bg1">
              <a:lumMod val="95000"/>
            </a:schemeClr>
          </a:solidFill>
          <a:ln w="19050">
            <a:solidFill>
              <a:schemeClr val="lt1"/>
            </a:solidFill>
          </a:ln>
          <a:effectLst/>
        </c:spPr>
      </c:pivotFmt>
    </c:pivotFmts>
    <c:plotArea>
      <c:layout/>
      <c:doughnutChart>
        <c:varyColors val="1"/>
        <c:ser>
          <c:idx val="0"/>
          <c:order val="0"/>
          <c:tx>
            <c:strRef>
              <c:f>'Pivot Tables'!$AD$4</c:f>
              <c:strCache>
                <c:ptCount val="1"/>
                <c:pt idx="0">
                  <c:v>Total</c:v>
                </c:pt>
              </c:strCache>
            </c:strRef>
          </c:tx>
          <c:spPr>
            <a:solidFill>
              <a:srgbClr val="00B626"/>
            </a:solidFill>
          </c:spPr>
          <c:dPt>
            <c:idx val="0"/>
            <c:bubble3D val="0"/>
            <c:spPr>
              <a:solidFill>
                <a:srgbClr val="00B626"/>
              </a:solidFill>
              <a:ln w="19050">
                <a:solidFill>
                  <a:schemeClr val="lt1"/>
                </a:solidFill>
              </a:ln>
              <a:effectLst/>
            </c:spPr>
            <c:extLst>
              <c:ext xmlns:c16="http://schemas.microsoft.com/office/drawing/2014/chart" uri="{C3380CC4-5D6E-409C-BE32-E72D297353CC}">
                <c16:uniqueId val="{00000001-A6A4-49D5-B7E3-6C04C68B224A}"/>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A6A4-49D5-B7E3-6C04C68B224A}"/>
              </c:ext>
            </c:extLst>
          </c:dPt>
          <c:cat>
            <c:strRef>
              <c:f>'Pivot Tables'!$AC$5:$AC$7</c:f>
              <c:strCache>
                <c:ptCount val="2"/>
                <c:pt idx="0">
                  <c:v>Paid</c:v>
                </c:pt>
                <c:pt idx="1">
                  <c:v>Not Paid</c:v>
                </c:pt>
              </c:strCache>
            </c:strRef>
          </c:cat>
          <c:val>
            <c:numRef>
              <c:f>'Pivot Tables'!$AD$5:$AD$7</c:f>
              <c:numCache>
                <c:formatCode>General</c:formatCode>
                <c:ptCount val="2"/>
                <c:pt idx="0">
                  <c:v>926</c:v>
                </c:pt>
                <c:pt idx="1">
                  <c:v>311</c:v>
                </c:pt>
              </c:numCache>
            </c:numRef>
          </c:val>
          <c:extLst>
            <c:ext xmlns:c16="http://schemas.microsoft.com/office/drawing/2014/chart" uri="{C3380CC4-5D6E-409C-BE32-E72D297353CC}">
              <c16:uniqueId val="{00000004-A6A4-49D5-B7E3-6C04C68B224A}"/>
            </c:ext>
          </c:extLst>
        </c:ser>
        <c:dLbls>
          <c:showLegendKey val="0"/>
          <c:showVal val="0"/>
          <c:showCatName val="0"/>
          <c:showSerName val="0"/>
          <c:showPercent val="0"/>
          <c:showBubbleSize val="0"/>
          <c:showLeaderLines val="1"/>
        </c:dLbls>
        <c:firstSliceAng val="0"/>
        <c:holeSize val="75"/>
      </c:doughnutChart>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Tables!PivotTable6</c:name>
    <c:fmtId val="16"/>
  </c:pivotSource>
  <c:chart>
    <c:autoTitleDeleted val="1"/>
    <c:pivotFmts>
      <c:pivotFmt>
        <c:idx val="0"/>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bg1">
              <a:lumMod val="95000"/>
            </a:schemeClr>
          </a:solidFill>
          <a:ln w="19050">
            <a:solidFill>
              <a:schemeClr val="lt1"/>
            </a:solidFill>
          </a:ln>
          <a:effectLst/>
        </c:spPr>
      </c:pivotFmt>
      <c:pivotFmt>
        <c:idx val="2"/>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rgbClr val="00B626"/>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rgbClr val="00B62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00B626"/>
          </a:solidFill>
          <a:ln w="19050">
            <a:solidFill>
              <a:schemeClr val="lt1"/>
            </a:solidFill>
          </a:ln>
          <a:effectLst/>
        </c:spPr>
      </c:pivotFmt>
      <c:pivotFmt>
        <c:idx val="7"/>
        <c:spPr>
          <a:solidFill>
            <a:schemeClr val="bg1">
              <a:lumMod val="95000"/>
            </a:schemeClr>
          </a:solidFill>
          <a:ln w="19050">
            <a:solidFill>
              <a:schemeClr val="lt1"/>
            </a:solidFill>
          </a:ln>
          <a:effectLst/>
        </c:spPr>
      </c:pivotFmt>
      <c:pivotFmt>
        <c:idx val="8"/>
        <c:spPr>
          <a:solidFill>
            <a:srgbClr val="00B626"/>
          </a:solidFill>
        </c:spPr>
        <c:marker>
          <c:symbol val="none"/>
        </c:marker>
        <c:dLbl>
          <c:idx val="0"/>
          <c:delete val="1"/>
          <c:extLst>
            <c:ext xmlns:c15="http://schemas.microsoft.com/office/drawing/2012/chart" uri="{CE6537A1-D6FC-4f65-9D91-7224C49458BB}"/>
          </c:extLst>
        </c:dLbl>
      </c:pivotFmt>
      <c:pivotFmt>
        <c:idx val="9"/>
        <c:spPr>
          <a:solidFill>
            <a:srgbClr val="00B626"/>
          </a:solidFill>
          <a:ln w="19050">
            <a:solidFill>
              <a:schemeClr val="lt1"/>
            </a:solidFill>
          </a:ln>
          <a:effectLst/>
        </c:spPr>
      </c:pivotFmt>
      <c:pivotFmt>
        <c:idx val="10"/>
        <c:spPr>
          <a:solidFill>
            <a:schemeClr val="bg1">
              <a:lumMod val="95000"/>
            </a:schemeClr>
          </a:solidFill>
          <a:ln w="19050">
            <a:solidFill>
              <a:schemeClr val="lt1"/>
            </a:solidFill>
          </a:ln>
          <a:effectLst/>
        </c:spPr>
      </c:pivotFmt>
      <c:pivotFmt>
        <c:idx val="11"/>
        <c:spPr>
          <a:solidFill>
            <a:srgbClr val="00B626"/>
          </a:solidFill>
        </c:spPr>
        <c:marker>
          <c:symbol val="none"/>
        </c:marker>
        <c:dLbl>
          <c:idx val="0"/>
          <c:delete val="1"/>
          <c:extLst>
            <c:ext xmlns:c15="http://schemas.microsoft.com/office/drawing/2012/chart" uri="{CE6537A1-D6FC-4f65-9D91-7224C49458BB}"/>
          </c:extLst>
        </c:dLbl>
      </c:pivotFmt>
      <c:pivotFmt>
        <c:idx val="12"/>
        <c:spPr>
          <a:solidFill>
            <a:srgbClr val="00B626"/>
          </a:solidFill>
          <a:ln w="19050">
            <a:solidFill>
              <a:schemeClr val="lt1"/>
            </a:solidFill>
          </a:ln>
          <a:effectLst/>
        </c:spPr>
      </c:pivotFmt>
      <c:pivotFmt>
        <c:idx val="13"/>
        <c:spPr>
          <a:solidFill>
            <a:schemeClr val="bg1">
              <a:lumMod val="95000"/>
            </a:schemeClr>
          </a:solidFill>
          <a:ln w="19050">
            <a:solidFill>
              <a:schemeClr val="lt1"/>
            </a:solidFill>
          </a:ln>
          <a:effectLst/>
        </c:spPr>
      </c:pivotFmt>
      <c:pivotFmt>
        <c:idx val="14"/>
        <c:spPr>
          <a:solidFill>
            <a:srgbClr val="00B626"/>
          </a:solidFill>
        </c:spPr>
        <c:marker>
          <c:symbol val="none"/>
        </c:marker>
        <c:dLbl>
          <c:idx val="0"/>
          <c:delete val="1"/>
          <c:extLst>
            <c:ext xmlns:c15="http://schemas.microsoft.com/office/drawing/2012/chart" uri="{CE6537A1-D6FC-4f65-9D91-7224C49458BB}"/>
          </c:extLst>
        </c:dLbl>
      </c:pivotFmt>
      <c:pivotFmt>
        <c:idx val="15"/>
        <c:spPr>
          <a:solidFill>
            <a:srgbClr val="00B626"/>
          </a:solidFill>
          <a:ln w="19050">
            <a:solidFill>
              <a:schemeClr val="lt1"/>
            </a:solidFill>
          </a:ln>
          <a:effectLst/>
        </c:spPr>
      </c:pivotFmt>
      <c:pivotFmt>
        <c:idx val="16"/>
        <c:spPr>
          <a:solidFill>
            <a:schemeClr val="bg1">
              <a:lumMod val="95000"/>
            </a:schemeClr>
          </a:solidFill>
          <a:ln w="19050">
            <a:solidFill>
              <a:schemeClr val="lt1"/>
            </a:solidFill>
          </a:ln>
          <a:effectLst/>
        </c:spPr>
      </c:pivotFmt>
      <c:pivotFmt>
        <c:idx val="17"/>
        <c:spPr>
          <a:solidFill>
            <a:srgbClr val="00B626"/>
          </a:solidFill>
        </c:spPr>
        <c:marker>
          <c:symbol val="none"/>
        </c:marker>
        <c:dLbl>
          <c:idx val="0"/>
          <c:delete val="1"/>
          <c:extLst>
            <c:ext xmlns:c15="http://schemas.microsoft.com/office/drawing/2012/chart" uri="{CE6537A1-D6FC-4f65-9D91-7224C49458BB}"/>
          </c:extLst>
        </c:dLbl>
      </c:pivotFmt>
      <c:pivotFmt>
        <c:idx val="18"/>
        <c:spPr>
          <a:solidFill>
            <a:srgbClr val="00B626"/>
          </a:solidFill>
          <a:ln w="19050">
            <a:solidFill>
              <a:schemeClr val="lt1"/>
            </a:solidFill>
          </a:ln>
          <a:effectLst/>
        </c:spPr>
      </c:pivotFmt>
      <c:pivotFmt>
        <c:idx val="19"/>
        <c:spPr>
          <a:solidFill>
            <a:schemeClr val="bg1">
              <a:lumMod val="95000"/>
            </a:schemeClr>
          </a:solidFill>
          <a:ln w="19050">
            <a:solidFill>
              <a:schemeClr val="lt1"/>
            </a:solidFill>
          </a:ln>
          <a:effectLst/>
        </c:spPr>
      </c:pivotFmt>
      <c:pivotFmt>
        <c:idx val="20"/>
        <c:spPr>
          <a:solidFill>
            <a:srgbClr val="00B626"/>
          </a:solidFill>
        </c:spPr>
        <c:marker>
          <c:symbol val="none"/>
        </c:marker>
        <c:dLbl>
          <c:idx val="0"/>
          <c:delete val="1"/>
          <c:extLst>
            <c:ext xmlns:c15="http://schemas.microsoft.com/office/drawing/2012/chart" uri="{CE6537A1-D6FC-4f65-9D91-7224C49458BB}"/>
          </c:extLst>
        </c:dLbl>
      </c:pivotFmt>
      <c:pivotFmt>
        <c:idx val="21"/>
        <c:spPr>
          <a:solidFill>
            <a:srgbClr val="00B626"/>
          </a:solidFill>
          <a:ln w="19050">
            <a:solidFill>
              <a:schemeClr val="lt1"/>
            </a:solidFill>
          </a:ln>
          <a:effectLst/>
        </c:spPr>
      </c:pivotFmt>
      <c:pivotFmt>
        <c:idx val="22"/>
        <c:spPr>
          <a:solidFill>
            <a:schemeClr val="bg1">
              <a:lumMod val="95000"/>
            </a:schemeClr>
          </a:solidFill>
          <a:ln w="19050">
            <a:solidFill>
              <a:schemeClr val="lt1"/>
            </a:solidFill>
          </a:ln>
          <a:effectLst/>
        </c:spPr>
      </c:pivotFmt>
      <c:pivotFmt>
        <c:idx val="23"/>
        <c:spPr>
          <a:solidFill>
            <a:schemeClr val="bg1">
              <a:lumMod val="95000"/>
            </a:schemeClr>
          </a:solidFill>
        </c:spPr>
        <c:marker>
          <c:symbol val="none"/>
        </c:marker>
        <c:dLbl>
          <c:idx val="0"/>
          <c:delete val="1"/>
          <c:extLst>
            <c:ext xmlns:c15="http://schemas.microsoft.com/office/drawing/2012/chart" uri="{CE6537A1-D6FC-4f65-9D91-7224C49458BB}"/>
          </c:extLst>
        </c:dLbl>
      </c:pivotFmt>
      <c:pivotFmt>
        <c:idx val="24"/>
        <c:spPr>
          <a:solidFill>
            <a:schemeClr val="bg1">
              <a:lumMod val="95000"/>
            </a:schemeClr>
          </a:solidFill>
          <a:ln w="19050">
            <a:solidFill>
              <a:schemeClr val="lt1"/>
            </a:solidFill>
          </a:ln>
          <a:effectLst/>
        </c:spPr>
      </c:pivotFmt>
      <c:pivotFmt>
        <c:idx val="25"/>
        <c:spPr>
          <a:solidFill>
            <a:srgbClr val="FF7C80"/>
          </a:solidFill>
          <a:ln w="19050">
            <a:solidFill>
              <a:schemeClr val="lt1"/>
            </a:solidFill>
          </a:ln>
          <a:effectLst/>
        </c:spPr>
      </c:pivotFmt>
      <c:pivotFmt>
        <c:idx val="26"/>
        <c:spPr>
          <a:solidFill>
            <a:schemeClr val="bg1">
              <a:lumMod val="95000"/>
            </a:schemeClr>
          </a:solidFill>
        </c:spPr>
        <c:marker>
          <c:symbol val="none"/>
        </c:marker>
        <c:dLbl>
          <c:idx val="0"/>
          <c:delete val="1"/>
          <c:extLst>
            <c:ext xmlns:c15="http://schemas.microsoft.com/office/drawing/2012/chart" uri="{CE6537A1-D6FC-4f65-9D91-7224C49458BB}"/>
          </c:extLst>
        </c:dLbl>
      </c:pivotFmt>
      <c:pivotFmt>
        <c:idx val="27"/>
        <c:spPr>
          <a:solidFill>
            <a:schemeClr val="bg1">
              <a:lumMod val="95000"/>
            </a:schemeClr>
          </a:solidFill>
          <a:ln w="19050">
            <a:solidFill>
              <a:schemeClr val="lt1"/>
            </a:solidFill>
          </a:ln>
          <a:effectLst/>
        </c:spPr>
      </c:pivotFmt>
      <c:pivotFmt>
        <c:idx val="28"/>
        <c:spPr>
          <a:solidFill>
            <a:srgbClr val="FF7C80"/>
          </a:solidFill>
          <a:ln w="19050">
            <a:solidFill>
              <a:schemeClr val="lt1"/>
            </a:solidFill>
          </a:ln>
          <a:effectLst/>
        </c:spPr>
      </c:pivotFmt>
      <c:pivotFmt>
        <c:idx val="29"/>
        <c:spPr>
          <a:solidFill>
            <a:schemeClr val="bg1">
              <a:lumMod val="95000"/>
            </a:schemeClr>
          </a:solidFill>
        </c:spPr>
        <c:marker>
          <c:symbol val="none"/>
        </c:marker>
        <c:dLbl>
          <c:idx val="0"/>
          <c:delete val="1"/>
          <c:extLst>
            <c:ext xmlns:c15="http://schemas.microsoft.com/office/drawing/2012/chart" uri="{CE6537A1-D6FC-4f65-9D91-7224C49458BB}"/>
          </c:extLst>
        </c:dLbl>
      </c:pivotFmt>
      <c:pivotFmt>
        <c:idx val="30"/>
        <c:spPr>
          <a:solidFill>
            <a:schemeClr val="bg1">
              <a:lumMod val="95000"/>
            </a:schemeClr>
          </a:solidFill>
          <a:ln w="19050">
            <a:solidFill>
              <a:schemeClr val="lt1"/>
            </a:solidFill>
          </a:ln>
          <a:effectLst/>
        </c:spPr>
      </c:pivotFmt>
      <c:pivotFmt>
        <c:idx val="31"/>
        <c:spPr>
          <a:solidFill>
            <a:srgbClr val="FF7C80"/>
          </a:solidFill>
          <a:ln w="19050">
            <a:solidFill>
              <a:schemeClr val="lt1"/>
            </a:solidFill>
          </a:ln>
          <a:effectLst/>
        </c:spPr>
      </c:pivotFmt>
      <c:pivotFmt>
        <c:idx val="32"/>
        <c:spPr>
          <a:solidFill>
            <a:schemeClr val="bg1">
              <a:lumMod val="95000"/>
            </a:schemeClr>
          </a:solidFill>
        </c:spPr>
        <c:marker>
          <c:symbol val="none"/>
        </c:marker>
        <c:dLbl>
          <c:idx val="0"/>
          <c:delete val="1"/>
          <c:extLst>
            <c:ext xmlns:c15="http://schemas.microsoft.com/office/drawing/2012/chart" uri="{CE6537A1-D6FC-4f65-9D91-7224C49458BB}"/>
          </c:extLst>
        </c:dLbl>
      </c:pivotFmt>
      <c:pivotFmt>
        <c:idx val="33"/>
        <c:spPr>
          <a:solidFill>
            <a:schemeClr val="bg1">
              <a:lumMod val="95000"/>
            </a:schemeClr>
          </a:solidFill>
          <a:ln w="19050">
            <a:solidFill>
              <a:schemeClr val="lt1"/>
            </a:solidFill>
          </a:ln>
          <a:effectLst/>
        </c:spPr>
      </c:pivotFmt>
      <c:pivotFmt>
        <c:idx val="34"/>
        <c:spPr>
          <a:solidFill>
            <a:srgbClr val="FF7C80"/>
          </a:solidFill>
          <a:ln w="19050">
            <a:solidFill>
              <a:schemeClr val="lt1"/>
            </a:solidFill>
          </a:ln>
          <a:effectLst/>
        </c:spPr>
      </c:pivotFmt>
      <c:pivotFmt>
        <c:idx val="35"/>
        <c:spPr>
          <a:solidFill>
            <a:schemeClr val="bg1">
              <a:lumMod val="95000"/>
            </a:schemeClr>
          </a:solidFill>
        </c:spPr>
        <c:marker>
          <c:symbol val="none"/>
        </c:marker>
        <c:dLbl>
          <c:idx val="0"/>
          <c:delete val="1"/>
          <c:extLst>
            <c:ext xmlns:c15="http://schemas.microsoft.com/office/drawing/2012/chart" uri="{CE6537A1-D6FC-4f65-9D91-7224C49458BB}"/>
          </c:extLst>
        </c:dLbl>
      </c:pivotFmt>
      <c:pivotFmt>
        <c:idx val="36"/>
        <c:spPr>
          <a:solidFill>
            <a:schemeClr val="bg1">
              <a:lumMod val="95000"/>
            </a:schemeClr>
          </a:solidFill>
          <a:ln w="19050">
            <a:solidFill>
              <a:schemeClr val="lt1"/>
            </a:solidFill>
          </a:ln>
          <a:effectLst/>
        </c:spPr>
      </c:pivotFmt>
      <c:pivotFmt>
        <c:idx val="37"/>
        <c:spPr>
          <a:solidFill>
            <a:srgbClr val="FF7C80"/>
          </a:solidFill>
          <a:ln w="19050">
            <a:solidFill>
              <a:schemeClr val="lt1"/>
            </a:solidFill>
          </a:ln>
          <a:effectLst/>
        </c:spPr>
      </c:pivotFmt>
    </c:pivotFmts>
    <c:plotArea>
      <c:layout/>
      <c:doughnutChart>
        <c:varyColors val="1"/>
        <c:ser>
          <c:idx val="0"/>
          <c:order val="0"/>
          <c:tx>
            <c:strRef>
              <c:f>'Pivot Tables'!$AD$4</c:f>
              <c:strCache>
                <c:ptCount val="1"/>
                <c:pt idx="0">
                  <c:v>Total</c:v>
                </c:pt>
              </c:strCache>
            </c:strRef>
          </c:tx>
          <c:spPr>
            <a:solidFill>
              <a:schemeClr val="bg1">
                <a:lumMod val="95000"/>
              </a:schemeClr>
            </a:solidFill>
          </c:spPr>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7EE5-40F0-B917-9BE41AF47695}"/>
              </c:ext>
            </c:extLst>
          </c:dPt>
          <c:dPt>
            <c:idx val="1"/>
            <c:bubble3D val="0"/>
            <c:spPr>
              <a:solidFill>
                <a:srgbClr val="FF7C80"/>
              </a:solidFill>
              <a:ln w="19050">
                <a:solidFill>
                  <a:schemeClr val="lt1"/>
                </a:solidFill>
              </a:ln>
              <a:effectLst/>
            </c:spPr>
            <c:extLst>
              <c:ext xmlns:c16="http://schemas.microsoft.com/office/drawing/2014/chart" uri="{C3380CC4-5D6E-409C-BE32-E72D297353CC}">
                <c16:uniqueId val="{00000003-7EE5-40F0-B917-9BE41AF47695}"/>
              </c:ext>
            </c:extLst>
          </c:dPt>
          <c:cat>
            <c:strRef>
              <c:f>'Pivot Tables'!$AC$5:$AC$7</c:f>
              <c:strCache>
                <c:ptCount val="2"/>
                <c:pt idx="0">
                  <c:v>Paid</c:v>
                </c:pt>
                <c:pt idx="1">
                  <c:v>Not Paid</c:v>
                </c:pt>
              </c:strCache>
            </c:strRef>
          </c:cat>
          <c:val>
            <c:numRef>
              <c:f>'Pivot Tables'!$AD$5:$AD$7</c:f>
              <c:numCache>
                <c:formatCode>General</c:formatCode>
                <c:ptCount val="2"/>
                <c:pt idx="0">
                  <c:v>926</c:v>
                </c:pt>
                <c:pt idx="1">
                  <c:v>311</c:v>
                </c:pt>
              </c:numCache>
            </c:numRef>
          </c:val>
          <c:extLst>
            <c:ext xmlns:c16="http://schemas.microsoft.com/office/drawing/2014/chart" uri="{C3380CC4-5D6E-409C-BE32-E72D297353CC}">
              <c16:uniqueId val="{00000004-7EE5-40F0-B917-9BE41AF47695}"/>
            </c:ext>
          </c:extLst>
        </c:ser>
        <c:dLbls>
          <c:showLegendKey val="0"/>
          <c:showVal val="0"/>
          <c:showCatName val="0"/>
          <c:showSerName val="0"/>
          <c:showPercent val="0"/>
          <c:showBubbleSize val="0"/>
          <c:showLeaderLines val="1"/>
        </c:dLbls>
        <c:firstSliceAng val="0"/>
        <c:holeSize val="75"/>
      </c:doughnutChart>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Tables!enrolled courses by month</c:name>
    <c:fmtId val="20"/>
  </c:pivotSource>
  <c:chart>
    <c:autoTitleDeleted val="1"/>
    <c:pivotFmts>
      <c:pivotFmt>
        <c:idx val="0"/>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58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Tables'!$AI$4</c:f>
              <c:strCache>
                <c:ptCount val="1"/>
                <c:pt idx="0">
                  <c:v>Total</c:v>
                </c:pt>
              </c:strCache>
            </c:strRef>
          </c:tx>
          <c:spPr>
            <a:ln w="15875" cap="rnd">
              <a:solidFill>
                <a:srgbClr val="00B050"/>
              </a:solidFill>
              <a:round/>
            </a:ln>
            <a:effectLst/>
          </c:spPr>
          <c:marker>
            <c:symbol val="none"/>
          </c:marker>
          <c:cat>
            <c:strRef>
              <c:f>'Pivot Tables'!$AH$5:$AH$17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Tables'!$AI$5:$AI$17</c:f>
              <c:numCache>
                <c:formatCode>General</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1"/>
          <c:extLst>
            <c:ext xmlns:c16="http://schemas.microsoft.com/office/drawing/2014/chart" uri="{C3380CC4-5D6E-409C-BE32-E72D297353CC}">
              <c16:uniqueId val="{00000000-1BA7-4C9A-9C2E-1F8E1DA93488}"/>
            </c:ext>
          </c:extLst>
        </c:ser>
        <c:dLbls>
          <c:showLegendKey val="0"/>
          <c:showVal val="0"/>
          <c:showCatName val="0"/>
          <c:showSerName val="0"/>
          <c:showPercent val="0"/>
          <c:showBubbleSize val="0"/>
        </c:dLbls>
        <c:smooth val="0"/>
        <c:axId val="1475659247"/>
        <c:axId val="1451850623"/>
      </c:lineChart>
      <c:catAx>
        <c:axId val="1475659247"/>
        <c:scaling>
          <c:orientation val="minMax"/>
        </c:scaling>
        <c:delete val="1"/>
        <c:axPos val="b"/>
        <c:numFmt formatCode="General" sourceLinked="1"/>
        <c:majorTickMark val="none"/>
        <c:minorTickMark val="none"/>
        <c:tickLblPos val="nextTo"/>
        <c:crossAx val="1451850623"/>
        <c:crosses val="autoZero"/>
        <c:auto val="1"/>
        <c:lblAlgn val="ctr"/>
        <c:lblOffset val="100"/>
        <c:noMultiLvlLbl val="0"/>
      </c:catAx>
      <c:valAx>
        <c:axId val="1451850623"/>
        <c:scaling>
          <c:orientation val="minMax"/>
        </c:scaling>
        <c:delete val="1"/>
        <c:axPos val="l"/>
        <c:numFmt formatCode="General" sourceLinked="1"/>
        <c:majorTickMark val="none"/>
        <c:minorTickMark val="none"/>
        <c:tickLblPos val="nextTo"/>
        <c:crossAx val="147565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Tables!PivotTable11</c:name>
    <c:fmtId val="23"/>
  </c:pivotSource>
  <c:chart>
    <c:autoTitleDeleted val="1"/>
    <c:pivotFmts>
      <c:pivotFmt>
        <c:idx val="0"/>
        <c:spPr>
          <a:solidFill>
            <a:srgbClr val="0AEAE0">
              <a:alpha val="33000"/>
            </a:srgbClr>
          </a:solidFill>
          <a:ln w="1270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AEAE0">
              <a:alpha val="33000"/>
            </a:srgbClr>
          </a:solidFill>
          <a:ln w="1270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AEAE0">
              <a:alpha val="33000"/>
            </a:srgbClr>
          </a:solidFill>
          <a:ln w="1270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AEAE0">
              <a:alpha val="33000"/>
            </a:srgbClr>
          </a:solidFill>
          <a:ln w="1270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AEAE0">
              <a:alpha val="33000"/>
            </a:srgbClr>
          </a:solidFill>
          <a:ln w="1270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 Tables'!$AM$4</c:f>
              <c:strCache>
                <c:ptCount val="1"/>
                <c:pt idx="0">
                  <c:v>Total</c:v>
                </c:pt>
              </c:strCache>
            </c:strRef>
          </c:tx>
          <c:spPr>
            <a:solidFill>
              <a:srgbClr val="0AEAE0">
                <a:alpha val="33000"/>
              </a:srgbClr>
            </a:solidFill>
            <a:ln w="12700">
              <a:solidFill>
                <a:srgbClr val="00B050"/>
              </a:solidFill>
            </a:ln>
            <a:effectLst/>
          </c:spPr>
          <c:cat>
            <c:strRef>
              <c:f>'Pivot Tables'!$AL$5:$AL$13</c:f>
              <c:strCache>
                <c:ptCount val="8"/>
                <c:pt idx="0">
                  <c:v>A1</c:v>
                </c:pt>
                <c:pt idx="1">
                  <c:v>A2</c:v>
                </c:pt>
                <c:pt idx="2">
                  <c:v>A4</c:v>
                </c:pt>
                <c:pt idx="3">
                  <c:v>A7</c:v>
                </c:pt>
                <c:pt idx="4">
                  <c:v>B12</c:v>
                </c:pt>
                <c:pt idx="5">
                  <c:v>B13</c:v>
                </c:pt>
                <c:pt idx="6">
                  <c:v>B18</c:v>
                </c:pt>
                <c:pt idx="7">
                  <c:v>C8</c:v>
                </c:pt>
              </c:strCache>
            </c:strRef>
          </c:cat>
          <c:val>
            <c:numRef>
              <c:f>'Pivot Tables'!$AM$5:$AM$13</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EC02-4AB1-BE1B-686EE683F349}"/>
            </c:ext>
          </c:extLst>
        </c:ser>
        <c:dLbls>
          <c:showLegendKey val="0"/>
          <c:showVal val="0"/>
          <c:showCatName val="0"/>
          <c:showSerName val="0"/>
          <c:showPercent val="0"/>
          <c:showBubbleSize val="0"/>
        </c:dLbls>
        <c:axId val="1425627263"/>
        <c:axId val="1555720783"/>
      </c:radarChart>
      <c:catAx>
        <c:axId val="14256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crossAx val="1555720783"/>
        <c:crosses val="autoZero"/>
        <c:auto val="1"/>
        <c:lblAlgn val="ctr"/>
        <c:lblOffset val="100"/>
        <c:noMultiLvlLbl val="0"/>
      </c:catAx>
      <c:valAx>
        <c:axId val="15557207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256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Tables!PivotTable12</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626"/>
          </a:solidFill>
          <a:ln w="19050">
            <a:solidFill>
              <a:schemeClr val="lt1"/>
            </a:solidFill>
          </a:ln>
          <a:effectLst/>
        </c:spPr>
      </c:pivotFmt>
      <c:pivotFmt>
        <c:idx val="2"/>
        <c:spPr>
          <a:solidFill>
            <a:srgbClr val="0AEAE0"/>
          </a:solidFill>
          <a:ln w="19050">
            <a:solidFill>
              <a:schemeClr val="lt1"/>
            </a:solidFill>
          </a:ln>
          <a:effectLst/>
        </c:spPr>
      </c:pivotFmt>
      <c:pivotFmt>
        <c:idx val="3"/>
        <c:spPr>
          <a:solidFill>
            <a:srgbClr val="FF7C80"/>
          </a:solidFill>
          <a:ln w="19050">
            <a:solidFill>
              <a:schemeClr val="lt1"/>
            </a:solidFill>
          </a:ln>
          <a:effectLst/>
        </c:spPr>
      </c:pivotFmt>
      <c:pivotFmt>
        <c:idx val="4"/>
        <c:spPr>
          <a:solidFill>
            <a:srgbClr val="FFFF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AEAE0"/>
          </a:solidFill>
          <a:ln w="19050">
            <a:solidFill>
              <a:schemeClr val="lt1"/>
            </a:solidFill>
          </a:ln>
          <a:effectLst/>
        </c:spPr>
      </c:pivotFmt>
      <c:pivotFmt>
        <c:idx val="7"/>
        <c:spPr>
          <a:solidFill>
            <a:srgbClr val="FF7C80"/>
          </a:solidFill>
          <a:ln w="19050">
            <a:solidFill>
              <a:schemeClr val="lt1"/>
            </a:solidFill>
          </a:ln>
          <a:effectLst/>
        </c:spPr>
      </c:pivotFmt>
      <c:pivotFmt>
        <c:idx val="8"/>
        <c:spPr>
          <a:solidFill>
            <a:srgbClr val="FFFF00"/>
          </a:solidFill>
          <a:ln w="19050">
            <a:solidFill>
              <a:schemeClr val="lt1"/>
            </a:solidFill>
          </a:ln>
          <a:effectLst/>
        </c:spPr>
      </c:pivotFmt>
      <c:pivotFmt>
        <c:idx val="9"/>
        <c:spPr>
          <a:solidFill>
            <a:srgbClr val="00B626"/>
          </a:solidFill>
          <a:ln w="19050">
            <a:solidFill>
              <a:schemeClr val="lt1"/>
            </a:solidFill>
          </a:ln>
          <a:effectLst/>
        </c:spPr>
      </c:pivotFmt>
      <c:pivotFmt>
        <c:idx val="10"/>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AEAE0"/>
          </a:solidFill>
          <a:ln w="25400">
            <a:solidFill>
              <a:schemeClr val="lt1"/>
            </a:solidFill>
          </a:ln>
          <a:effectLst/>
        </c:spPr>
      </c:pivotFmt>
      <c:pivotFmt>
        <c:idx val="12"/>
        <c:spPr>
          <a:solidFill>
            <a:srgbClr val="FF7C80"/>
          </a:solidFill>
          <a:ln w="25400">
            <a:solidFill>
              <a:schemeClr val="lt1"/>
            </a:solidFill>
          </a:ln>
          <a:effectLst/>
        </c:spPr>
      </c:pivotFmt>
      <c:pivotFmt>
        <c:idx val="13"/>
        <c:spPr>
          <a:solidFill>
            <a:srgbClr val="FFFF00"/>
          </a:solidFill>
          <a:ln w="25400">
            <a:solidFill>
              <a:schemeClr val="lt1"/>
            </a:solidFill>
          </a:ln>
          <a:effectLst/>
        </c:spPr>
      </c:pivotFmt>
      <c:pivotFmt>
        <c:idx val="14"/>
        <c:spPr>
          <a:solidFill>
            <a:srgbClr val="00B626"/>
          </a:solidFill>
          <a:ln w="25400">
            <a:solidFill>
              <a:schemeClr val="lt1"/>
            </a:solidFill>
          </a:ln>
          <a:effectLst/>
        </c:spPr>
      </c:pivotFmt>
      <c:pivotFmt>
        <c:idx val="15"/>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AEAE0"/>
          </a:solidFill>
          <a:ln w="25400">
            <a:solidFill>
              <a:schemeClr val="lt1"/>
            </a:solidFill>
          </a:ln>
          <a:effectLst/>
        </c:spPr>
      </c:pivotFmt>
      <c:pivotFmt>
        <c:idx val="17"/>
        <c:spPr>
          <a:solidFill>
            <a:srgbClr val="FF7C80"/>
          </a:solidFill>
          <a:ln w="25400">
            <a:solidFill>
              <a:schemeClr val="lt1"/>
            </a:solidFill>
          </a:ln>
          <a:effectLst/>
        </c:spPr>
      </c:pivotFmt>
      <c:pivotFmt>
        <c:idx val="18"/>
        <c:spPr>
          <a:solidFill>
            <a:srgbClr val="FFFF00"/>
          </a:solidFill>
          <a:ln w="25400">
            <a:solidFill>
              <a:schemeClr val="lt1"/>
            </a:solidFill>
          </a:ln>
          <a:effectLst/>
        </c:spPr>
      </c:pivotFmt>
      <c:pivotFmt>
        <c:idx val="19"/>
        <c:spPr>
          <a:solidFill>
            <a:srgbClr val="00B626"/>
          </a:solidFill>
          <a:ln w="25400">
            <a:solidFill>
              <a:schemeClr val="lt1"/>
            </a:solidFill>
          </a:ln>
          <a:effectLst/>
        </c:spPr>
      </c:pivotFmt>
      <c:pivotFmt>
        <c:idx val="20"/>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AEAE0"/>
          </a:solidFill>
          <a:ln w="25400">
            <a:solidFill>
              <a:schemeClr val="lt1"/>
            </a:solidFill>
          </a:ln>
          <a:effectLst/>
        </c:spPr>
      </c:pivotFmt>
      <c:pivotFmt>
        <c:idx val="22"/>
        <c:spPr>
          <a:solidFill>
            <a:srgbClr val="FF7C80"/>
          </a:solidFill>
          <a:ln w="25400">
            <a:solidFill>
              <a:schemeClr val="lt1"/>
            </a:solidFill>
          </a:ln>
          <a:effectLst/>
        </c:spPr>
      </c:pivotFmt>
      <c:pivotFmt>
        <c:idx val="23"/>
        <c:spPr>
          <a:solidFill>
            <a:srgbClr val="FFFF00"/>
          </a:solidFill>
          <a:ln w="25400">
            <a:solidFill>
              <a:schemeClr val="lt1"/>
            </a:solidFill>
          </a:ln>
          <a:effectLst/>
        </c:spPr>
      </c:pivotFmt>
      <c:pivotFmt>
        <c:idx val="24"/>
        <c:spPr>
          <a:solidFill>
            <a:srgbClr val="FFFF00"/>
          </a:solidFill>
          <a:ln w="25400">
            <a:solidFill>
              <a:schemeClr val="lt1"/>
            </a:solidFill>
          </a:ln>
          <a:effectLst/>
        </c:spPr>
      </c:pivotFmt>
    </c:pivotFmts>
    <c:plotArea>
      <c:layout/>
      <c:pieChart>
        <c:varyColors val="1"/>
        <c:ser>
          <c:idx val="0"/>
          <c:order val="0"/>
          <c:tx>
            <c:strRef>
              <c:f>'Pivot Tables'!$AQ$4</c:f>
              <c:strCache>
                <c:ptCount val="1"/>
                <c:pt idx="0">
                  <c:v>Total</c:v>
                </c:pt>
              </c:strCache>
            </c:strRef>
          </c:tx>
          <c:spPr>
            <a:ln w="25400"/>
          </c:spPr>
          <c:dPt>
            <c:idx val="0"/>
            <c:bubble3D val="0"/>
            <c:spPr>
              <a:solidFill>
                <a:srgbClr val="0AEAE0"/>
              </a:solidFill>
              <a:ln w="25400">
                <a:solidFill>
                  <a:schemeClr val="lt1"/>
                </a:solidFill>
              </a:ln>
              <a:effectLst/>
            </c:spPr>
            <c:extLst>
              <c:ext xmlns:c16="http://schemas.microsoft.com/office/drawing/2014/chart" uri="{C3380CC4-5D6E-409C-BE32-E72D297353CC}">
                <c16:uniqueId val="{00000001-12AE-4D9C-8492-19DEFFE1A38E}"/>
              </c:ext>
            </c:extLst>
          </c:dPt>
          <c:dPt>
            <c:idx val="1"/>
            <c:bubble3D val="0"/>
            <c:spPr>
              <a:solidFill>
                <a:srgbClr val="FF7C80"/>
              </a:solidFill>
              <a:ln w="25400">
                <a:solidFill>
                  <a:schemeClr val="lt1"/>
                </a:solidFill>
              </a:ln>
              <a:effectLst/>
            </c:spPr>
            <c:extLst>
              <c:ext xmlns:c16="http://schemas.microsoft.com/office/drawing/2014/chart" uri="{C3380CC4-5D6E-409C-BE32-E72D297353CC}">
                <c16:uniqueId val="{00000003-12AE-4D9C-8492-19DEFFE1A38E}"/>
              </c:ext>
            </c:extLst>
          </c:dPt>
          <c:dPt>
            <c:idx val="2"/>
            <c:bubble3D val="0"/>
            <c:spPr>
              <a:solidFill>
                <a:srgbClr val="FFFF00"/>
              </a:solidFill>
              <a:ln w="25400">
                <a:solidFill>
                  <a:schemeClr val="lt1"/>
                </a:solidFill>
              </a:ln>
              <a:effectLst/>
            </c:spPr>
            <c:extLst>
              <c:ext xmlns:c16="http://schemas.microsoft.com/office/drawing/2014/chart" uri="{C3380CC4-5D6E-409C-BE32-E72D297353CC}">
                <c16:uniqueId val="{00000005-12AE-4D9C-8492-19DEFFE1A38E}"/>
              </c:ext>
            </c:extLst>
          </c:dPt>
          <c:dPt>
            <c:idx val="3"/>
            <c:bubble3D val="0"/>
            <c:spPr>
              <a:solidFill>
                <a:srgbClr val="FFFF00"/>
              </a:solidFill>
              <a:ln w="25400">
                <a:solidFill>
                  <a:schemeClr val="lt1"/>
                </a:solidFill>
              </a:ln>
              <a:effectLst/>
            </c:spPr>
            <c:extLst>
              <c:ext xmlns:c16="http://schemas.microsoft.com/office/drawing/2014/chart" uri="{C3380CC4-5D6E-409C-BE32-E72D297353CC}">
                <c16:uniqueId val="{00000007-12AE-4D9C-8492-19DEFFE1A3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Tables'!$AP$5:$AP$9</c:f>
              <c:strCache>
                <c:ptCount val="4"/>
                <c:pt idx="0">
                  <c:v>BE</c:v>
                </c:pt>
                <c:pt idx="1">
                  <c:v>CNI</c:v>
                </c:pt>
                <c:pt idx="2">
                  <c:v>FC</c:v>
                </c:pt>
                <c:pt idx="3">
                  <c:v>GK</c:v>
                </c:pt>
              </c:strCache>
            </c:strRef>
          </c:cat>
          <c:val>
            <c:numRef>
              <c:f>'Pivot Tables'!$AQ$5:$AQ$9</c:f>
              <c:numCache>
                <c:formatCode>[&lt;999950]0.0,"K";[&lt;999950000]0.0,,"M";0.0,,,"B"</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8-12AE-4D9C-8492-19DEFFE1A38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Tables!Training level's fee by sales team</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Tables'!$AU$4</c:f>
              <c:strCache>
                <c:ptCount val="1"/>
                <c:pt idx="0">
                  <c:v>Total</c:v>
                </c:pt>
              </c:strCache>
            </c:strRef>
          </c:tx>
          <c:spPr>
            <a:solidFill>
              <a:srgbClr val="00B62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Tables'!$AT$5:$AT$14</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Tables'!$AU$5:$AU$14</c:f>
              <c:numCache>
                <c:formatCode>[&lt;999950]0.0,"K";[&lt;999950000]0.0,,"M";0.0,,,"B"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C343-455B-B5B7-11986F9045F5}"/>
            </c:ext>
          </c:extLst>
        </c:ser>
        <c:dLbls>
          <c:dLblPos val="outEnd"/>
          <c:showLegendKey val="0"/>
          <c:showVal val="1"/>
          <c:showCatName val="0"/>
          <c:showSerName val="0"/>
          <c:showPercent val="0"/>
          <c:showBubbleSize val="0"/>
        </c:dLbls>
        <c:gapWidth val="182"/>
        <c:axId val="1826009839"/>
        <c:axId val="1463589375"/>
      </c:barChart>
      <c:catAx>
        <c:axId val="18260098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crossAx val="1463589375"/>
        <c:crosses val="autoZero"/>
        <c:auto val="1"/>
        <c:lblAlgn val="ctr"/>
        <c:lblOffset val="100"/>
        <c:noMultiLvlLbl val="0"/>
      </c:catAx>
      <c:valAx>
        <c:axId val="1463589375"/>
        <c:scaling>
          <c:orientation val="minMax"/>
        </c:scaling>
        <c:delete val="1"/>
        <c:axPos val="b"/>
        <c:numFmt formatCode="[&lt;999950]0.0,&quot;K&quot;;[&lt;999950000]0.0,,&quot;M&quot;;0.0,,,&quot;B&quot;" sourceLinked="1"/>
        <c:majorTickMark val="none"/>
        <c:minorTickMark val="none"/>
        <c:tickLblPos val="nextTo"/>
        <c:crossAx val="182600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Tables!PivotTable14</c:name>
    <c:fmtId val="4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00B626"/>
            </a:solidFill>
            <a:round/>
          </a:ln>
          <a:effectLst/>
        </c:spPr>
        <c:marker>
          <c:symbol val="circle"/>
          <c:size val="8"/>
          <c:spPr>
            <a:solidFill>
              <a:schemeClr val="bg1"/>
            </a:solidFill>
            <a:ln w="9525">
              <a:solidFill>
                <a:srgbClr val="00B62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00B626"/>
            </a:solidFill>
            <a:round/>
          </a:ln>
          <a:effectLst/>
        </c:spPr>
        <c:marker>
          <c:symbol val="circle"/>
          <c:size val="8"/>
          <c:spPr>
            <a:solidFill>
              <a:schemeClr val="bg1"/>
            </a:solidFill>
            <a:ln w="9525">
              <a:solidFill>
                <a:srgbClr val="00B62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rgbClr val="00B626"/>
            </a:solidFill>
            <a:round/>
          </a:ln>
          <a:effectLst/>
        </c:spPr>
        <c:marker>
          <c:symbol val="circle"/>
          <c:size val="8"/>
          <c:spPr>
            <a:solidFill>
              <a:schemeClr val="bg1"/>
            </a:solidFill>
            <a:ln w="9525">
              <a:solidFill>
                <a:srgbClr val="00B62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Tables'!$AY$4</c:f>
              <c:strCache>
                <c:ptCount val="1"/>
                <c:pt idx="0">
                  <c:v>Total</c:v>
                </c:pt>
              </c:strCache>
            </c:strRef>
          </c:tx>
          <c:spPr>
            <a:ln w="22225" cap="rnd">
              <a:solidFill>
                <a:srgbClr val="00B626"/>
              </a:solidFill>
              <a:round/>
            </a:ln>
            <a:effectLst/>
          </c:spPr>
          <c:marker>
            <c:symbol val="circle"/>
            <c:size val="8"/>
            <c:spPr>
              <a:solidFill>
                <a:schemeClr val="bg1"/>
              </a:solidFill>
              <a:ln w="9525">
                <a:solidFill>
                  <a:srgbClr val="00B626"/>
                </a:solidFill>
              </a:ln>
              <a:effectLst/>
            </c:spPr>
          </c:marker>
          <c:cat>
            <c:strRef>
              <c:f>'Pivot Tables'!$AX$5:$AX$14</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Tables'!$AY$5:$AY$14</c:f>
              <c:numCache>
                <c:formatCode>General</c:formatCode>
                <c:ptCount val="9"/>
                <c:pt idx="0">
                  <c:v>374</c:v>
                </c:pt>
                <c:pt idx="1">
                  <c:v>189</c:v>
                </c:pt>
                <c:pt idx="2">
                  <c:v>472</c:v>
                </c:pt>
                <c:pt idx="3">
                  <c:v>90</c:v>
                </c:pt>
                <c:pt idx="4">
                  <c:v>562</c:v>
                </c:pt>
                <c:pt idx="5">
                  <c:v>211</c:v>
                </c:pt>
                <c:pt idx="6">
                  <c:v>376</c:v>
                </c:pt>
                <c:pt idx="7">
                  <c:v>185</c:v>
                </c:pt>
                <c:pt idx="8">
                  <c:v>184</c:v>
                </c:pt>
              </c:numCache>
            </c:numRef>
          </c:val>
          <c:smooth val="0"/>
          <c:extLst>
            <c:ext xmlns:c16="http://schemas.microsoft.com/office/drawing/2014/chart" uri="{C3380CC4-5D6E-409C-BE32-E72D297353CC}">
              <c16:uniqueId val="{00000000-0B0A-4029-886F-ACFCE28144DB}"/>
            </c:ext>
          </c:extLst>
        </c:ser>
        <c:dLbls>
          <c:showLegendKey val="0"/>
          <c:showVal val="0"/>
          <c:showCatName val="0"/>
          <c:showSerName val="0"/>
          <c:showPercent val="0"/>
          <c:showBubbleSize val="0"/>
        </c:dLbls>
        <c:marker val="1"/>
        <c:smooth val="0"/>
        <c:axId val="1622089071"/>
        <c:axId val="1463642175"/>
      </c:lineChart>
      <c:catAx>
        <c:axId val="162208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63642175"/>
        <c:crosses val="autoZero"/>
        <c:auto val="1"/>
        <c:lblAlgn val="ctr"/>
        <c:lblOffset val="100"/>
        <c:noMultiLvlLbl val="0"/>
      </c:catAx>
      <c:valAx>
        <c:axId val="1463642175"/>
        <c:scaling>
          <c:orientation val="minMax"/>
        </c:scaling>
        <c:delete val="1"/>
        <c:axPos val="l"/>
        <c:numFmt formatCode="General" sourceLinked="1"/>
        <c:majorTickMark val="none"/>
        <c:minorTickMark val="none"/>
        <c:tickLblPos val="nextTo"/>
        <c:crossAx val="162208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 Tables'!$BN$4</c:f>
              <c:strCache>
                <c:ptCount val="1"/>
                <c:pt idx="0">
                  <c:v>Duration</c:v>
                </c:pt>
              </c:strCache>
            </c:strRef>
          </c:tx>
          <c:spPr>
            <a:ln w="28575" cap="rnd">
              <a:noFill/>
              <a:round/>
            </a:ln>
            <a:effectLst/>
          </c:spPr>
          <c:marker>
            <c:symbol val="circle"/>
            <c:size val="8"/>
            <c:spPr>
              <a:solidFill>
                <a:srgbClr val="7030A0"/>
              </a:solidFill>
              <a:ln w="9525">
                <a:noFill/>
              </a:ln>
              <a:effectLst/>
            </c:spPr>
          </c:marker>
          <c:dPt>
            <c:idx val="2"/>
            <c:marker>
              <c:symbol val="circle"/>
              <c:size val="8"/>
              <c:spPr>
                <a:solidFill>
                  <a:srgbClr val="00B626"/>
                </a:solidFill>
                <a:ln w="9525">
                  <a:noFill/>
                </a:ln>
                <a:effectLst/>
              </c:spPr>
            </c:marker>
            <c:bubble3D val="0"/>
            <c:extLst>
              <c:ext xmlns:c16="http://schemas.microsoft.com/office/drawing/2014/chart" uri="{C3380CC4-5D6E-409C-BE32-E72D297353CC}">
                <c16:uniqueId val="{00000000-07D9-46DC-AA43-1ECF340F645E}"/>
              </c:ext>
            </c:extLst>
          </c:dPt>
          <c:cat>
            <c:strRef>
              <c:f>'Pivot Tables'!$BM$5:$BM$16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Tables'!$BN$5:$BN$16</c:f>
              <c:numCache>
                <c:formatCode>mm:ss</c:formatCode>
                <c:ptCount val="12"/>
                <c:pt idx="0">
                  <c:v>3.0161179698216726E-3</c:v>
                </c:pt>
                <c:pt idx="1">
                  <c:v>2.8763440860215049E-3</c:v>
                </c:pt>
                <c:pt idx="2">
                  <c:v>1.3888888888888889E-3</c:v>
                </c:pt>
                <c:pt idx="3">
                  <c:v>3.497540509259258E-3</c:v>
                </c:pt>
                <c:pt idx="4">
                  <c:v>3.0488351254480289E-3</c:v>
                </c:pt>
                <c:pt idx="5">
                  <c:v>2.9208002645502639E-3</c:v>
                </c:pt>
                <c:pt idx="6">
                  <c:v>2.9407051282051289E-3</c:v>
                </c:pt>
                <c:pt idx="7">
                  <c:v>3.0726650563607082E-3</c:v>
                </c:pt>
                <c:pt idx="8">
                  <c:v>3.1521213377556649E-3</c:v>
                </c:pt>
                <c:pt idx="9">
                  <c:v>3.276282366437237E-3</c:v>
                </c:pt>
                <c:pt idx="10">
                  <c:v>3.120971050164087E-3</c:v>
                </c:pt>
                <c:pt idx="11">
                  <c:v>3.2518257694314021E-3</c:v>
                </c:pt>
              </c:numCache>
            </c:numRef>
          </c:val>
          <c:smooth val="0"/>
          <c:extLst>
            <c:ext xmlns:c16="http://schemas.microsoft.com/office/drawing/2014/chart" uri="{C3380CC4-5D6E-409C-BE32-E72D297353CC}">
              <c16:uniqueId val="{00000001-07D9-46DC-AA43-1ECF340F645E}"/>
            </c:ext>
          </c:extLst>
        </c:ser>
        <c:ser>
          <c:idx val="1"/>
          <c:order val="1"/>
          <c:tx>
            <c:strRef>
              <c:f>'Pivot Tables'!$BO$4</c:f>
              <c:strCache>
                <c:ptCount val="1"/>
                <c:pt idx="0">
                  <c:v>Max</c:v>
                </c:pt>
              </c:strCache>
            </c:strRef>
          </c:tx>
          <c:spPr>
            <a:ln w="25400" cap="rnd">
              <a:noFill/>
              <a:round/>
            </a:ln>
            <a:effectLst/>
          </c:spPr>
          <c:marker>
            <c:symbol val="circle"/>
            <c:size val="5"/>
            <c:spPr>
              <a:solidFill>
                <a:srgbClr val="FF0000">
                  <a:alpha val="98000"/>
                </a:srgbClr>
              </a:solidFill>
              <a:ln w="9525">
                <a:noFill/>
              </a:ln>
              <a:effectLst/>
            </c:spPr>
          </c:marker>
          <c:cat>
            <c:strRef>
              <c:f>'Pivot Tables'!$BM$5:$BM$16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Tables'!$BO$5:$BO$16</c:f>
              <c:numCache>
                <c:formatCode>mm:ss</c:formatCode>
                <c:ptCount val="12"/>
                <c:pt idx="0">
                  <c:v>0</c:v>
                </c:pt>
                <c:pt idx="1">
                  <c:v>0</c:v>
                </c:pt>
                <c:pt idx="2">
                  <c:v>0</c:v>
                </c:pt>
                <c:pt idx="3">
                  <c:v>3.497540509259258E-3</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07D9-46DC-AA43-1ECF340F645E}"/>
            </c:ext>
          </c:extLst>
        </c:ser>
        <c:ser>
          <c:idx val="2"/>
          <c:order val="2"/>
          <c:tx>
            <c:strRef>
              <c:f>'Pivot Tables'!$BP$4</c:f>
              <c:strCache>
                <c:ptCount val="1"/>
                <c:pt idx="0">
                  <c:v>Min</c:v>
                </c:pt>
              </c:strCache>
            </c:strRef>
          </c:tx>
          <c:spPr>
            <a:ln w="25400" cap="rnd">
              <a:noFill/>
              <a:round/>
            </a:ln>
            <a:effectLst/>
          </c:spPr>
          <c:marker>
            <c:symbol val="circle"/>
            <c:size val="5"/>
            <c:spPr>
              <a:solidFill>
                <a:srgbClr val="00B626"/>
              </a:solidFill>
              <a:ln w="9525">
                <a:noFill/>
              </a:ln>
              <a:effectLst/>
            </c:spPr>
          </c:marker>
          <c:cat>
            <c:strRef>
              <c:f>'Pivot Tables'!$BM$5:$BM$16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Tables'!$BP$5:$BP$16</c:f>
              <c:numCache>
                <c:formatCode>mm:ss</c:formatCode>
                <c:ptCount val="12"/>
                <c:pt idx="0">
                  <c:v>0</c:v>
                </c:pt>
                <c:pt idx="1">
                  <c:v>0</c:v>
                </c:pt>
                <c:pt idx="2">
                  <c:v>1.3888888888888889E-3</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07D9-46DC-AA43-1ECF340F645E}"/>
            </c:ext>
          </c:extLst>
        </c:ser>
        <c:dLbls>
          <c:showLegendKey val="0"/>
          <c:showVal val="0"/>
          <c:showCatName val="0"/>
          <c:showSerName val="0"/>
          <c:showPercent val="0"/>
          <c:showBubbleSize val="0"/>
        </c:dLbls>
        <c:marker val="1"/>
        <c:smooth val="0"/>
        <c:axId val="1765450959"/>
        <c:axId val="1764641855"/>
      </c:lineChart>
      <c:catAx>
        <c:axId val="176545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64641855"/>
        <c:crosses val="autoZero"/>
        <c:auto val="1"/>
        <c:lblAlgn val="ctr"/>
        <c:lblOffset val="100"/>
        <c:noMultiLvlLbl val="0"/>
      </c:catAx>
      <c:valAx>
        <c:axId val="1764641855"/>
        <c:scaling>
          <c:orientation val="minMax"/>
        </c:scaling>
        <c:delete val="0"/>
        <c:axPos val="l"/>
        <c:majorGridlines>
          <c:spPr>
            <a:ln w="9525" cap="flat" cmpd="sng" algn="ctr">
              <a:solidFill>
                <a:schemeClr val="bg1">
                  <a:lumMod val="9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6545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Tables!Sales by sales team</c:name>
    <c:fmtId val="4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2"/>
        <c:spPr>
          <a:solidFill>
            <a:srgbClr val="00B626"/>
          </a:solidFill>
          <a:ln>
            <a:noFill/>
          </a:ln>
          <a:effectLst/>
        </c:spPr>
      </c:pivotFmt>
      <c:pivotFmt>
        <c:idx val="3"/>
        <c:spPr>
          <a:solidFill>
            <a:srgbClr val="92D050"/>
          </a:solidFill>
          <a:ln>
            <a:noFill/>
          </a:ln>
          <a:effectLst/>
        </c:spPr>
      </c:pivotFmt>
      <c:pivotFmt>
        <c:idx val="4"/>
        <c:spPr>
          <a:solidFill>
            <a:srgbClr val="FFC000"/>
          </a:solidFill>
          <a:ln>
            <a:noFill/>
          </a:ln>
          <a:effectLst/>
        </c:spPr>
      </c:pivotFmt>
      <c:pivotFmt>
        <c:idx val="5"/>
        <c:spPr>
          <a:solidFill>
            <a:srgbClr val="FF7C8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7C80"/>
          </a:solidFill>
          <a:ln>
            <a:noFill/>
          </a:ln>
          <a:effectLst/>
        </c:spPr>
      </c:pivotFmt>
      <c:pivotFmt>
        <c:idx val="8"/>
        <c:spPr>
          <a:solidFill>
            <a:srgbClr val="FFC000"/>
          </a:solidFill>
          <a:ln>
            <a:noFill/>
          </a:ln>
          <a:effectLst/>
        </c:spPr>
      </c:pivotFmt>
      <c:pivotFmt>
        <c:idx val="9"/>
        <c:spPr>
          <a:solidFill>
            <a:srgbClr val="00B626"/>
          </a:solidFill>
          <a:ln>
            <a:noFill/>
          </a:ln>
          <a:effectLst/>
        </c:spPr>
      </c:pivotFmt>
      <c:pivotFmt>
        <c:idx val="10"/>
        <c:spPr>
          <a:solidFill>
            <a:srgbClr val="92D050"/>
          </a:solidFill>
          <a:ln>
            <a:noFill/>
          </a:ln>
          <a:effectLst/>
        </c:spPr>
      </c:pivotFmt>
      <c:pivotFmt>
        <c:idx val="1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7C80"/>
          </a:solidFill>
          <a:ln>
            <a:noFill/>
          </a:ln>
          <a:effectLst/>
        </c:spPr>
      </c:pivotFmt>
      <c:pivotFmt>
        <c:idx val="14"/>
        <c:spPr>
          <a:solidFill>
            <a:srgbClr val="FFC000"/>
          </a:solidFill>
          <a:ln>
            <a:noFill/>
          </a:ln>
          <a:effectLst/>
        </c:spPr>
      </c:pivotFmt>
      <c:pivotFmt>
        <c:idx val="15"/>
        <c:spPr>
          <a:solidFill>
            <a:srgbClr val="00B626"/>
          </a:solidFill>
          <a:ln>
            <a:noFill/>
          </a:ln>
          <a:effectLst/>
        </c:spPr>
      </c:pivotFmt>
      <c:pivotFmt>
        <c:idx val="16"/>
        <c:spPr>
          <a:solidFill>
            <a:srgbClr val="92D050"/>
          </a:solidFill>
          <a:ln>
            <a:noFill/>
          </a:ln>
          <a:effectLst/>
        </c:spPr>
      </c:pivotFmt>
      <c:pivotFmt>
        <c:idx val="1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18"/>
        <c:spPr>
          <a:no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9234126984126979"/>
                  <c:h val="0.19047630035262919"/>
                </c:manualLayout>
              </c15:layout>
            </c:ext>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7C80"/>
          </a:solidFill>
          <a:ln>
            <a:noFill/>
          </a:ln>
          <a:effectLst/>
        </c:spPr>
      </c:pivotFmt>
      <c:pivotFmt>
        <c:idx val="21"/>
        <c:spPr>
          <a:solidFill>
            <a:srgbClr val="FFC000"/>
          </a:solidFill>
          <a:ln>
            <a:noFill/>
          </a:ln>
          <a:effectLst/>
        </c:spPr>
      </c:pivotFmt>
      <c:pivotFmt>
        <c:idx val="22"/>
        <c:spPr>
          <a:solidFill>
            <a:srgbClr val="00B626"/>
          </a:solidFill>
          <a:ln>
            <a:noFill/>
          </a:ln>
          <a:effectLst/>
        </c:spPr>
      </c:pivotFmt>
      <c:pivotFmt>
        <c:idx val="23"/>
        <c:spPr>
          <a:solidFill>
            <a:srgbClr val="92D050"/>
          </a:solidFill>
          <a:ln>
            <a:noFill/>
          </a:ln>
          <a:effectLst/>
        </c:spPr>
      </c:pivotFmt>
      <c:pivotFmt>
        <c:idx val="2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25"/>
        <c:spPr>
          <a:no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9234126984126979"/>
                  <c:h val="0.19047630035262919"/>
                </c:manualLayout>
              </c15:layout>
            </c:ext>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7C80"/>
          </a:solidFill>
          <a:ln>
            <a:noFill/>
          </a:ln>
          <a:effectLst/>
        </c:spPr>
      </c:pivotFmt>
      <c:pivotFmt>
        <c:idx val="28"/>
        <c:spPr>
          <a:solidFill>
            <a:srgbClr val="FFC000"/>
          </a:solidFill>
          <a:ln>
            <a:noFill/>
          </a:ln>
          <a:effectLst/>
        </c:spPr>
      </c:pivotFmt>
      <c:pivotFmt>
        <c:idx val="29"/>
        <c:spPr>
          <a:solidFill>
            <a:srgbClr val="00B626"/>
          </a:solidFill>
          <a:ln>
            <a:noFill/>
          </a:ln>
          <a:effectLst/>
        </c:spPr>
      </c:pivotFmt>
      <c:pivotFmt>
        <c:idx val="30"/>
        <c:spPr>
          <a:solidFill>
            <a:srgbClr val="92D050"/>
          </a:solidFill>
          <a:ln>
            <a:noFill/>
          </a:ln>
          <a:effectLst/>
        </c:spPr>
      </c:pivotFmt>
      <c:pivotFmt>
        <c:idx val="3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32"/>
        <c:spPr>
          <a:no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9234126984126979"/>
                  <c:h val="0.19047630035262919"/>
                </c:manualLayout>
              </c15:layout>
            </c:ext>
          </c:extLst>
        </c:dLbl>
      </c:pivotFmt>
    </c:pivotFmts>
    <c:plotArea>
      <c:layout/>
      <c:barChart>
        <c:barDir val="bar"/>
        <c:grouping val="clustered"/>
        <c:varyColors val="0"/>
        <c:ser>
          <c:idx val="0"/>
          <c:order val="0"/>
          <c:tx>
            <c:strRef>
              <c:f>'Pivot Tables'!$BU$4</c:f>
              <c:strCache>
                <c:ptCount val="1"/>
                <c:pt idx="0">
                  <c:v>Sum of Paid Fees</c:v>
                </c:pt>
              </c:strCache>
            </c:strRef>
          </c:tx>
          <c:spPr>
            <a:solidFill>
              <a:schemeClr val="accent1"/>
            </a:solidFill>
            <a:ln>
              <a:noFill/>
            </a:ln>
            <a:effectLst/>
          </c:spPr>
          <c:invertIfNegative val="0"/>
          <c:dPt>
            <c:idx val="0"/>
            <c:invertIfNegative val="0"/>
            <c:bubble3D val="0"/>
            <c:spPr>
              <a:solidFill>
                <a:srgbClr val="FF7C80"/>
              </a:solidFill>
              <a:ln>
                <a:noFill/>
              </a:ln>
              <a:effectLst/>
            </c:spPr>
            <c:extLst>
              <c:ext xmlns:c16="http://schemas.microsoft.com/office/drawing/2014/chart" uri="{C3380CC4-5D6E-409C-BE32-E72D297353CC}">
                <c16:uniqueId val="{00000001-4C1E-4DE3-9449-A30E46CAA2E6}"/>
              </c:ext>
            </c:extLst>
          </c:dPt>
          <c:dPt>
            <c:idx val="1"/>
            <c:invertIfNegative val="0"/>
            <c:bubble3D val="0"/>
            <c:spPr>
              <a:solidFill>
                <a:srgbClr val="FFC000"/>
              </a:solidFill>
              <a:ln>
                <a:noFill/>
              </a:ln>
              <a:effectLst/>
            </c:spPr>
            <c:extLst>
              <c:ext xmlns:c16="http://schemas.microsoft.com/office/drawing/2014/chart" uri="{C3380CC4-5D6E-409C-BE32-E72D297353CC}">
                <c16:uniqueId val="{00000003-4C1E-4DE3-9449-A30E46CAA2E6}"/>
              </c:ext>
            </c:extLst>
          </c:dPt>
          <c:dPt>
            <c:idx val="2"/>
            <c:invertIfNegative val="0"/>
            <c:bubble3D val="0"/>
            <c:spPr>
              <a:solidFill>
                <a:srgbClr val="00B626"/>
              </a:solidFill>
              <a:ln>
                <a:noFill/>
              </a:ln>
              <a:effectLst/>
            </c:spPr>
            <c:extLst>
              <c:ext xmlns:c16="http://schemas.microsoft.com/office/drawing/2014/chart" uri="{C3380CC4-5D6E-409C-BE32-E72D297353CC}">
                <c16:uniqueId val="{00000005-4C1E-4DE3-9449-A30E46CAA2E6}"/>
              </c:ext>
            </c:extLst>
          </c:dPt>
          <c:dPt>
            <c:idx val="3"/>
            <c:invertIfNegative val="0"/>
            <c:bubble3D val="0"/>
            <c:spPr>
              <a:solidFill>
                <a:srgbClr val="92D050"/>
              </a:solidFill>
              <a:ln>
                <a:noFill/>
              </a:ln>
              <a:effectLst/>
            </c:spPr>
            <c:extLst>
              <c:ext xmlns:c16="http://schemas.microsoft.com/office/drawing/2014/chart" uri="{C3380CC4-5D6E-409C-BE32-E72D297353CC}">
                <c16:uniqueId val="{00000007-4C1E-4DE3-9449-A30E46CAA2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Tables'!$BT$5:$BT$9</c:f>
              <c:strCache>
                <c:ptCount val="4"/>
                <c:pt idx="0">
                  <c:v>Abdullah</c:v>
                </c:pt>
                <c:pt idx="1">
                  <c:v>Ahmed</c:v>
                </c:pt>
                <c:pt idx="2">
                  <c:v>Mohammed</c:v>
                </c:pt>
                <c:pt idx="3">
                  <c:v>Salah</c:v>
                </c:pt>
              </c:strCache>
            </c:strRef>
          </c:cat>
          <c:val>
            <c:numRef>
              <c:f>'Pivot Tables'!$BU$5:$BU$9</c:f>
              <c:numCache>
                <c:formatCode>[&lt;999950]0.0,"K";[&lt;999950000]0.0,,"M";0.0,,,"B"</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8-4C1E-4DE3-9449-A30E46CAA2E6}"/>
            </c:ext>
          </c:extLst>
        </c:ser>
        <c:ser>
          <c:idx val="1"/>
          <c:order val="1"/>
          <c:tx>
            <c:strRef>
              <c:f>'Pivot Tables'!$BV$4</c:f>
              <c:strCache>
                <c:ptCount val="1"/>
                <c:pt idx="0">
                  <c:v>Sum of Paid Fees2</c:v>
                </c:pt>
              </c:strCache>
            </c:strRef>
          </c:tx>
          <c:spPr>
            <a:noFill/>
            <a:ln>
              <a:noFill/>
            </a:ln>
            <a:effectLst/>
          </c:spPr>
          <c:invertIfNegative val="0"/>
          <c:dPt>
            <c:idx val="2"/>
            <c:invertIfNegative val="0"/>
            <c:bubble3D val="0"/>
            <c:spPr>
              <a:noFill/>
              <a:ln>
                <a:noFill/>
              </a:ln>
              <a:effectLst/>
            </c:spPr>
            <c:extLst>
              <c:ext xmlns:c16="http://schemas.microsoft.com/office/drawing/2014/chart" uri="{C3380CC4-5D6E-409C-BE32-E72D297353CC}">
                <c16:uniqueId val="{0000000A-4C1E-4DE3-9449-A30E46CAA2E6}"/>
              </c:ext>
            </c:extLst>
          </c:dPt>
          <c:dLbls>
            <c:dLbl>
              <c:idx val="2"/>
              <c:spPr>
                <a:noFill/>
                <a:ln>
                  <a:noFill/>
                </a:ln>
                <a:effectLst/>
              </c:spPr>
              <c:txPr>
                <a:bodyPr rot="0" spcFirstLastPara="1" vertOverflow="ellipsis" vert="horz" wrap="square" lIns="38100" tIns="19050" rIns="38100" bIns="19050" anchor="ctr" anchorCtr="0">
                  <a:spAutoFit/>
                </a:bodyPr>
                <a:lstStyle/>
                <a:p>
                  <a:pPr algn="l">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9234126984126979"/>
                      <c:h val="0.19047630035262919"/>
                    </c:manualLayout>
                  </c15:layout>
                </c:ext>
                <c:ext xmlns:c16="http://schemas.microsoft.com/office/drawing/2014/chart" uri="{C3380CC4-5D6E-409C-BE32-E72D297353CC}">
                  <c16:uniqueId val="{0000000A-4C1E-4DE3-9449-A30E46CAA2E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'Pivot Tables'!$BT$5:$BT$9</c:f>
              <c:strCache>
                <c:ptCount val="4"/>
                <c:pt idx="0">
                  <c:v>Abdullah</c:v>
                </c:pt>
                <c:pt idx="1">
                  <c:v>Ahmed</c:v>
                </c:pt>
                <c:pt idx="2">
                  <c:v>Mohammed</c:v>
                </c:pt>
                <c:pt idx="3">
                  <c:v>Salah</c:v>
                </c:pt>
              </c:strCache>
            </c:strRef>
          </c:cat>
          <c:val>
            <c:numRef>
              <c:f>'Pivot Tables'!$BV$5:$BV$9</c:f>
              <c:numCache>
                <c:formatCode>[&lt;999950]0.0,"K";[&lt;999950000]0.0,,"M";0.0,,,"B"</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B-4C1E-4DE3-9449-A30E46CAA2E6}"/>
            </c:ext>
          </c:extLst>
        </c:ser>
        <c:dLbls>
          <c:dLblPos val="outEnd"/>
          <c:showLegendKey val="0"/>
          <c:showVal val="1"/>
          <c:showCatName val="0"/>
          <c:showSerName val="0"/>
          <c:showPercent val="0"/>
          <c:showBubbleSize val="0"/>
        </c:dLbls>
        <c:gapWidth val="182"/>
        <c:overlap val="-80"/>
        <c:axId val="1789263103"/>
        <c:axId val="11281455"/>
      </c:barChart>
      <c:catAx>
        <c:axId val="1789263103"/>
        <c:scaling>
          <c:orientation val="minMax"/>
        </c:scaling>
        <c:delete val="1"/>
        <c:axPos val="l"/>
        <c:numFmt formatCode="General" sourceLinked="1"/>
        <c:majorTickMark val="none"/>
        <c:minorTickMark val="none"/>
        <c:tickLblPos val="nextTo"/>
        <c:crossAx val="11281455"/>
        <c:crosses val="autoZero"/>
        <c:auto val="1"/>
        <c:lblAlgn val="ctr"/>
        <c:lblOffset val="100"/>
        <c:noMultiLvlLbl val="0"/>
      </c:catAx>
      <c:valAx>
        <c:axId val="11281455"/>
        <c:scaling>
          <c:orientation val="minMax"/>
        </c:scaling>
        <c:delete val="1"/>
        <c:axPos val="b"/>
        <c:numFmt formatCode="[&lt;999950]0.0,&quot;K&quot;;[&lt;999950000]0.0,,&quot;M&quot;;0.0,,,&quot;B&quot;" sourceLinked="1"/>
        <c:majorTickMark val="none"/>
        <c:minorTickMark val="none"/>
        <c:tickLblPos val="nextTo"/>
        <c:crossAx val="178926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Tables!PivotTable16</c:name>
    <c:fmtId val="48"/>
  </c:pivotSource>
  <c:chart>
    <c:autoTitleDeleted val="1"/>
    <c:pivotFmts>
      <c:pivotFmt>
        <c:idx val="0"/>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Tables'!$CG$4</c:f>
              <c:strCache>
                <c:ptCount val="1"/>
                <c:pt idx="0">
                  <c:v>Total</c:v>
                </c:pt>
              </c:strCache>
            </c:strRef>
          </c:tx>
          <c:spPr>
            <a:solidFill>
              <a:srgbClr val="00B05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62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Tables'!$CF$5:$CF$21</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Tables'!$CG$5:$CG$21</c:f>
              <c:numCache>
                <c:formatCode>[&lt;999950]0.0,"K";[&lt;999950000]0.0,,"M";0.0,,,"B"</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0-B32D-47EB-A43A-9A67CC704C6B}"/>
            </c:ext>
          </c:extLst>
        </c:ser>
        <c:dLbls>
          <c:dLblPos val="outEnd"/>
          <c:showLegendKey val="0"/>
          <c:showVal val="1"/>
          <c:showCatName val="0"/>
          <c:showSerName val="0"/>
          <c:showPercent val="0"/>
          <c:showBubbleSize val="0"/>
        </c:dLbls>
        <c:gapWidth val="219"/>
        <c:overlap val="-27"/>
        <c:axId val="2117722351"/>
        <c:axId val="2067539167"/>
      </c:barChart>
      <c:catAx>
        <c:axId val="211772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67539167"/>
        <c:crosses val="autoZero"/>
        <c:auto val="1"/>
        <c:lblAlgn val="ctr"/>
        <c:lblOffset val="100"/>
        <c:noMultiLvlLbl val="0"/>
      </c:catAx>
      <c:valAx>
        <c:axId val="2067539167"/>
        <c:scaling>
          <c:orientation val="minMax"/>
        </c:scaling>
        <c:delete val="1"/>
        <c:axPos val="l"/>
        <c:numFmt formatCode="[&lt;999950]0.0,&quot;K&quot;;[&lt;999950000]0.0,,&quot;M&quot;;0.0,,,&quot;B&quot;" sourceLinked="1"/>
        <c:majorTickMark val="none"/>
        <c:minorTickMark val="none"/>
        <c:tickLblPos val="nextTo"/>
        <c:crossAx val="211772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Tables'!$CR$3</c:f>
              <c:strCache>
                <c:ptCount val="1"/>
                <c:pt idx="0">
                  <c:v>Youtube Channel</c:v>
                </c:pt>
              </c:strCache>
            </c:strRef>
          </c:tx>
          <c:spPr>
            <a:solidFill>
              <a:srgbClr val="F1F2FE"/>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5921-43B1-A7AA-BB2A7A0628F5}"/>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3-5921-43B1-A7AA-BB2A7A0628F5}"/>
              </c:ext>
            </c:extLst>
          </c:dPt>
          <c:cat>
            <c:strRef>
              <c:f>'Pivot Tables'!$CQ$4:$CQ$5</c:f>
              <c:strCache>
                <c:ptCount val="2"/>
                <c:pt idx="0">
                  <c:v>Actual</c:v>
                </c:pt>
                <c:pt idx="1">
                  <c:v>Difference between max</c:v>
                </c:pt>
              </c:strCache>
            </c:strRef>
          </c:cat>
          <c:val>
            <c:numRef>
              <c:f>'Pivot Tables'!$CR$4:$CR$5</c:f>
              <c:numCache>
                <c:formatCode>[&lt;999950]0.0,"K";[&lt;999950000]0.0,,"M";0.0,,,"B"</c:formatCode>
                <c:ptCount val="2"/>
                <c:pt idx="0">
                  <c:v>806000000</c:v>
                </c:pt>
                <c:pt idx="1">
                  <c:v>4766000000</c:v>
                </c:pt>
              </c:numCache>
            </c:numRef>
          </c:val>
          <c:extLst>
            <c:ext xmlns:c16="http://schemas.microsoft.com/office/drawing/2014/chart" uri="{C3380CC4-5D6E-409C-BE32-E72D297353CC}">
              <c16:uniqueId val="{00000004-5921-43B1-A7AA-BB2A7A0628F5}"/>
            </c:ext>
          </c:extLst>
        </c:ser>
        <c:ser>
          <c:idx val="1"/>
          <c:order val="1"/>
          <c:tx>
            <c:strRef>
              <c:f>'Pivot Tables'!$CS$3</c:f>
              <c:strCache>
                <c:ptCount val="1"/>
                <c:pt idx="0">
                  <c:v>Google Ad</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6-5921-43B1-A7AA-BB2A7A0628F5}"/>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8-5921-43B1-A7AA-BB2A7A0628F5}"/>
              </c:ext>
            </c:extLst>
          </c:dPt>
          <c:cat>
            <c:strRef>
              <c:f>'Pivot Tables'!$CQ$4:$CQ$5</c:f>
              <c:strCache>
                <c:ptCount val="2"/>
                <c:pt idx="0">
                  <c:v>Actual</c:v>
                </c:pt>
                <c:pt idx="1">
                  <c:v>Difference between max</c:v>
                </c:pt>
              </c:strCache>
            </c:strRef>
          </c:cat>
          <c:val>
            <c:numRef>
              <c:f>'Pivot Tables'!$CS$4:$CS$5</c:f>
              <c:numCache>
                <c:formatCode>[&lt;999950]0.0,"K";[&lt;999950000]0.0,,"M";0.0,,,"B"</c:formatCode>
                <c:ptCount val="2"/>
                <c:pt idx="0">
                  <c:v>1823000000</c:v>
                </c:pt>
                <c:pt idx="1">
                  <c:v>3749000000</c:v>
                </c:pt>
              </c:numCache>
            </c:numRef>
          </c:val>
          <c:extLst>
            <c:ext xmlns:c16="http://schemas.microsoft.com/office/drawing/2014/chart" uri="{C3380CC4-5D6E-409C-BE32-E72D297353CC}">
              <c16:uniqueId val="{00000009-5921-43B1-A7AA-BB2A7A0628F5}"/>
            </c:ext>
          </c:extLst>
        </c:ser>
        <c:ser>
          <c:idx val="2"/>
          <c:order val="2"/>
          <c:tx>
            <c:strRef>
              <c:f>'Pivot Tables'!$CT$3</c:f>
              <c:strCache>
                <c:ptCount val="1"/>
                <c:pt idx="0">
                  <c:v>WhatsApp</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B-5921-43B1-A7AA-BB2A7A0628F5}"/>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D-5921-43B1-A7AA-BB2A7A0628F5}"/>
              </c:ext>
            </c:extLst>
          </c:dPt>
          <c:cat>
            <c:strRef>
              <c:f>'Pivot Tables'!$CQ$4:$CQ$5</c:f>
              <c:strCache>
                <c:ptCount val="2"/>
                <c:pt idx="0">
                  <c:v>Actual</c:v>
                </c:pt>
                <c:pt idx="1">
                  <c:v>Difference between max</c:v>
                </c:pt>
              </c:strCache>
            </c:strRef>
          </c:cat>
          <c:val>
            <c:numRef>
              <c:f>'Pivot Tables'!$CT$4:$CT$5</c:f>
              <c:numCache>
                <c:formatCode>[&lt;999950]0.0,"K";[&lt;999950000]0.0,,"M";0.0,,,"B"</c:formatCode>
                <c:ptCount val="2"/>
                <c:pt idx="0">
                  <c:v>2494000000</c:v>
                </c:pt>
                <c:pt idx="1">
                  <c:v>3078000000</c:v>
                </c:pt>
              </c:numCache>
            </c:numRef>
          </c:val>
          <c:extLst>
            <c:ext xmlns:c16="http://schemas.microsoft.com/office/drawing/2014/chart" uri="{C3380CC4-5D6E-409C-BE32-E72D297353CC}">
              <c16:uniqueId val="{0000000E-5921-43B1-A7AA-BB2A7A0628F5}"/>
            </c:ext>
          </c:extLst>
        </c:ser>
        <c:ser>
          <c:idx val="3"/>
          <c:order val="3"/>
          <c:tx>
            <c:strRef>
              <c:f>'Pivot Tables'!$CU$3</c:f>
              <c:strCache>
                <c:ptCount val="1"/>
                <c:pt idx="0">
                  <c:v>Company Website</c:v>
                </c:pt>
              </c:strCache>
            </c:strRef>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10-5921-43B1-A7AA-BB2A7A0628F5}"/>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2-5921-43B1-A7AA-BB2A7A0628F5}"/>
              </c:ext>
            </c:extLst>
          </c:dPt>
          <c:cat>
            <c:strRef>
              <c:f>'Pivot Tables'!$CQ$4:$CQ$5</c:f>
              <c:strCache>
                <c:ptCount val="2"/>
                <c:pt idx="0">
                  <c:v>Actual</c:v>
                </c:pt>
                <c:pt idx="1">
                  <c:v>Difference between max</c:v>
                </c:pt>
              </c:strCache>
            </c:strRef>
          </c:cat>
          <c:val>
            <c:numRef>
              <c:f>'Pivot Tables'!$CU$4:$CU$5</c:f>
              <c:numCache>
                <c:formatCode>[&lt;999950]0.0,"K";[&lt;999950000]0.0,,"M";0.0,,,"B"</c:formatCode>
                <c:ptCount val="2"/>
                <c:pt idx="0">
                  <c:v>2749000000</c:v>
                </c:pt>
                <c:pt idx="1">
                  <c:v>2823000000</c:v>
                </c:pt>
              </c:numCache>
            </c:numRef>
          </c:val>
          <c:extLst>
            <c:ext xmlns:c16="http://schemas.microsoft.com/office/drawing/2014/chart" uri="{C3380CC4-5D6E-409C-BE32-E72D297353CC}">
              <c16:uniqueId val="{00000013-5921-43B1-A7AA-BB2A7A0628F5}"/>
            </c:ext>
          </c:extLst>
        </c:ser>
        <c:ser>
          <c:idx val="4"/>
          <c:order val="4"/>
          <c:tx>
            <c:strRef>
              <c:f>'Pivot Tables'!$CV$3</c:f>
              <c:strCache>
                <c:ptCount val="1"/>
                <c:pt idx="0">
                  <c:v>Facebook Page</c:v>
                </c:pt>
              </c:strCache>
            </c:strRef>
          </c:tx>
          <c:dPt>
            <c:idx val="0"/>
            <c:bubble3D val="0"/>
            <c:spPr>
              <a:solidFill>
                <a:srgbClr val="FF7C80"/>
              </a:solidFill>
              <a:ln w="19050">
                <a:solidFill>
                  <a:schemeClr val="lt1"/>
                </a:solidFill>
              </a:ln>
              <a:effectLst/>
            </c:spPr>
            <c:extLst>
              <c:ext xmlns:c16="http://schemas.microsoft.com/office/drawing/2014/chart" uri="{C3380CC4-5D6E-409C-BE32-E72D297353CC}">
                <c16:uniqueId val="{00000015-5921-43B1-A7AA-BB2A7A0628F5}"/>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7-5921-43B1-A7AA-BB2A7A0628F5}"/>
              </c:ext>
            </c:extLst>
          </c:dPt>
          <c:cat>
            <c:strRef>
              <c:f>'Pivot Tables'!$CQ$4:$CQ$5</c:f>
              <c:strCache>
                <c:ptCount val="2"/>
                <c:pt idx="0">
                  <c:v>Actual</c:v>
                </c:pt>
                <c:pt idx="1">
                  <c:v>Difference between max</c:v>
                </c:pt>
              </c:strCache>
            </c:strRef>
          </c:cat>
          <c:val>
            <c:numRef>
              <c:f>'Pivot Tables'!$CV$4:$CV$5</c:f>
              <c:numCache>
                <c:formatCode>[&lt;999950]0.0,"K";[&lt;999950000]0.0,,"M";0.0,,,"B"</c:formatCode>
                <c:ptCount val="2"/>
                <c:pt idx="0">
                  <c:v>3546000000</c:v>
                </c:pt>
                <c:pt idx="1">
                  <c:v>2026000000</c:v>
                </c:pt>
              </c:numCache>
            </c:numRef>
          </c:val>
          <c:extLst>
            <c:ext xmlns:c16="http://schemas.microsoft.com/office/drawing/2014/chart" uri="{C3380CC4-5D6E-409C-BE32-E72D297353CC}">
              <c16:uniqueId val="{00000018-5921-43B1-A7AA-BB2A7A0628F5}"/>
            </c:ext>
          </c:extLst>
        </c:ser>
        <c:ser>
          <c:idx val="5"/>
          <c:order val="5"/>
          <c:tx>
            <c:strRef>
              <c:f>'Pivot Tables'!$CW$3</c:f>
              <c:strCache>
                <c:ptCount val="1"/>
                <c:pt idx="0">
                  <c:v>Television Ad</c:v>
                </c:pt>
              </c:strCache>
            </c:strRef>
          </c:tx>
          <c:spPr>
            <a:solidFill>
              <a:srgbClr val="F1F2FE"/>
            </a:solidFill>
          </c:spPr>
          <c:dPt>
            <c:idx val="0"/>
            <c:bubble3D val="0"/>
            <c:spPr>
              <a:solidFill>
                <a:srgbClr val="8D7EF3"/>
              </a:solidFill>
              <a:ln w="19050">
                <a:solidFill>
                  <a:schemeClr val="lt1"/>
                </a:solidFill>
              </a:ln>
              <a:effectLst/>
            </c:spPr>
            <c:extLst>
              <c:ext xmlns:c16="http://schemas.microsoft.com/office/drawing/2014/chart" uri="{C3380CC4-5D6E-409C-BE32-E72D297353CC}">
                <c16:uniqueId val="{0000001A-5921-43B1-A7AA-BB2A7A0628F5}"/>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C-5921-43B1-A7AA-BB2A7A0628F5}"/>
              </c:ext>
            </c:extLst>
          </c:dPt>
          <c:cat>
            <c:strRef>
              <c:f>'Pivot Tables'!$CQ$4:$CQ$5</c:f>
              <c:strCache>
                <c:ptCount val="2"/>
                <c:pt idx="0">
                  <c:v>Actual</c:v>
                </c:pt>
                <c:pt idx="1">
                  <c:v>Difference between max</c:v>
                </c:pt>
              </c:strCache>
            </c:strRef>
          </c:cat>
          <c:val>
            <c:numRef>
              <c:f>'Pivot Tables'!$CW$4:$CW$5</c:f>
              <c:numCache>
                <c:formatCode>[&lt;999950]0.0,"K";[&lt;999950000]0.0,,"M";0.0,,,"B"</c:formatCode>
                <c:ptCount val="2"/>
                <c:pt idx="0">
                  <c:v>4572000000</c:v>
                </c:pt>
                <c:pt idx="1">
                  <c:v>1000000000</c:v>
                </c:pt>
              </c:numCache>
            </c:numRef>
          </c:val>
          <c:extLst>
            <c:ext xmlns:c16="http://schemas.microsoft.com/office/drawing/2014/chart" uri="{C3380CC4-5D6E-409C-BE32-E72D297353CC}">
              <c16:uniqueId val="{0000001D-5921-43B1-A7AA-BB2A7A0628F5}"/>
            </c:ext>
          </c:extLst>
        </c:ser>
        <c:dLbls>
          <c:showLegendKey val="0"/>
          <c:showVal val="0"/>
          <c:showCatName val="0"/>
          <c:showSerName val="0"/>
          <c:showPercent val="0"/>
          <c:showBubbleSize val="0"/>
          <c:showLeaderLines val="1"/>
        </c:dLbls>
        <c:firstSliceAng val="18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Tables!Average number of Calls by month</c:name>
    <c:fmtId val="52"/>
  </c:pivotSource>
  <c:chart>
    <c:autoTitleDeleted val="0"/>
    <c:pivotFmts>
      <c:pivotFmt>
        <c:idx val="0"/>
        <c:spPr>
          <a:solidFill>
            <a:schemeClr val="accent1"/>
          </a:solidFill>
          <a:ln w="2222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7C80">
                  <a:alpha val="26000"/>
                </a:srgbClr>
              </a:gs>
              <a:gs pos="87000">
                <a:srgbClr val="FF7C80">
                  <a:alpha val="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7C80">
                  <a:alpha val="26000"/>
                </a:srgbClr>
              </a:gs>
              <a:gs pos="87000">
                <a:srgbClr val="FF7C80">
                  <a:alpha val="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7C80">
                  <a:alpha val="26000"/>
                </a:srgbClr>
              </a:gs>
              <a:gs pos="87000">
                <a:srgbClr val="FF7C80">
                  <a:alpha val="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FF7C80">
                  <a:alpha val="26000"/>
                </a:srgbClr>
              </a:gs>
              <a:gs pos="87000">
                <a:srgbClr val="FF7C80">
                  <a:alpha val="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FF7C80">
                  <a:alpha val="26000"/>
                </a:srgbClr>
              </a:gs>
              <a:gs pos="87000">
                <a:srgbClr val="FF7C80">
                  <a:alpha val="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Tables'!$DB$4</c:f>
              <c:strCache>
                <c:ptCount val="1"/>
                <c:pt idx="0">
                  <c:v>Count of Month2</c:v>
                </c:pt>
              </c:strCache>
            </c:strRef>
          </c:tx>
          <c:spPr>
            <a:gradFill>
              <a:gsLst>
                <a:gs pos="0">
                  <a:srgbClr val="FF7C80">
                    <a:alpha val="26000"/>
                  </a:srgbClr>
                </a:gs>
                <a:gs pos="87000">
                  <a:srgbClr val="FF7C80">
                    <a:alpha val="0"/>
                  </a:srgbClr>
                </a:gs>
              </a:gsLst>
              <a:lin ang="5400000" scaled="1"/>
            </a:gradFill>
            <a:ln>
              <a:noFill/>
            </a:ln>
            <a:effectLst/>
          </c:spPr>
          <c:cat>
            <c:strRef>
              <c:f>'Pivot Tables'!$CZ$5:$CZ$17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Tables'!$DB$5:$DB$17</c:f>
              <c:numCache>
                <c:formatCode>General</c:formatCode>
                <c:ptCount val="12"/>
                <c:pt idx="0">
                  <c:v>68</c:v>
                </c:pt>
                <c:pt idx="1">
                  <c:v>66</c:v>
                </c:pt>
                <c:pt idx="2">
                  <c:v>30</c:v>
                </c:pt>
                <c:pt idx="3">
                  <c:v>38</c:v>
                </c:pt>
                <c:pt idx="4">
                  <c:v>86</c:v>
                </c:pt>
                <c:pt idx="5">
                  <c:v>42</c:v>
                </c:pt>
                <c:pt idx="6">
                  <c:v>38</c:v>
                </c:pt>
                <c:pt idx="7">
                  <c:v>79</c:v>
                </c:pt>
                <c:pt idx="8">
                  <c:v>173</c:v>
                </c:pt>
                <c:pt idx="9">
                  <c:v>278</c:v>
                </c:pt>
                <c:pt idx="10">
                  <c:v>212</c:v>
                </c:pt>
                <c:pt idx="11">
                  <c:v>127</c:v>
                </c:pt>
              </c:numCache>
            </c:numRef>
          </c:val>
          <c:extLst>
            <c:ext xmlns:c16="http://schemas.microsoft.com/office/drawing/2014/chart" uri="{C3380CC4-5D6E-409C-BE32-E72D297353CC}">
              <c16:uniqueId val="{00000000-9082-4C88-A6AC-5F19A1DAF8EC}"/>
            </c:ext>
          </c:extLst>
        </c:ser>
        <c:dLbls>
          <c:showLegendKey val="0"/>
          <c:showVal val="0"/>
          <c:showCatName val="0"/>
          <c:showSerName val="0"/>
          <c:showPercent val="0"/>
          <c:showBubbleSize val="0"/>
        </c:dLbls>
        <c:axId val="657903"/>
        <c:axId val="150896863"/>
      </c:areaChart>
      <c:lineChart>
        <c:grouping val="standard"/>
        <c:varyColors val="0"/>
        <c:ser>
          <c:idx val="0"/>
          <c:order val="0"/>
          <c:tx>
            <c:strRef>
              <c:f>'Pivot Tables'!$DA$4</c:f>
              <c:strCache>
                <c:ptCount val="1"/>
                <c:pt idx="0">
                  <c:v>Count of Month</c:v>
                </c:pt>
              </c:strCache>
            </c:strRef>
          </c:tx>
          <c:spPr>
            <a:ln w="22225" cap="rnd">
              <a:solidFill>
                <a:srgbClr val="00B626"/>
              </a:solidFill>
              <a:round/>
            </a:ln>
            <a:effectLst/>
          </c:spPr>
          <c:marker>
            <c:symbol val="none"/>
          </c:marker>
          <c:cat>
            <c:strRef>
              <c:f>'Pivot Tables'!$CZ$5:$CZ$17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Tables'!$DA$5:$DA$17</c:f>
              <c:numCache>
                <c:formatCode>General</c:formatCode>
                <c:ptCount val="12"/>
                <c:pt idx="0">
                  <c:v>68</c:v>
                </c:pt>
                <c:pt idx="1">
                  <c:v>66</c:v>
                </c:pt>
                <c:pt idx="2">
                  <c:v>30</c:v>
                </c:pt>
                <c:pt idx="3">
                  <c:v>38</c:v>
                </c:pt>
                <c:pt idx="4">
                  <c:v>86</c:v>
                </c:pt>
                <c:pt idx="5">
                  <c:v>42</c:v>
                </c:pt>
                <c:pt idx="6">
                  <c:v>38</c:v>
                </c:pt>
                <c:pt idx="7">
                  <c:v>79</c:v>
                </c:pt>
                <c:pt idx="8">
                  <c:v>173</c:v>
                </c:pt>
                <c:pt idx="9">
                  <c:v>278</c:v>
                </c:pt>
                <c:pt idx="10">
                  <c:v>212</c:v>
                </c:pt>
                <c:pt idx="11">
                  <c:v>127</c:v>
                </c:pt>
              </c:numCache>
            </c:numRef>
          </c:val>
          <c:smooth val="1"/>
          <c:extLst>
            <c:ext xmlns:c16="http://schemas.microsoft.com/office/drawing/2014/chart" uri="{C3380CC4-5D6E-409C-BE32-E72D297353CC}">
              <c16:uniqueId val="{00000001-9082-4C88-A6AC-5F19A1DAF8EC}"/>
            </c:ext>
          </c:extLst>
        </c:ser>
        <c:dLbls>
          <c:showLegendKey val="0"/>
          <c:showVal val="0"/>
          <c:showCatName val="0"/>
          <c:showSerName val="0"/>
          <c:showPercent val="0"/>
          <c:showBubbleSize val="0"/>
        </c:dLbls>
        <c:marker val="1"/>
        <c:smooth val="0"/>
        <c:axId val="657903"/>
        <c:axId val="150896863"/>
      </c:lineChart>
      <c:catAx>
        <c:axId val="657903"/>
        <c:scaling>
          <c:orientation val="minMax"/>
        </c:scaling>
        <c:delete val="1"/>
        <c:axPos val="b"/>
        <c:numFmt formatCode="General" sourceLinked="1"/>
        <c:majorTickMark val="none"/>
        <c:minorTickMark val="none"/>
        <c:tickLblPos val="nextTo"/>
        <c:crossAx val="150896863"/>
        <c:crosses val="autoZero"/>
        <c:auto val="1"/>
        <c:lblAlgn val="ctr"/>
        <c:lblOffset val="100"/>
        <c:noMultiLvlLbl val="0"/>
      </c:catAx>
      <c:valAx>
        <c:axId val="150896863"/>
        <c:scaling>
          <c:orientation val="minMax"/>
        </c:scaling>
        <c:delete val="1"/>
        <c:axPos val="l"/>
        <c:numFmt formatCode="General" sourceLinked="1"/>
        <c:majorTickMark val="none"/>
        <c:minorTickMark val="none"/>
        <c:tickLblPos val="nextTo"/>
        <c:crossAx val="65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Tables!Monthly ADvertisement</c:name>
    <c:fmtId val="56"/>
  </c:pivotSource>
  <c:chart>
    <c:autoTitleDeleted val="0"/>
    <c:pivotFmts>
      <c:pivotFmt>
        <c:idx val="0"/>
        <c:spPr>
          <a:solidFill>
            <a:schemeClr val="accent1"/>
          </a:solidFill>
          <a:ln w="19050"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19050"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19050"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1905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Tables'!$DH$4:$DH$5</c:f>
              <c:strCache>
                <c:ptCount val="1"/>
                <c:pt idx="0">
                  <c:v>AD01-9361</c:v>
                </c:pt>
              </c:strCache>
            </c:strRef>
          </c:tx>
          <c:spPr>
            <a:ln w="19050" cap="rnd">
              <a:solidFill>
                <a:srgbClr val="FF7C80"/>
              </a:solidFill>
              <a:round/>
            </a:ln>
            <a:effectLst/>
          </c:spPr>
          <c:marker>
            <c:symbol val="none"/>
          </c:marker>
          <c:cat>
            <c:strRef>
              <c:f>'Pivot Tables'!$DG$6:$DG$18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Tables'!$DH$6:$DH$18</c:f>
              <c:numCache>
                <c:formatCode>[&lt;999950]0.0,"K";[&lt;999950000]0.0,,"M";0.0,,,"B"</c:formatCode>
                <c:ptCount val="12"/>
                <c:pt idx="0">
                  <c:v>262000000</c:v>
                </c:pt>
                <c:pt idx="1">
                  <c:v>306000000</c:v>
                </c:pt>
                <c:pt idx="2">
                  <c:v>0</c:v>
                </c:pt>
                <c:pt idx="3">
                  <c:v>144000000</c:v>
                </c:pt>
                <c:pt idx="4">
                  <c:v>294000000</c:v>
                </c:pt>
                <c:pt idx="5">
                  <c:v>212000000</c:v>
                </c:pt>
                <c:pt idx="6">
                  <c:v>180000000</c:v>
                </c:pt>
                <c:pt idx="7">
                  <c:v>372000000</c:v>
                </c:pt>
                <c:pt idx="8">
                  <c:v>652000000</c:v>
                </c:pt>
                <c:pt idx="9">
                  <c:v>1179000000</c:v>
                </c:pt>
                <c:pt idx="10">
                  <c:v>789000000</c:v>
                </c:pt>
                <c:pt idx="11">
                  <c:v>445000000</c:v>
                </c:pt>
              </c:numCache>
            </c:numRef>
          </c:val>
          <c:smooth val="0"/>
          <c:extLst>
            <c:ext xmlns:c16="http://schemas.microsoft.com/office/drawing/2014/chart" uri="{C3380CC4-5D6E-409C-BE32-E72D297353CC}">
              <c16:uniqueId val="{00000000-0900-4068-BEEE-A82CACCD286C}"/>
            </c:ext>
          </c:extLst>
        </c:ser>
        <c:ser>
          <c:idx val="1"/>
          <c:order val="1"/>
          <c:tx>
            <c:strRef>
              <c:f>'Pivot Tables'!$DI$4:$DI$5</c:f>
              <c:strCache>
                <c:ptCount val="1"/>
                <c:pt idx="0">
                  <c:v>AD01-9362</c:v>
                </c:pt>
              </c:strCache>
            </c:strRef>
          </c:tx>
          <c:spPr>
            <a:ln w="19050" cap="rnd">
              <a:solidFill>
                <a:srgbClr val="8D7EF3"/>
              </a:solidFill>
              <a:round/>
            </a:ln>
            <a:effectLst/>
          </c:spPr>
          <c:marker>
            <c:symbol val="none"/>
          </c:marker>
          <c:cat>
            <c:strRef>
              <c:f>'Pivot Tables'!$DG$6:$DG$18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Tables'!$DI$6:$DI$18</c:f>
              <c:numCache>
                <c:formatCode>[&lt;999950]0.0,"K";[&lt;999950000]0.0,,"M";0.0,,,"B"</c:formatCode>
                <c:ptCount val="12"/>
                <c:pt idx="0">
                  <c:v>472000000</c:v>
                </c:pt>
                <c:pt idx="1">
                  <c:v>408000000</c:v>
                </c:pt>
                <c:pt idx="2">
                  <c:v>116000000</c:v>
                </c:pt>
                <c:pt idx="3">
                  <c:v>264000000</c:v>
                </c:pt>
                <c:pt idx="4">
                  <c:v>546000000</c:v>
                </c:pt>
                <c:pt idx="5">
                  <c:v>146000000</c:v>
                </c:pt>
                <c:pt idx="6">
                  <c:v>262000000</c:v>
                </c:pt>
                <c:pt idx="7">
                  <c:v>443000000</c:v>
                </c:pt>
                <c:pt idx="8">
                  <c:v>858000000</c:v>
                </c:pt>
                <c:pt idx="9">
                  <c:v>1448000000</c:v>
                </c:pt>
                <c:pt idx="10">
                  <c:v>1078000000</c:v>
                </c:pt>
                <c:pt idx="11">
                  <c:v>444000000</c:v>
                </c:pt>
              </c:numCache>
            </c:numRef>
          </c:val>
          <c:smooth val="0"/>
          <c:extLst>
            <c:ext xmlns:c16="http://schemas.microsoft.com/office/drawing/2014/chart" uri="{C3380CC4-5D6E-409C-BE32-E72D297353CC}">
              <c16:uniqueId val="{00000001-0900-4068-BEEE-A82CACCD286C}"/>
            </c:ext>
          </c:extLst>
        </c:ser>
        <c:ser>
          <c:idx val="2"/>
          <c:order val="2"/>
          <c:tx>
            <c:strRef>
              <c:f>'Pivot Tables'!$DJ$4:$DJ$5</c:f>
              <c:strCache>
                <c:ptCount val="1"/>
                <c:pt idx="0">
                  <c:v>AD01-9363</c:v>
                </c:pt>
              </c:strCache>
            </c:strRef>
          </c:tx>
          <c:spPr>
            <a:ln w="19050" cap="rnd">
              <a:solidFill>
                <a:srgbClr val="92D050"/>
              </a:solidFill>
              <a:round/>
            </a:ln>
            <a:effectLst/>
          </c:spPr>
          <c:marker>
            <c:symbol val="none"/>
          </c:marker>
          <c:cat>
            <c:strRef>
              <c:f>'Pivot Tables'!$DG$6:$DG$18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Tables'!$DJ$6:$DJ$18</c:f>
              <c:numCache>
                <c:formatCode>General</c:formatCode>
                <c:ptCount val="12"/>
                <c:pt idx="0">
                  <c:v>0</c:v>
                </c:pt>
                <c:pt idx="1">
                  <c:v>48000000</c:v>
                </c:pt>
                <c:pt idx="3">
                  <c:v>24000000</c:v>
                </c:pt>
                <c:pt idx="4">
                  <c:v>68000000</c:v>
                </c:pt>
                <c:pt idx="5">
                  <c:v>24000000</c:v>
                </c:pt>
                <c:pt idx="7">
                  <c:v>38000000</c:v>
                </c:pt>
                <c:pt idx="8">
                  <c:v>142000000</c:v>
                </c:pt>
                <c:pt idx="9">
                  <c:v>242000000</c:v>
                </c:pt>
                <c:pt idx="10">
                  <c:v>239000000</c:v>
                </c:pt>
                <c:pt idx="11">
                  <c:v>75000000</c:v>
                </c:pt>
              </c:numCache>
            </c:numRef>
          </c:val>
          <c:smooth val="0"/>
          <c:extLst>
            <c:ext xmlns:c16="http://schemas.microsoft.com/office/drawing/2014/chart" uri="{C3380CC4-5D6E-409C-BE32-E72D297353CC}">
              <c16:uniqueId val="{00000002-0900-4068-BEEE-A82CACCD286C}"/>
            </c:ext>
          </c:extLst>
        </c:ser>
        <c:ser>
          <c:idx val="3"/>
          <c:order val="3"/>
          <c:tx>
            <c:strRef>
              <c:f>'Pivot Tables'!$DK$4:$DK$5</c:f>
              <c:strCache>
                <c:ptCount val="1"/>
                <c:pt idx="0">
                  <c:v>AD01-9364</c:v>
                </c:pt>
              </c:strCache>
            </c:strRef>
          </c:tx>
          <c:spPr>
            <a:ln w="19050" cap="rnd">
              <a:solidFill>
                <a:schemeClr val="accent4"/>
              </a:solidFill>
              <a:round/>
            </a:ln>
            <a:effectLst/>
          </c:spPr>
          <c:marker>
            <c:symbol val="none"/>
          </c:marker>
          <c:cat>
            <c:strRef>
              <c:f>'Pivot Tables'!$DG$6:$DG$18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Tables'!$DK$6:$DK$18</c:f>
              <c:numCache>
                <c:formatCode>General</c:formatCode>
                <c:ptCount val="12"/>
                <c:pt idx="0">
                  <c:v>190000000</c:v>
                </c:pt>
                <c:pt idx="1">
                  <c:v>248000000</c:v>
                </c:pt>
                <c:pt idx="2">
                  <c:v>0</c:v>
                </c:pt>
                <c:pt idx="3">
                  <c:v>82000000</c:v>
                </c:pt>
                <c:pt idx="4">
                  <c:v>226000000</c:v>
                </c:pt>
                <c:pt idx="5">
                  <c:v>130000000</c:v>
                </c:pt>
                <c:pt idx="6">
                  <c:v>0</c:v>
                </c:pt>
                <c:pt idx="7">
                  <c:v>225000000</c:v>
                </c:pt>
                <c:pt idx="8">
                  <c:v>413000000</c:v>
                </c:pt>
                <c:pt idx="9">
                  <c:v>752000000</c:v>
                </c:pt>
                <c:pt idx="10">
                  <c:v>545000000</c:v>
                </c:pt>
                <c:pt idx="11">
                  <c:v>200000000</c:v>
                </c:pt>
              </c:numCache>
            </c:numRef>
          </c:val>
          <c:smooth val="0"/>
          <c:extLst>
            <c:ext xmlns:c16="http://schemas.microsoft.com/office/drawing/2014/chart" uri="{C3380CC4-5D6E-409C-BE32-E72D297353CC}">
              <c16:uniqueId val="{00000003-0900-4068-BEEE-A82CACCD286C}"/>
            </c:ext>
          </c:extLst>
        </c:ser>
        <c:ser>
          <c:idx val="4"/>
          <c:order val="4"/>
          <c:tx>
            <c:strRef>
              <c:f>'Pivot Tables'!$DL$4:$DL$5</c:f>
              <c:strCache>
                <c:ptCount val="1"/>
                <c:pt idx="0">
                  <c:v>AD01-9365</c:v>
                </c:pt>
              </c:strCache>
            </c:strRef>
          </c:tx>
          <c:spPr>
            <a:ln w="19050" cap="rnd">
              <a:solidFill>
                <a:srgbClr val="00B050"/>
              </a:solidFill>
              <a:round/>
            </a:ln>
            <a:effectLst/>
          </c:spPr>
          <c:marker>
            <c:symbol val="none"/>
          </c:marker>
          <c:cat>
            <c:strRef>
              <c:f>'Pivot Tables'!$DG$6:$DG$18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Tables'!$DL$6:$DL$18</c:f>
              <c:numCache>
                <c:formatCode>General</c:formatCode>
                <c:ptCount val="12"/>
                <c:pt idx="0">
                  <c:v>60000000</c:v>
                </c:pt>
                <c:pt idx="1">
                  <c:v>30000000</c:v>
                </c:pt>
                <c:pt idx="2">
                  <c:v>0</c:v>
                </c:pt>
                <c:pt idx="3">
                  <c:v>24000000</c:v>
                </c:pt>
                <c:pt idx="4">
                  <c:v>24000000</c:v>
                </c:pt>
                <c:pt idx="5">
                  <c:v>0</c:v>
                </c:pt>
                <c:pt idx="7">
                  <c:v>74000000</c:v>
                </c:pt>
                <c:pt idx="8">
                  <c:v>113000000</c:v>
                </c:pt>
                <c:pt idx="9">
                  <c:v>188000000</c:v>
                </c:pt>
                <c:pt idx="10">
                  <c:v>163000000</c:v>
                </c:pt>
                <c:pt idx="11">
                  <c:v>83000000</c:v>
                </c:pt>
              </c:numCache>
            </c:numRef>
          </c:val>
          <c:smooth val="0"/>
          <c:extLst>
            <c:ext xmlns:c16="http://schemas.microsoft.com/office/drawing/2014/chart" uri="{C3380CC4-5D6E-409C-BE32-E72D297353CC}">
              <c16:uniqueId val="{00000004-0900-4068-BEEE-A82CACCD286C}"/>
            </c:ext>
          </c:extLst>
        </c:ser>
        <c:dLbls>
          <c:showLegendKey val="0"/>
          <c:showVal val="0"/>
          <c:showCatName val="0"/>
          <c:showSerName val="0"/>
          <c:showPercent val="0"/>
          <c:showBubbleSize val="0"/>
        </c:dLbls>
        <c:smooth val="0"/>
        <c:axId val="901504991"/>
        <c:axId val="902911647"/>
      </c:lineChart>
      <c:catAx>
        <c:axId val="90150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02911647"/>
        <c:crosses val="autoZero"/>
        <c:auto val="1"/>
        <c:lblAlgn val="ctr"/>
        <c:lblOffset val="100"/>
        <c:noMultiLvlLbl val="0"/>
      </c:catAx>
      <c:valAx>
        <c:axId val="902911647"/>
        <c:scaling>
          <c:orientation val="minMax"/>
        </c:scaling>
        <c:delete val="0"/>
        <c:axPos val="l"/>
        <c:majorGridlines>
          <c:spPr>
            <a:ln w="3175" cap="flat" cmpd="sng" algn="ctr">
              <a:solidFill>
                <a:schemeClr val="bg1">
                  <a:lumMod val="9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01504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Tables!Training models by sales team</c:name>
    <c:fmtId val="59"/>
  </c:pivotSource>
  <c:chart>
    <c:autoTitleDeleted val="1"/>
    <c:pivotFmts>
      <c:pivotFmt>
        <c:idx val="0"/>
        <c:spPr>
          <a:solidFill>
            <a:srgbClr val="00B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Tables'!$DP$4</c:f>
              <c:strCache>
                <c:ptCount val="1"/>
                <c:pt idx="0">
                  <c:v>Total</c:v>
                </c:pt>
              </c:strCache>
            </c:strRef>
          </c:tx>
          <c:spPr>
            <a:solidFill>
              <a:srgbClr val="00B626"/>
            </a:solidFill>
            <a:ln>
              <a:noFill/>
            </a:ln>
            <a:effectLst/>
          </c:spPr>
          <c:invertIfNegative val="0"/>
          <c:cat>
            <c:multiLvlStrRef>
              <c:f>'Pivot Tables'!$DO$5:$DO$24</c:f>
              <c:multiLvlStrCache>
                <c:ptCount val="15"/>
                <c:lvl>
                  <c:pt idx="0">
                    <c:v>BE</c:v>
                  </c:pt>
                  <c:pt idx="1">
                    <c:v>CNI</c:v>
                  </c:pt>
                  <c:pt idx="2">
                    <c:v>GK</c:v>
                  </c:pt>
                  <c:pt idx="3">
                    <c:v>BE</c:v>
                  </c:pt>
                  <c:pt idx="4">
                    <c:v>CNI</c:v>
                  </c:pt>
                  <c:pt idx="5">
                    <c:v>FC</c:v>
                  </c:pt>
                  <c:pt idx="6">
                    <c:v>GK</c:v>
                  </c:pt>
                  <c:pt idx="7">
                    <c:v>BE</c:v>
                  </c:pt>
                  <c:pt idx="8">
                    <c:v>CNI</c:v>
                  </c:pt>
                  <c:pt idx="9">
                    <c:v>FC</c:v>
                  </c:pt>
                  <c:pt idx="10">
                    <c:v>GK</c:v>
                  </c:pt>
                  <c:pt idx="11">
                    <c:v>BE</c:v>
                  </c:pt>
                  <c:pt idx="12">
                    <c:v>CNI</c:v>
                  </c:pt>
                  <c:pt idx="13">
                    <c:v>FC</c:v>
                  </c:pt>
                  <c:pt idx="14">
                    <c:v>GK</c:v>
                  </c:pt>
                </c:lvl>
                <c:lvl>
                  <c:pt idx="0">
                    <c:v>Abdullah</c:v>
                  </c:pt>
                  <c:pt idx="3">
                    <c:v>Ahmed</c:v>
                  </c:pt>
                  <c:pt idx="7">
                    <c:v>Mohammed</c:v>
                  </c:pt>
                  <c:pt idx="11">
                    <c:v>Salah</c:v>
                  </c:pt>
                </c:lvl>
              </c:multiLvlStrCache>
            </c:multiLvlStrRef>
          </c:cat>
          <c:val>
            <c:numRef>
              <c:f>'Pivot Tables'!$DP$5:$DP$24</c:f>
              <c:numCache>
                <c:formatCode>[&lt;999950]0.0,"K";[&lt;999950000]0.0,,"M";0.0,,,"B"</c:formatCode>
                <c:ptCount val="15"/>
                <c:pt idx="0">
                  <c:v>513000000</c:v>
                </c:pt>
                <c:pt idx="1">
                  <c:v>146000000</c:v>
                </c:pt>
                <c:pt idx="2">
                  <c:v>1920000000</c:v>
                </c:pt>
                <c:pt idx="3">
                  <c:v>703000000</c:v>
                </c:pt>
                <c:pt idx="4">
                  <c:v>284000000</c:v>
                </c:pt>
                <c:pt idx="5">
                  <c:v>95000000</c:v>
                </c:pt>
                <c:pt idx="6">
                  <c:v>1669000000</c:v>
                </c:pt>
                <c:pt idx="7">
                  <c:v>1254000000</c:v>
                </c:pt>
                <c:pt idx="8">
                  <c:v>410000000</c:v>
                </c:pt>
                <c:pt idx="9">
                  <c:v>114000000</c:v>
                </c:pt>
                <c:pt idx="10">
                  <c:v>3594000000</c:v>
                </c:pt>
                <c:pt idx="11">
                  <c:v>1425000000</c:v>
                </c:pt>
                <c:pt idx="12">
                  <c:v>417000000</c:v>
                </c:pt>
                <c:pt idx="13">
                  <c:v>38000000</c:v>
                </c:pt>
                <c:pt idx="14">
                  <c:v>3408000000</c:v>
                </c:pt>
              </c:numCache>
            </c:numRef>
          </c:val>
          <c:extLst>
            <c:ext xmlns:c16="http://schemas.microsoft.com/office/drawing/2014/chart" uri="{C3380CC4-5D6E-409C-BE32-E72D297353CC}">
              <c16:uniqueId val="{00000000-2DF0-4CEE-9F48-9C75EAFC8ACC}"/>
            </c:ext>
          </c:extLst>
        </c:ser>
        <c:dLbls>
          <c:showLegendKey val="0"/>
          <c:showVal val="0"/>
          <c:showCatName val="0"/>
          <c:showSerName val="0"/>
          <c:showPercent val="0"/>
          <c:showBubbleSize val="0"/>
        </c:dLbls>
        <c:gapWidth val="219"/>
        <c:overlap val="-27"/>
        <c:axId val="1776858607"/>
        <c:axId val="1603358271"/>
      </c:barChart>
      <c:catAx>
        <c:axId val="17768586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03358271"/>
        <c:crosses val="autoZero"/>
        <c:auto val="1"/>
        <c:lblAlgn val="ctr"/>
        <c:lblOffset val="100"/>
        <c:noMultiLvlLbl val="0"/>
      </c:catAx>
      <c:valAx>
        <c:axId val="1603358271"/>
        <c:scaling>
          <c:orientation val="minMax"/>
        </c:scaling>
        <c:delete val="1"/>
        <c:axPos val="l"/>
        <c:numFmt formatCode="[&lt;999950]0.0,&quot;K&quot;;[&lt;999950000]0.0,,&quot;M&quot;;0.0,,,&quot;B&quot;" sourceLinked="1"/>
        <c:majorTickMark val="none"/>
        <c:minorTickMark val="none"/>
        <c:tickLblPos val="nextTo"/>
        <c:crossAx val="177685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 Irfan.xlsx]Pivot Tables!PivotTable23</c:name>
    <c:fmtId val="62"/>
  </c:pivotSource>
  <c:chart>
    <c:autoTitleDeleted val="0"/>
    <c:pivotFmts>
      <c:pivotFmt>
        <c:idx val="0"/>
        <c:spPr>
          <a:solidFill>
            <a:schemeClr val="accent1"/>
          </a:solidFill>
          <a:ln w="19050" cap="rnd">
            <a:solidFill>
              <a:srgbClr val="FFC000"/>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rgbClr val="FF7C80"/>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00B62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1905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19050"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19050"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Tables'!$DT$4:$DT$5</c:f>
              <c:strCache>
                <c:ptCount val="1"/>
                <c:pt idx="0">
                  <c:v>BE</c:v>
                </c:pt>
              </c:strCache>
            </c:strRef>
          </c:tx>
          <c:spPr>
            <a:ln w="19050" cap="rnd">
              <a:solidFill>
                <a:srgbClr val="FFC000"/>
              </a:solidFill>
              <a:round/>
            </a:ln>
            <a:effectLst/>
          </c:spPr>
          <c:marker>
            <c:symbol val="none"/>
          </c:marker>
          <c:cat>
            <c:strRef>
              <c:f>'Pivot Tables'!$DS$6:$DS$22</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Tables'!$DT$6:$DT$22</c:f>
              <c:numCache>
                <c:formatCode>[&lt;999950]0.0,"K";[&lt;999950000]0.0,,"M";0.0,,,"B"</c:formatCode>
                <c:ptCount val="16"/>
                <c:pt idx="0">
                  <c:v>152000000</c:v>
                </c:pt>
                <c:pt idx="1">
                  <c:v>114000000</c:v>
                </c:pt>
                <c:pt idx="2">
                  <c:v>475000000</c:v>
                </c:pt>
                <c:pt idx="3">
                  <c:v>247000000</c:v>
                </c:pt>
                <c:pt idx="4">
                  <c:v>38000000</c:v>
                </c:pt>
                <c:pt idx="5">
                  <c:v>589000000</c:v>
                </c:pt>
                <c:pt idx="6">
                  <c:v>171000000</c:v>
                </c:pt>
                <c:pt idx="7">
                  <c:v>171000000</c:v>
                </c:pt>
                <c:pt idx="8">
                  <c:v>95000000</c:v>
                </c:pt>
                <c:pt idx="9">
                  <c:v>171000000</c:v>
                </c:pt>
                <c:pt idx="10">
                  <c:v>114000000</c:v>
                </c:pt>
                <c:pt idx="11">
                  <c:v>247000000</c:v>
                </c:pt>
                <c:pt idx="12">
                  <c:v>247000000</c:v>
                </c:pt>
                <c:pt idx="13">
                  <c:v>228000000</c:v>
                </c:pt>
                <c:pt idx="14">
                  <c:v>551000000</c:v>
                </c:pt>
                <c:pt idx="15">
                  <c:v>285000000</c:v>
                </c:pt>
              </c:numCache>
            </c:numRef>
          </c:val>
          <c:smooth val="0"/>
          <c:extLst>
            <c:ext xmlns:c16="http://schemas.microsoft.com/office/drawing/2014/chart" uri="{C3380CC4-5D6E-409C-BE32-E72D297353CC}">
              <c16:uniqueId val="{00000000-C26F-42F8-A0AC-E8528A0515DC}"/>
            </c:ext>
          </c:extLst>
        </c:ser>
        <c:ser>
          <c:idx val="1"/>
          <c:order val="1"/>
          <c:tx>
            <c:strRef>
              <c:f>'Pivot Tables'!$DU$4:$DU$5</c:f>
              <c:strCache>
                <c:ptCount val="1"/>
                <c:pt idx="0">
                  <c:v>CNI</c:v>
                </c:pt>
              </c:strCache>
            </c:strRef>
          </c:tx>
          <c:spPr>
            <a:ln w="19050" cap="rnd">
              <a:solidFill>
                <a:srgbClr val="8D7EF3"/>
              </a:solidFill>
              <a:round/>
            </a:ln>
            <a:effectLst/>
          </c:spPr>
          <c:marker>
            <c:symbol val="none"/>
          </c:marker>
          <c:cat>
            <c:strRef>
              <c:f>'Pivot Tables'!$DS$6:$DS$22</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Tables'!$DU$6:$DU$22</c:f>
              <c:numCache>
                <c:formatCode>[&lt;999950]0.0,"K";[&lt;999950000]0.0,,"M";0.0,,,"B"</c:formatCode>
                <c:ptCount val="16"/>
                <c:pt idx="0">
                  <c:v>11000000</c:v>
                </c:pt>
                <c:pt idx="1">
                  <c:v>100000000</c:v>
                </c:pt>
                <c:pt idx="2">
                  <c:v>82000000</c:v>
                </c:pt>
                <c:pt idx="3">
                  <c:v>60000000</c:v>
                </c:pt>
                <c:pt idx="4">
                  <c:v>11000000</c:v>
                </c:pt>
                <c:pt idx="5">
                  <c:v>162000000</c:v>
                </c:pt>
                <c:pt idx="6">
                  <c:v>20000000</c:v>
                </c:pt>
                <c:pt idx="7">
                  <c:v>113000000</c:v>
                </c:pt>
                <c:pt idx="8">
                  <c:v>22000000</c:v>
                </c:pt>
                <c:pt idx="9">
                  <c:v>100000000</c:v>
                </c:pt>
                <c:pt idx="10">
                  <c:v>122000000</c:v>
                </c:pt>
                <c:pt idx="11">
                  <c:v>97000000</c:v>
                </c:pt>
                <c:pt idx="12">
                  <c:v>142000000</c:v>
                </c:pt>
                <c:pt idx="13">
                  <c:v>115000000</c:v>
                </c:pt>
                <c:pt idx="14">
                  <c:v>60000000</c:v>
                </c:pt>
                <c:pt idx="15">
                  <c:v>40000000</c:v>
                </c:pt>
              </c:numCache>
            </c:numRef>
          </c:val>
          <c:smooth val="0"/>
          <c:extLst>
            <c:ext xmlns:c16="http://schemas.microsoft.com/office/drawing/2014/chart" uri="{C3380CC4-5D6E-409C-BE32-E72D297353CC}">
              <c16:uniqueId val="{00000001-C26F-42F8-A0AC-E8528A0515DC}"/>
            </c:ext>
          </c:extLst>
        </c:ser>
        <c:ser>
          <c:idx val="2"/>
          <c:order val="2"/>
          <c:tx>
            <c:strRef>
              <c:f>'Pivot Tables'!$DV$4:$DV$5</c:f>
              <c:strCache>
                <c:ptCount val="1"/>
                <c:pt idx="0">
                  <c:v>FC</c:v>
                </c:pt>
              </c:strCache>
            </c:strRef>
          </c:tx>
          <c:spPr>
            <a:ln w="19050" cap="rnd">
              <a:solidFill>
                <a:srgbClr val="FF7C80"/>
              </a:solidFill>
              <a:round/>
            </a:ln>
            <a:effectLst/>
          </c:spPr>
          <c:marker>
            <c:symbol val="none"/>
          </c:marker>
          <c:cat>
            <c:strRef>
              <c:f>'Pivot Tables'!$DS$6:$DS$22</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Tables'!$DV$6:$DV$22</c:f>
              <c:numCache>
                <c:formatCode>[&lt;999950]0.0,"K";[&lt;999950000]0.0,,"M";0.0,,,"B"</c:formatCode>
                <c:ptCount val="16"/>
                <c:pt idx="4">
                  <c:v>38000000</c:v>
                </c:pt>
                <c:pt idx="5">
                  <c:v>76000000</c:v>
                </c:pt>
                <c:pt idx="7">
                  <c:v>38000000</c:v>
                </c:pt>
                <c:pt idx="10">
                  <c:v>19000000</c:v>
                </c:pt>
                <c:pt idx="12">
                  <c:v>76000000</c:v>
                </c:pt>
              </c:numCache>
            </c:numRef>
          </c:val>
          <c:smooth val="0"/>
          <c:extLst>
            <c:ext xmlns:c16="http://schemas.microsoft.com/office/drawing/2014/chart" uri="{C3380CC4-5D6E-409C-BE32-E72D297353CC}">
              <c16:uniqueId val="{00000000-CAE3-4E6B-A883-35F0460DABF5}"/>
            </c:ext>
          </c:extLst>
        </c:ser>
        <c:ser>
          <c:idx val="3"/>
          <c:order val="3"/>
          <c:tx>
            <c:strRef>
              <c:f>'Pivot Tables'!$DW$4:$DW$5</c:f>
              <c:strCache>
                <c:ptCount val="1"/>
                <c:pt idx="0">
                  <c:v>GK</c:v>
                </c:pt>
              </c:strCache>
            </c:strRef>
          </c:tx>
          <c:spPr>
            <a:ln w="19050" cap="rnd">
              <a:solidFill>
                <a:srgbClr val="FF7C80"/>
              </a:solidFill>
              <a:round/>
            </a:ln>
            <a:effectLst/>
          </c:spPr>
          <c:marker>
            <c:symbol val="none"/>
          </c:marker>
          <c:cat>
            <c:strRef>
              <c:f>'Pivot Tables'!$DS$6:$DS$22</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Tables'!$DW$6:$DW$22</c:f>
              <c:numCache>
                <c:formatCode>[&lt;999950]0.0,"K";[&lt;999950000]0.0,,"M";0.0,,,"B"</c:formatCode>
                <c:ptCount val="16"/>
                <c:pt idx="0">
                  <c:v>216000000</c:v>
                </c:pt>
                <c:pt idx="1">
                  <c:v>436000000</c:v>
                </c:pt>
                <c:pt idx="2">
                  <c:v>803000000</c:v>
                </c:pt>
                <c:pt idx="3">
                  <c:v>525000000</c:v>
                </c:pt>
                <c:pt idx="4">
                  <c:v>245000000</c:v>
                </c:pt>
                <c:pt idx="5">
                  <c:v>707000000</c:v>
                </c:pt>
                <c:pt idx="6">
                  <c:v>804000000</c:v>
                </c:pt>
                <c:pt idx="7">
                  <c:v>707000000</c:v>
                </c:pt>
                <c:pt idx="8">
                  <c:v>212000000</c:v>
                </c:pt>
                <c:pt idx="9">
                  <c:v>140000000</c:v>
                </c:pt>
                <c:pt idx="10">
                  <c:v>922000000</c:v>
                </c:pt>
                <c:pt idx="11">
                  <c:v>944000000</c:v>
                </c:pt>
                <c:pt idx="12">
                  <c:v>1262000000</c:v>
                </c:pt>
                <c:pt idx="13">
                  <c:v>900000000</c:v>
                </c:pt>
                <c:pt idx="14">
                  <c:v>1027000000</c:v>
                </c:pt>
                <c:pt idx="15">
                  <c:v>741000000</c:v>
                </c:pt>
              </c:numCache>
            </c:numRef>
          </c:val>
          <c:smooth val="0"/>
          <c:extLst>
            <c:ext xmlns:c16="http://schemas.microsoft.com/office/drawing/2014/chart" uri="{C3380CC4-5D6E-409C-BE32-E72D297353CC}">
              <c16:uniqueId val="{00000001-CAE3-4E6B-A883-35F0460DABF5}"/>
            </c:ext>
          </c:extLst>
        </c:ser>
        <c:dLbls>
          <c:showLegendKey val="0"/>
          <c:showVal val="0"/>
          <c:showCatName val="0"/>
          <c:showSerName val="0"/>
          <c:showPercent val="0"/>
          <c:showBubbleSize val="0"/>
        </c:dLbls>
        <c:smooth val="0"/>
        <c:axId val="1950771311"/>
        <c:axId val="1603340991"/>
      </c:lineChart>
      <c:catAx>
        <c:axId val="195077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crossAx val="1603340991"/>
        <c:crosses val="autoZero"/>
        <c:auto val="1"/>
        <c:lblAlgn val="ctr"/>
        <c:lblOffset val="100"/>
        <c:noMultiLvlLbl val="0"/>
      </c:catAx>
      <c:valAx>
        <c:axId val="1603340991"/>
        <c:scaling>
          <c:orientation val="minMax"/>
        </c:scaling>
        <c:delete val="1"/>
        <c:axPos val="l"/>
        <c:majorGridlines>
          <c:spPr>
            <a:ln w="3175" cap="flat" cmpd="sng" algn="ctr">
              <a:solidFill>
                <a:schemeClr val="bg1">
                  <a:lumMod val="95000"/>
                </a:schemeClr>
              </a:solidFill>
              <a:round/>
            </a:ln>
            <a:effectLst/>
          </c:spPr>
        </c:majorGridlines>
        <c:numFmt formatCode="[&lt;999950]0.0,&quot;K&quot;;[&lt;999950000]0.0,,&quot;M&quot;;0.0,,,&quot;B&quot;" sourceLinked="1"/>
        <c:majorTickMark val="none"/>
        <c:minorTickMark val="none"/>
        <c:tickLblPos val="nextTo"/>
        <c:crossAx val="1950771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9.xml"/><Relationship Id="rId26" Type="http://schemas.openxmlformats.org/officeDocument/2006/relationships/chart" Target="../charts/chart13.xml"/><Relationship Id="rId3" Type="http://schemas.openxmlformats.org/officeDocument/2006/relationships/image" Target="../media/image2.png"/><Relationship Id="rId21" Type="http://schemas.openxmlformats.org/officeDocument/2006/relationships/image" Target="../media/image11.svg"/><Relationship Id="rId7" Type="http://schemas.openxmlformats.org/officeDocument/2006/relationships/image" Target="../media/image5.svg"/><Relationship Id="rId12" Type="http://schemas.openxmlformats.org/officeDocument/2006/relationships/chart" Target="../charts/chart3.xml"/><Relationship Id="rId17" Type="http://schemas.openxmlformats.org/officeDocument/2006/relationships/chart" Target="../charts/chart8.xml"/><Relationship Id="rId25" Type="http://schemas.openxmlformats.org/officeDocument/2006/relationships/image" Target="../media/image13.svg"/><Relationship Id="rId2" Type="http://schemas.openxmlformats.org/officeDocument/2006/relationships/hyperlink" Target="https://www.publicdomainpictures.net/view-image.php?image=144431&amp;picture=dollar-sign-3" TargetMode="External"/><Relationship Id="rId16" Type="http://schemas.openxmlformats.org/officeDocument/2006/relationships/chart" Target="../charts/chart7.xml"/><Relationship Id="rId20" Type="http://schemas.openxmlformats.org/officeDocument/2006/relationships/image" Target="../media/image10.png"/><Relationship Id="rId29" Type="http://schemas.openxmlformats.org/officeDocument/2006/relationships/chart" Target="../charts/chart14.xml"/><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image" Target="../media/image12.png"/><Relationship Id="rId5" Type="http://schemas.openxmlformats.org/officeDocument/2006/relationships/chart" Target="../charts/chart2.xml"/><Relationship Id="rId15" Type="http://schemas.openxmlformats.org/officeDocument/2006/relationships/chart" Target="../charts/chart6.xml"/><Relationship Id="rId23" Type="http://schemas.openxmlformats.org/officeDocument/2006/relationships/chart" Target="../charts/chart12.xml"/><Relationship Id="rId28" Type="http://schemas.openxmlformats.org/officeDocument/2006/relationships/hyperlink" Target="#Database!A1"/><Relationship Id="rId10" Type="http://schemas.openxmlformats.org/officeDocument/2006/relationships/image" Target="../media/image8.png"/><Relationship Id="rId19" Type="http://schemas.openxmlformats.org/officeDocument/2006/relationships/chart" Target="../charts/chart10.xml"/><Relationship Id="rId31" Type="http://schemas.openxmlformats.org/officeDocument/2006/relationships/image" Target="../media/image16.svg"/><Relationship Id="rId4" Type="http://schemas.openxmlformats.org/officeDocument/2006/relationships/image" Target="../media/image3.svg"/><Relationship Id="rId9" Type="http://schemas.openxmlformats.org/officeDocument/2006/relationships/image" Target="../media/image7.svg"/><Relationship Id="rId14" Type="http://schemas.openxmlformats.org/officeDocument/2006/relationships/chart" Target="../charts/chart5.xml"/><Relationship Id="rId22" Type="http://schemas.openxmlformats.org/officeDocument/2006/relationships/chart" Target="../charts/chart11.xml"/><Relationship Id="rId27" Type="http://schemas.openxmlformats.org/officeDocument/2006/relationships/image" Target="../media/image14.png"/><Relationship Id="rId30" Type="http://schemas.openxmlformats.org/officeDocument/2006/relationships/image" Target="../media/image15.png"/></Relationships>
</file>

<file path=xl/drawings/_rels/drawing4.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16.xml"/><Relationship Id="rId18" Type="http://schemas.openxmlformats.org/officeDocument/2006/relationships/chart" Target="../charts/chart21.xml"/><Relationship Id="rId26" Type="http://schemas.openxmlformats.org/officeDocument/2006/relationships/image" Target="../media/image12.png"/><Relationship Id="rId3" Type="http://schemas.openxmlformats.org/officeDocument/2006/relationships/hyperlink" Target="https://www.publicdomainpictures.net/view-image.php?image=144431&amp;picture=dollar-sign-3" TargetMode="External"/><Relationship Id="rId21" Type="http://schemas.openxmlformats.org/officeDocument/2006/relationships/chart" Target="../charts/chart24.xml"/><Relationship Id="rId7" Type="http://schemas.openxmlformats.org/officeDocument/2006/relationships/image" Target="../media/image4.png"/><Relationship Id="rId12" Type="http://schemas.openxmlformats.org/officeDocument/2006/relationships/image" Target="../media/image9.svg"/><Relationship Id="rId17" Type="http://schemas.openxmlformats.org/officeDocument/2006/relationships/chart" Target="../charts/chart20.xml"/><Relationship Id="rId25" Type="http://schemas.openxmlformats.org/officeDocument/2006/relationships/chart" Target="../charts/chart26.xml"/><Relationship Id="rId2" Type="http://schemas.openxmlformats.org/officeDocument/2006/relationships/image" Target="../media/image1.jpeg"/><Relationship Id="rId16" Type="http://schemas.openxmlformats.org/officeDocument/2006/relationships/chart" Target="../charts/chart19.xml"/><Relationship Id="rId20" Type="http://schemas.openxmlformats.org/officeDocument/2006/relationships/chart" Target="../charts/chart23.xml"/><Relationship Id="rId29" Type="http://schemas.openxmlformats.org/officeDocument/2006/relationships/chart" Target="../charts/chart28.xml"/><Relationship Id="rId1" Type="http://schemas.openxmlformats.org/officeDocument/2006/relationships/image" Target="../media/image14.png"/><Relationship Id="rId6" Type="http://schemas.openxmlformats.org/officeDocument/2006/relationships/chart" Target="../charts/chart15.xml"/><Relationship Id="rId11" Type="http://schemas.openxmlformats.org/officeDocument/2006/relationships/image" Target="../media/image8.png"/><Relationship Id="rId24" Type="http://schemas.openxmlformats.org/officeDocument/2006/relationships/chart" Target="../charts/chart25.xml"/><Relationship Id="rId32" Type="http://schemas.openxmlformats.org/officeDocument/2006/relationships/hyperlink" Target="#Database!A1"/><Relationship Id="rId5" Type="http://schemas.openxmlformats.org/officeDocument/2006/relationships/image" Target="../media/image3.svg"/><Relationship Id="rId15" Type="http://schemas.openxmlformats.org/officeDocument/2006/relationships/chart" Target="../charts/chart18.xml"/><Relationship Id="rId23" Type="http://schemas.openxmlformats.org/officeDocument/2006/relationships/image" Target="../media/image11.svg"/><Relationship Id="rId28" Type="http://schemas.openxmlformats.org/officeDocument/2006/relationships/chart" Target="../charts/chart27.xml"/><Relationship Id="rId10" Type="http://schemas.openxmlformats.org/officeDocument/2006/relationships/image" Target="../media/image7.svg"/><Relationship Id="rId19" Type="http://schemas.openxmlformats.org/officeDocument/2006/relationships/chart" Target="../charts/chart22.xml"/><Relationship Id="rId31" Type="http://schemas.openxmlformats.org/officeDocument/2006/relationships/chart" Target="../charts/chart30.xml"/><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chart" Target="../charts/chart17.xml"/><Relationship Id="rId22" Type="http://schemas.openxmlformats.org/officeDocument/2006/relationships/image" Target="../media/image10.png"/><Relationship Id="rId27" Type="http://schemas.openxmlformats.org/officeDocument/2006/relationships/image" Target="../media/image13.svg"/><Relationship Id="rId30"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14</xdr:col>
      <xdr:colOff>885337</xdr:colOff>
      <xdr:row>0</xdr:row>
      <xdr:rowOff>170420</xdr:rowOff>
    </xdr:from>
    <xdr:to>
      <xdr:col>15</xdr:col>
      <xdr:colOff>410798</xdr:colOff>
      <xdr:row>1</xdr:row>
      <xdr:rowOff>37715</xdr:rowOff>
    </xdr:to>
    <xdr:sp macro="" textlink="">
      <xdr:nvSpPr>
        <xdr:cNvPr id="5" name="Rectangle 4">
          <a:extLst>
            <a:ext uri="{FF2B5EF4-FFF2-40B4-BE49-F238E27FC236}">
              <a16:creationId xmlns:a16="http://schemas.microsoft.com/office/drawing/2014/main" id="{1A859ECD-4D91-4139-9EB5-841EAF13F29E}"/>
            </a:ext>
          </a:extLst>
        </xdr:cNvPr>
        <xdr:cNvSpPr/>
      </xdr:nvSpPr>
      <xdr:spPr>
        <a:xfrm rot="2239047">
          <a:off x="16201537" y="170420"/>
          <a:ext cx="658936" cy="286395"/>
        </a:xfrm>
        <a:prstGeom prst="rect">
          <a:avLst/>
        </a:prstGeom>
        <a:solidFill>
          <a:srgbClr val="A13F9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4</xdr:rowOff>
    </xdr:from>
    <xdr:to>
      <xdr:col>17</xdr:col>
      <xdr:colOff>723899</xdr:colOff>
      <xdr:row>1239</xdr:row>
      <xdr:rowOff>28578</xdr:rowOff>
    </xdr:to>
    <xdr:sp macro="" textlink="">
      <xdr:nvSpPr>
        <xdr:cNvPr id="3" name="L-Shape 2">
          <a:extLst>
            <a:ext uri="{FF2B5EF4-FFF2-40B4-BE49-F238E27FC236}">
              <a16:creationId xmlns:a16="http://schemas.microsoft.com/office/drawing/2014/main" id="{EC024AB3-65AE-573A-7AE2-23550FC415E5}"/>
            </a:ext>
          </a:extLst>
        </xdr:cNvPr>
        <xdr:cNvSpPr/>
      </xdr:nvSpPr>
      <xdr:spPr>
        <a:xfrm rot="16200000" flipH="1">
          <a:off x="-155986163" y="156043317"/>
          <a:ext cx="330822299" cy="18735674"/>
        </a:xfrm>
        <a:prstGeom prst="corner">
          <a:avLst>
            <a:gd name="adj1" fmla="val 12486"/>
            <a:gd name="adj2" fmla="val 2103"/>
          </a:avLst>
        </a:prstGeom>
        <a:gradFill>
          <a:gsLst>
            <a:gs pos="0">
              <a:srgbClr val="4958CE"/>
            </a:gs>
            <a:gs pos="100000">
              <a:srgbClr val="A13F9E"/>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0</xdr:col>
      <xdr:colOff>161437</xdr:colOff>
      <xdr:row>0</xdr:row>
      <xdr:rowOff>175486</xdr:rowOff>
    </xdr:from>
    <xdr:to>
      <xdr:col>1</xdr:col>
      <xdr:colOff>363173</xdr:colOff>
      <xdr:row>1</xdr:row>
      <xdr:rowOff>42781</xdr:rowOff>
    </xdr:to>
    <xdr:sp macro="" textlink="">
      <xdr:nvSpPr>
        <xdr:cNvPr id="4" name="Rectangle 3">
          <a:extLst>
            <a:ext uri="{FF2B5EF4-FFF2-40B4-BE49-F238E27FC236}">
              <a16:creationId xmlns:a16="http://schemas.microsoft.com/office/drawing/2014/main" id="{703B93A2-D794-6129-4E11-BB5DE177CACE}"/>
            </a:ext>
          </a:extLst>
        </xdr:cNvPr>
        <xdr:cNvSpPr/>
      </xdr:nvSpPr>
      <xdr:spPr>
        <a:xfrm rot="19446527">
          <a:off x="161437" y="175486"/>
          <a:ext cx="658936" cy="286395"/>
        </a:xfrm>
        <a:prstGeom prst="rect">
          <a:avLst/>
        </a:prstGeom>
        <a:solidFill>
          <a:srgbClr val="4958C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xdr:colOff>
      <xdr:row>0</xdr:row>
      <xdr:rowOff>409575</xdr:rowOff>
    </xdr:from>
    <xdr:to>
      <xdr:col>14</xdr:col>
      <xdr:colOff>1104900</xdr:colOff>
      <xdr:row>1</xdr:row>
      <xdr:rowOff>428625</xdr:rowOff>
    </xdr:to>
    <xdr:sp macro="" textlink="">
      <xdr:nvSpPr>
        <xdr:cNvPr id="2" name="Rectangle: Top Corners Rounded 1">
          <a:extLst>
            <a:ext uri="{FF2B5EF4-FFF2-40B4-BE49-F238E27FC236}">
              <a16:creationId xmlns:a16="http://schemas.microsoft.com/office/drawing/2014/main" id="{8F8D1754-5CA2-F336-4FD5-CC399887BE52}"/>
            </a:ext>
          </a:extLst>
        </xdr:cNvPr>
        <xdr:cNvSpPr/>
      </xdr:nvSpPr>
      <xdr:spPr>
        <a:xfrm>
          <a:off x="495300" y="409575"/>
          <a:ext cx="15925800" cy="438150"/>
        </a:xfrm>
        <a:prstGeom prst="round2SameRect">
          <a:avLst>
            <a:gd name="adj1" fmla="val 16667"/>
            <a:gd name="adj2" fmla="val 703"/>
          </a:avLst>
        </a:prstGeom>
        <a:noFill/>
        <a:ln w="76200">
          <a:solidFill>
            <a:srgbClr val="362F4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152400</xdr:rowOff>
    </xdr:from>
    <xdr:to>
      <xdr:col>0</xdr:col>
      <xdr:colOff>238125</xdr:colOff>
      <xdr:row>0</xdr:row>
      <xdr:rowOff>295275</xdr:rowOff>
    </xdr:to>
    <xdr:sp macro="" textlink="">
      <xdr:nvSpPr>
        <xdr:cNvPr id="6" name="Rectangle 5">
          <a:extLst>
            <a:ext uri="{FF2B5EF4-FFF2-40B4-BE49-F238E27FC236}">
              <a16:creationId xmlns:a16="http://schemas.microsoft.com/office/drawing/2014/main" id="{3E45ABCC-F1F6-4737-3AF6-5E0D089CBA2A}"/>
            </a:ext>
          </a:extLst>
        </xdr:cNvPr>
        <xdr:cNvSpPr/>
      </xdr:nvSpPr>
      <xdr:spPr>
        <a:xfrm>
          <a:off x="57150" y="152400"/>
          <a:ext cx="180975" cy="142875"/>
        </a:xfrm>
        <a:prstGeom prst="rect">
          <a:avLst/>
        </a:prstGeom>
        <a:solidFill>
          <a:srgbClr val="4958C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1076325</xdr:colOff>
      <xdr:row>0</xdr:row>
      <xdr:rowOff>152399</xdr:rowOff>
    </xdr:from>
    <xdr:to>
      <xdr:col>15</xdr:col>
      <xdr:colOff>666750</xdr:colOff>
      <xdr:row>1</xdr:row>
      <xdr:rowOff>0</xdr:rowOff>
    </xdr:to>
    <xdr:sp macro="" textlink="">
      <xdr:nvSpPr>
        <xdr:cNvPr id="7" name="TextBox 6">
          <a:hlinkClick xmlns:r="http://schemas.openxmlformats.org/officeDocument/2006/relationships" r:id="rId1" tooltip="Go to Dashboard"/>
          <a:extLst>
            <a:ext uri="{FF2B5EF4-FFF2-40B4-BE49-F238E27FC236}">
              <a16:creationId xmlns:a16="http://schemas.microsoft.com/office/drawing/2014/main" id="{15CC9166-BD42-EF58-8964-270563632865}"/>
            </a:ext>
          </a:extLst>
        </xdr:cNvPr>
        <xdr:cNvSpPr txBox="1"/>
      </xdr:nvSpPr>
      <xdr:spPr>
        <a:xfrm>
          <a:off x="16392525" y="152399"/>
          <a:ext cx="72390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Calibri" panose="020F0502020204030204" pitchFamily="34" charset="0"/>
              <a:ea typeface="Calibri" panose="020F0502020204030204" pitchFamily="34" charset="0"/>
              <a:cs typeface="Calibri" panose="020F0502020204030204" pitchFamily="34" charset="0"/>
            </a:rPr>
            <a:t>↗</a:t>
          </a:r>
          <a:endParaRPr lang="en-US" sz="1100">
            <a:solidFill>
              <a:schemeClr val="bg1"/>
            </a:solidFill>
          </a:endParaRPr>
        </a:p>
      </xdr:txBody>
    </xdr:sp>
    <xdr:clientData/>
  </xdr:twoCellAnchor>
  <xdr:twoCellAnchor>
    <xdr:from>
      <xdr:col>0</xdr:col>
      <xdr:colOff>0</xdr:colOff>
      <xdr:row>1237</xdr:row>
      <xdr:rowOff>0</xdr:rowOff>
    </xdr:from>
    <xdr:to>
      <xdr:col>17</xdr:col>
      <xdr:colOff>723900</xdr:colOff>
      <xdr:row>1241</xdr:row>
      <xdr:rowOff>47625</xdr:rowOff>
    </xdr:to>
    <xdr:sp macro="" textlink="">
      <xdr:nvSpPr>
        <xdr:cNvPr id="8" name="L-Shape 7">
          <a:extLst>
            <a:ext uri="{FF2B5EF4-FFF2-40B4-BE49-F238E27FC236}">
              <a16:creationId xmlns:a16="http://schemas.microsoft.com/office/drawing/2014/main" id="{7C748C73-A281-A5D5-3693-BE6922E41DF1}"/>
            </a:ext>
          </a:extLst>
        </xdr:cNvPr>
        <xdr:cNvSpPr/>
      </xdr:nvSpPr>
      <xdr:spPr>
        <a:xfrm>
          <a:off x="0" y="330260325"/>
          <a:ext cx="18792825" cy="1114425"/>
        </a:xfrm>
        <a:prstGeom prst="corner">
          <a:avLst>
            <a:gd name="adj1" fmla="val 50000"/>
            <a:gd name="adj2" fmla="val 42308"/>
          </a:avLst>
        </a:prstGeom>
        <a:gradFill>
          <a:gsLst>
            <a:gs pos="0">
              <a:srgbClr val="4958CE"/>
            </a:gs>
            <a:gs pos="100000">
              <a:srgbClr val="A13F9E"/>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28576</xdr:colOff>
      <xdr:row>1238</xdr:row>
      <xdr:rowOff>47624</xdr:rowOff>
    </xdr:from>
    <xdr:to>
      <xdr:col>17</xdr:col>
      <xdr:colOff>695326</xdr:colOff>
      <xdr:row>1239</xdr:row>
      <xdr:rowOff>123825</xdr:rowOff>
    </xdr:to>
    <xdr:sp macro="" textlink="">
      <xdr:nvSpPr>
        <xdr:cNvPr id="9" name="Rectangle 8">
          <a:extLst>
            <a:ext uri="{FF2B5EF4-FFF2-40B4-BE49-F238E27FC236}">
              <a16:creationId xmlns:a16="http://schemas.microsoft.com/office/drawing/2014/main" id="{49A467D0-F855-1923-4E99-021264D1F395}"/>
            </a:ext>
          </a:extLst>
        </xdr:cNvPr>
        <xdr:cNvSpPr/>
      </xdr:nvSpPr>
      <xdr:spPr>
        <a:xfrm>
          <a:off x="16478251" y="330574649"/>
          <a:ext cx="2286000" cy="342901"/>
        </a:xfrm>
        <a:prstGeom prst="rect">
          <a:avLst/>
        </a:prstGeom>
        <a:gradFill>
          <a:gsLst>
            <a:gs pos="0">
              <a:srgbClr val="4958CE"/>
            </a:gs>
            <a:gs pos="100000">
              <a:srgbClr val="A13F9E"/>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95</xdr:col>
      <xdr:colOff>61912</xdr:colOff>
      <xdr:row>14</xdr:row>
      <xdr:rowOff>28575</xdr:rowOff>
    </xdr:from>
    <xdr:to>
      <xdr:col>100</xdr:col>
      <xdr:colOff>19050</xdr:colOff>
      <xdr:row>19</xdr:row>
      <xdr:rowOff>190500</xdr:rowOff>
    </xdr:to>
    <xdr:graphicFrame macro="">
      <xdr:nvGraphicFramePr>
        <xdr:cNvPr id="2" name="Chart 1">
          <a:extLst>
            <a:ext uri="{FF2B5EF4-FFF2-40B4-BE49-F238E27FC236}">
              <a16:creationId xmlns:a16="http://schemas.microsoft.com/office/drawing/2014/main" id="{502C50EE-5993-F4F7-6297-48FD975C9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37</xdr:col>
      <xdr:colOff>0</xdr:colOff>
      <xdr:row>24</xdr:row>
      <xdr:rowOff>0</xdr:rowOff>
    </xdr:from>
    <xdr:to>
      <xdr:col>38</xdr:col>
      <xdr:colOff>134711</xdr:colOff>
      <xdr:row>33</xdr:row>
      <xdr:rowOff>85726</xdr:rowOff>
    </xdr:to>
    <mc:AlternateContent xmlns:mc="http://schemas.openxmlformats.org/markup-compatibility/2006" xmlns:a14="http://schemas.microsoft.com/office/drawing/2010/main">
      <mc:Choice Requires="a14">
        <xdr:graphicFrame macro="">
          <xdr:nvGraphicFramePr>
            <xdr:cNvPr id="3" name="Month 3">
              <a:extLst>
                <a:ext uri="{FF2B5EF4-FFF2-40B4-BE49-F238E27FC236}">
                  <a16:creationId xmlns:a16="http://schemas.microsoft.com/office/drawing/2014/main" id="{70A75387-A86F-41FB-8C24-FB9268BBD30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34375725" y="4962525"/>
              <a:ext cx="1134836" cy="1885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9524</xdr:colOff>
      <xdr:row>0</xdr:row>
      <xdr:rowOff>19050</xdr:rowOff>
    </xdr:from>
    <xdr:to>
      <xdr:col>26</xdr:col>
      <xdr:colOff>285749</xdr:colOff>
      <xdr:row>38</xdr:row>
      <xdr:rowOff>57150</xdr:rowOff>
    </xdr:to>
    <xdr:sp macro="" textlink="">
      <xdr:nvSpPr>
        <xdr:cNvPr id="196" name="Rectangle 195">
          <a:extLst>
            <a:ext uri="{FF2B5EF4-FFF2-40B4-BE49-F238E27FC236}">
              <a16:creationId xmlns:a16="http://schemas.microsoft.com/office/drawing/2014/main" id="{BB089F05-2D3B-C8A1-09AC-C3FA329051C7}"/>
            </a:ext>
          </a:extLst>
        </xdr:cNvPr>
        <xdr:cNvSpPr/>
      </xdr:nvSpPr>
      <xdr:spPr>
        <a:xfrm>
          <a:off x="9524" y="19050"/>
          <a:ext cx="18107025" cy="7639050"/>
        </a:xfrm>
        <a:prstGeom prst="rect">
          <a:avLst/>
        </a:prstGeom>
        <a:gradFill>
          <a:gsLst>
            <a:gs pos="0">
              <a:srgbClr val="4958CE">
                <a:alpha val="42000"/>
              </a:srgbClr>
            </a:gs>
            <a:gs pos="39000">
              <a:srgbClr val="D5D2E9"/>
            </a:gs>
            <a:gs pos="100000">
              <a:srgbClr val="A13F9E">
                <a:alpha val="21000"/>
              </a:srgb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19050</xdr:colOff>
      <xdr:row>0</xdr:row>
      <xdr:rowOff>180975</xdr:rowOff>
    </xdr:from>
    <xdr:to>
      <xdr:col>26</xdr:col>
      <xdr:colOff>104775</xdr:colOff>
      <xdr:row>36</xdr:row>
      <xdr:rowOff>190500</xdr:rowOff>
    </xdr:to>
    <xdr:sp macro="" textlink="">
      <xdr:nvSpPr>
        <xdr:cNvPr id="200" name="Rectangle: Rounded Corners 199">
          <a:extLst>
            <a:ext uri="{FF2B5EF4-FFF2-40B4-BE49-F238E27FC236}">
              <a16:creationId xmlns:a16="http://schemas.microsoft.com/office/drawing/2014/main" id="{2E4D47AE-3DB8-4E5F-8F54-507B9988B7CC}"/>
            </a:ext>
          </a:extLst>
        </xdr:cNvPr>
        <xdr:cNvSpPr/>
      </xdr:nvSpPr>
      <xdr:spPr>
        <a:xfrm>
          <a:off x="19050" y="180975"/>
          <a:ext cx="17916525" cy="7210425"/>
        </a:xfrm>
        <a:prstGeom prst="roundRect">
          <a:avLst>
            <a:gd name="adj" fmla="val 4535"/>
          </a:avLst>
        </a:prstGeom>
        <a:solidFill>
          <a:srgbClr val="D5D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171450</xdr:colOff>
      <xdr:row>1</xdr:row>
      <xdr:rowOff>47625</xdr:rowOff>
    </xdr:from>
    <xdr:to>
      <xdr:col>5</xdr:col>
      <xdr:colOff>28575</xdr:colOff>
      <xdr:row>11</xdr:row>
      <xdr:rowOff>104775</xdr:rowOff>
    </xdr:to>
    <xdr:sp macro="" textlink="">
      <xdr:nvSpPr>
        <xdr:cNvPr id="6" name="Rectangle: Rounded Corners 5">
          <a:extLst>
            <a:ext uri="{FF2B5EF4-FFF2-40B4-BE49-F238E27FC236}">
              <a16:creationId xmlns:a16="http://schemas.microsoft.com/office/drawing/2014/main" id="{553D16B7-284F-47D5-9D35-F3EDC33AD775}"/>
            </a:ext>
          </a:extLst>
        </xdr:cNvPr>
        <xdr:cNvSpPr/>
      </xdr:nvSpPr>
      <xdr:spPr>
        <a:xfrm>
          <a:off x="1543050" y="247650"/>
          <a:ext cx="1914525" cy="20574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2</xdr:col>
      <xdr:colOff>381000</xdr:colOff>
      <xdr:row>1</xdr:row>
      <xdr:rowOff>161925</xdr:rowOff>
    </xdr:from>
    <xdr:to>
      <xdr:col>4</xdr:col>
      <xdr:colOff>628650</xdr:colOff>
      <xdr:row>3</xdr:row>
      <xdr:rowOff>142875</xdr:rowOff>
    </xdr:to>
    <xdr:sp macro="" textlink="">
      <xdr:nvSpPr>
        <xdr:cNvPr id="8" name="TextBox 7">
          <a:extLst>
            <a:ext uri="{FF2B5EF4-FFF2-40B4-BE49-F238E27FC236}">
              <a16:creationId xmlns:a16="http://schemas.microsoft.com/office/drawing/2014/main" id="{6D6C2AF9-36BD-4D5E-BACB-BEDE960CF09E}"/>
            </a:ext>
          </a:extLst>
        </xdr:cNvPr>
        <xdr:cNvSpPr txBox="1"/>
      </xdr:nvSpPr>
      <xdr:spPr>
        <a:xfrm>
          <a:off x="1752600" y="361950"/>
          <a:ext cx="1619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rgbClr val="7030A0"/>
              </a:solidFill>
              <a:latin typeface="Abadi" panose="020B0604020202020204" pitchFamily="34" charset="0"/>
              <a:cs typeface="Noto Kufi Arabic" panose="020B0506030804020204" pitchFamily="34" charset="0"/>
            </a:rPr>
            <a:t>Total Earnings</a:t>
          </a:r>
        </a:p>
      </xdr:txBody>
    </xdr:sp>
    <xdr:clientData/>
  </xdr:twoCellAnchor>
  <xdr:twoCellAnchor editAs="absolute">
    <xdr:from>
      <xdr:col>2</xdr:col>
      <xdr:colOff>228600</xdr:colOff>
      <xdr:row>3</xdr:row>
      <xdr:rowOff>133350</xdr:rowOff>
    </xdr:from>
    <xdr:to>
      <xdr:col>4</xdr:col>
      <xdr:colOff>476250</xdr:colOff>
      <xdr:row>5</xdr:row>
      <xdr:rowOff>114300</xdr:rowOff>
    </xdr:to>
    <xdr:sp macro="" textlink="'Pivot Tables'!B5">
      <xdr:nvSpPr>
        <xdr:cNvPr id="9" name="TextBox 8">
          <a:extLst>
            <a:ext uri="{FF2B5EF4-FFF2-40B4-BE49-F238E27FC236}">
              <a16:creationId xmlns:a16="http://schemas.microsoft.com/office/drawing/2014/main" id="{1CAB94A7-7AFC-49FD-878E-49CFF031E578}"/>
            </a:ext>
          </a:extLst>
        </xdr:cNvPr>
        <xdr:cNvSpPr txBox="1"/>
      </xdr:nvSpPr>
      <xdr:spPr>
        <a:xfrm>
          <a:off x="1600200" y="733425"/>
          <a:ext cx="1619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68CE77-72F6-4D39-8924-82340F6F7501}" type="TxLink">
            <a:rPr lang="en-US" sz="1600" b="0" i="0" u="none" strike="noStrike">
              <a:solidFill>
                <a:srgbClr val="000000"/>
              </a:solidFill>
              <a:latin typeface="Abadi" panose="020B0604020104020204" pitchFamily="34" charset="0"/>
              <a:ea typeface="Calibri"/>
              <a:cs typeface="Calibri"/>
            </a:rPr>
            <a:pPr algn="ctr"/>
            <a:t>15.990.000.000</a:t>
          </a:fld>
          <a:endParaRPr lang="en-US" sz="1600" b="0">
            <a:solidFill>
              <a:srgbClr val="FF7C80"/>
            </a:solidFill>
            <a:latin typeface="Abadi" panose="020B0604020104020204" pitchFamily="34" charset="0"/>
            <a:cs typeface="Noto Kufi Arabic" panose="020B0506030804020204" pitchFamily="34" charset="0"/>
          </a:endParaRPr>
        </a:p>
      </xdr:txBody>
    </xdr:sp>
    <xdr:clientData/>
  </xdr:twoCellAnchor>
  <xdr:twoCellAnchor editAs="absolute">
    <xdr:from>
      <xdr:col>2</xdr:col>
      <xdr:colOff>228600</xdr:colOff>
      <xdr:row>4</xdr:row>
      <xdr:rowOff>152399</xdr:rowOff>
    </xdr:from>
    <xdr:to>
      <xdr:col>4</xdr:col>
      <xdr:colOff>47625</xdr:colOff>
      <xdr:row>6</xdr:row>
      <xdr:rowOff>142875</xdr:rowOff>
    </xdr:to>
    <xdr:sp macro="" textlink="">
      <xdr:nvSpPr>
        <xdr:cNvPr id="10" name="TextBox 9">
          <a:extLst>
            <a:ext uri="{FF2B5EF4-FFF2-40B4-BE49-F238E27FC236}">
              <a16:creationId xmlns:a16="http://schemas.microsoft.com/office/drawing/2014/main" id="{0EDD4EE5-63C0-45EB-90C2-25DE3AE1ED0D}"/>
            </a:ext>
          </a:extLst>
        </xdr:cNvPr>
        <xdr:cNvSpPr txBox="1"/>
      </xdr:nvSpPr>
      <xdr:spPr>
        <a:xfrm>
          <a:off x="1600200" y="952499"/>
          <a:ext cx="119062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solidFill>
                <a:schemeClr val="bg1">
                  <a:lumMod val="50000"/>
                </a:schemeClr>
              </a:solidFill>
              <a:latin typeface="Abadi" panose="020B0604020202020204" pitchFamily="34" charset="0"/>
              <a:cs typeface="Noto Kufi Arabic" panose="020B0506030804020204" pitchFamily="34" charset="0"/>
            </a:rPr>
            <a:t>Dollars</a:t>
          </a:r>
          <a:endParaRPr lang="en-US" sz="700" b="0">
            <a:solidFill>
              <a:schemeClr val="bg1">
                <a:lumMod val="50000"/>
              </a:schemeClr>
            </a:solidFill>
            <a:latin typeface="Abadi" panose="020B0604020202020204" pitchFamily="34" charset="0"/>
            <a:cs typeface="Noto Kufi Arabic" panose="020B0506030804020204" pitchFamily="34" charset="0"/>
          </a:endParaRPr>
        </a:p>
      </xdr:txBody>
    </xdr:sp>
    <xdr:clientData/>
  </xdr:twoCellAnchor>
  <xdr:twoCellAnchor editAs="absolute">
    <xdr:from>
      <xdr:col>2</xdr:col>
      <xdr:colOff>331201</xdr:colOff>
      <xdr:row>2</xdr:row>
      <xdr:rowOff>9525</xdr:rowOff>
    </xdr:from>
    <xdr:to>
      <xdr:col>2</xdr:col>
      <xdr:colOff>611774</xdr:colOff>
      <xdr:row>3</xdr:row>
      <xdr:rowOff>169113</xdr:rowOff>
    </xdr:to>
    <xdr:pic>
      <xdr:nvPicPr>
        <xdr:cNvPr id="13" name="Picture 12">
          <a:extLst>
            <a:ext uri="{FF2B5EF4-FFF2-40B4-BE49-F238E27FC236}">
              <a16:creationId xmlns:a16="http://schemas.microsoft.com/office/drawing/2014/main" id="{CBE1197B-49F4-728B-BDD0-550660D940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xdr:blipFill>
      <xdr:spPr>
        <a:xfrm>
          <a:off x="1702801" y="409575"/>
          <a:ext cx="280573" cy="359613"/>
        </a:xfrm>
        <a:prstGeom prst="rect">
          <a:avLst/>
        </a:prstGeom>
      </xdr:spPr>
    </xdr:pic>
    <xdr:clientData/>
  </xdr:twoCellAnchor>
  <xdr:twoCellAnchor editAs="absolute">
    <xdr:from>
      <xdr:col>2</xdr:col>
      <xdr:colOff>276225</xdr:colOff>
      <xdr:row>6</xdr:row>
      <xdr:rowOff>114300</xdr:rowOff>
    </xdr:from>
    <xdr:to>
      <xdr:col>4</xdr:col>
      <xdr:colOff>609600</xdr:colOff>
      <xdr:row>6</xdr:row>
      <xdr:rowOff>123825</xdr:rowOff>
    </xdr:to>
    <xdr:cxnSp macro="">
      <xdr:nvCxnSpPr>
        <xdr:cNvPr id="15" name="Straight Connector 14">
          <a:extLst>
            <a:ext uri="{FF2B5EF4-FFF2-40B4-BE49-F238E27FC236}">
              <a16:creationId xmlns:a16="http://schemas.microsoft.com/office/drawing/2014/main" id="{83A591B6-0EAD-DD30-AA71-B17C0C5BF895}"/>
            </a:ext>
          </a:extLst>
        </xdr:cNvPr>
        <xdr:cNvCxnSpPr/>
      </xdr:nvCxnSpPr>
      <xdr:spPr>
        <a:xfrm flipV="1">
          <a:off x="1647825" y="1314450"/>
          <a:ext cx="1704975" cy="9525"/>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228600</xdr:colOff>
      <xdr:row>7</xdr:row>
      <xdr:rowOff>161925</xdr:rowOff>
    </xdr:from>
    <xdr:to>
      <xdr:col>2</xdr:col>
      <xdr:colOff>647700</xdr:colOff>
      <xdr:row>9</xdr:row>
      <xdr:rowOff>142875</xdr:rowOff>
    </xdr:to>
    <xdr:sp macro="" textlink="'Pivot Tables'!I6">
      <xdr:nvSpPr>
        <xdr:cNvPr id="16" name="TextBox 15">
          <a:extLst>
            <a:ext uri="{FF2B5EF4-FFF2-40B4-BE49-F238E27FC236}">
              <a16:creationId xmlns:a16="http://schemas.microsoft.com/office/drawing/2014/main" id="{D6158604-2B35-4D1B-98C0-24C37483759D}"/>
            </a:ext>
          </a:extLst>
        </xdr:cNvPr>
        <xdr:cNvSpPr txBox="1"/>
      </xdr:nvSpPr>
      <xdr:spPr>
        <a:xfrm>
          <a:off x="1600200" y="1562100"/>
          <a:ext cx="4191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9798F3-C6C4-4211-8490-E7A10CEB5F90}" type="TxLink">
            <a:rPr lang="en-US" sz="1100" b="0" i="0" u="none" strike="noStrike">
              <a:solidFill>
                <a:srgbClr val="000000"/>
              </a:solidFill>
              <a:latin typeface="Arial"/>
              <a:ea typeface="Calibri"/>
              <a:cs typeface="Arial"/>
            </a:rPr>
            <a:pPr algn="ctr"/>
            <a:t>926</a:t>
          </a:fld>
          <a:endParaRPr lang="en-US" sz="1600" b="0">
            <a:solidFill>
              <a:srgbClr val="FF7C80"/>
            </a:solidFill>
            <a:latin typeface="Abadi" panose="020B0604020104020204" pitchFamily="34" charset="0"/>
            <a:cs typeface="Noto Kufi Arabic" panose="020B0506030804020204" pitchFamily="34" charset="0"/>
          </a:endParaRPr>
        </a:p>
      </xdr:txBody>
    </xdr:sp>
    <xdr:clientData/>
  </xdr:twoCellAnchor>
  <xdr:twoCellAnchor editAs="absolute">
    <xdr:from>
      <xdr:col>2</xdr:col>
      <xdr:colOff>228600</xdr:colOff>
      <xdr:row>8</xdr:row>
      <xdr:rowOff>190499</xdr:rowOff>
    </xdr:from>
    <xdr:to>
      <xdr:col>3</xdr:col>
      <xdr:colOff>9525</xdr:colOff>
      <xdr:row>10</xdr:row>
      <xdr:rowOff>180975</xdr:rowOff>
    </xdr:to>
    <xdr:sp macro="" textlink="">
      <xdr:nvSpPr>
        <xdr:cNvPr id="17" name="TextBox 16">
          <a:extLst>
            <a:ext uri="{FF2B5EF4-FFF2-40B4-BE49-F238E27FC236}">
              <a16:creationId xmlns:a16="http://schemas.microsoft.com/office/drawing/2014/main" id="{517DEC96-5F05-4B81-B927-8135B1873E6C}"/>
            </a:ext>
          </a:extLst>
        </xdr:cNvPr>
        <xdr:cNvSpPr txBox="1"/>
      </xdr:nvSpPr>
      <xdr:spPr>
        <a:xfrm>
          <a:off x="1600200" y="1790699"/>
          <a:ext cx="46672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solidFill>
                <a:schemeClr val="bg1">
                  <a:lumMod val="50000"/>
                </a:schemeClr>
              </a:solidFill>
              <a:latin typeface="Abadi" panose="020B0604020202020204" pitchFamily="34" charset="0"/>
              <a:cs typeface="Noto Kufi Arabic" panose="020B0506030804020204" pitchFamily="34" charset="0"/>
            </a:rPr>
            <a:t>Call</a:t>
          </a:r>
          <a:endParaRPr lang="en-US" sz="700" b="0">
            <a:solidFill>
              <a:schemeClr val="bg1">
                <a:lumMod val="50000"/>
              </a:schemeClr>
            </a:solidFill>
            <a:latin typeface="Abadi" panose="020B0604020202020204" pitchFamily="34" charset="0"/>
            <a:cs typeface="Noto Kufi Arabic" panose="020B0506030804020204" pitchFamily="34" charset="0"/>
          </a:endParaRPr>
        </a:p>
      </xdr:txBody>
    </xdr:sp>
    <xdr:clientData/>
  </xdr:twoCellAnchor>
  <xdr:twoCellAnchor editAs="absolute">
    <xdr:from>
      <xdr:col>2</xdr:col>
      <xdr:colOff>228600</xdr:colOff>
      <xdr:row>6</xdr:row>
      <xdr:rowOff>161925</xdr:rowOff>
    </xdr:from>
    <xdr:to>
      <xdr:col>4</xdr:col>
      <xdr:colOff>47625</xdr:colOff>
      <xdr:row>8</xdr:row>
      <xdr:rowOff>66675</xdr:rowOff>
    </xdr:to>
    <xdr:sp macro="" textlink="">
      <xdr:nvSpPr>
        <xdr:cNvPr id="18" name="TextBox 17">
          <a:extLst>
            <a:ext uri="{FF2B5EF4-FFF2-40B4-BE49-F238E27FC236}">
              <a16:creationId xmlns:a16="http://schemas.microsoft.com/office/drawing/2014/main" id="{2E19499A-E37A-4AFC-9567-F7FAB8584164}"/>
            </a:ext>
          </a:extLst>
        </xdr:cNvPr>
        <xdr:cNvSpPr txBox="1"/>
      </xdr:nvSpPr>
      <xdr:spPr>
        <a:xfrm>
          <a:off x="1600200" y="1362075"/>
          <a:ext cx="1190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lumMod val="50000"/>
                </a:schemeClr>
              </a:solidFill>
              <a:latin typeface="Abadi" panose="020B0604020202020204" pitchFamily="34" charset="0"/>
              <a:cs typeface="Noto Kufi Arabic" panose="020B0506030804020204" pitchFamily="34" charset="0"/>
            </a:rPr>
            <a:t>Total Paid Calls</a:t>
          </a:r>
          <a:endParaRPr lang="en-US" sz="1050" b="0">
            <a:solidFill>
              <a:schemeClr val="bg1">
                <a:lumMod val="50000"/>
              </a:schemeClr>
            </a:solidFill>
            <a:latin typeface="Abadi" panose="020B0604020202020204" pitchFamily="34" charset="0"/>
            <a:cs typeface="Noto Kufi Arabic" panose="020B0506030804020204" pitchFamily="34" charset="0"/>
          </a:endParaRPr>
        </a:p>
      </xdr:txBody>
    </xdr:sp>
    <xdr:clientData/>
  </xdr:twoCellAnchor>
  <xdr:twoCellAnchor editAs="absolute">
    <xdr:from>
      <xdr:col>4</xdr:col>
      <xdr:colOff>123825</xdr:colOff>
      <xdr:row>7</xdr:row>
      <xdr:rowOff>152400</xdr:rowOff>
    </xdr:from>
    <xdr:to>
      <xdr:col>4</xdr:col>
      <xdr:colOff>647700</xdr:colOff>
      <xdr:row>10</xdr:row>
      <xdr:rowOff>76200</xdr:rowOff>
    </xdr:to>
    <xdr:pic>
      <xdr:nvPicPr>
        <xdr:cNvPr id="20" name="Graphic 19" descr="Speaker phone with solid fill">
          <a:extLst>
            <a:ext uri="{FF2B5EF4-FFF2-40B4-BE49-F238E27FC236}">
              <a16:creationId xmlns:a16="http://schemas.microsoft.com/office/drawing/2014/main" id="{D3E041BC-4297-7DD6-5E7F-6ACEFC1E180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867025" y="1552575"/>
          <a:ext cx="523875" cy="523875"/>
        </a:xfrm>
        <a:prstGeom prst="rect">
          <a:avLst/>
        </a:prstGeom>
      </xdr:spPr>
    </xdr:pic>
    <xdr:clientData/>
  </xdr:twoCellAnchor>
  <xdr:twoCellAnchor editAs="absolute">
    <xdr:from>
      <xdr:col>5</xdr:col>
      <xdr:colOff>133349</xdr:colOff>
      <xdr:row>1</xdr:row>
      <xdr:rowOff>38101</xdr:rowOff>
    </xdr:from>
    <xdr:to>
      <xdr:col>8</xdr:col>
      <xdr:colOff>157848</xdr:colOff>
      <xdr:row>11</xdr:row>
      <xdr:rowOff>123825</xdr:rowOff>
    </xdr:to>
    <xdr:sp macro="" textlink="">
      <xdr:nvSpPr>
        <xdr:cNvPr id="21" name="Rectangle: Rounded Corners 20">
          <a:extLst>
            <a:ext uri="{FF2B5EF4-FFF2-40B4-BE49-F238E27FC236}">
              <a16:creationId xmlns:a16="http://schemas.microsoft.com/office/drawing/2014/main" id="{97941BCD-741E-4120-ABEC-969555BB255A}"/>
            </a:ext>
          </a:extLst>
        </xdr:cNvPr>
        <xdr:cNvSpPr/>
      </xdr:nvSpPr>
      <xdr:spPr>
        <a:xfrm>
          <a:off x="3562349" y="238126"/>
          <a:ext cx="2081899" cy="2085974"/>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5</xdr:col>
      <xdr:colOff>133351</xdr:colOff>
      <xdr:row>2</xdr:row>
      <xdr:rowOff>28575</xdr:rowOff>
    </xdr:from>
    <xdr:to>
      <xdr:col>7</xdr:col>
      <xdr:colOff>114301</xdr:colOff>
      <xdr:row>5</xdr:row>
      <xdr:rowOff>85726</xdr:rowOff>
    </xdr:to>
    <xdr:sp macro="" textlink="">
      <xdr:nvSpPr>
        <xdr:cNvPr id="22" name="TextBox 21">
          <a:extLst>
            <a:ext uri="{FF2B5EF4-FFF2-40B4-BE49-F238E27FC236}">
              <a16:creationId xmlns:a16="http://schemas.microsoft.com/office/drawing/2014/main" id="{FBC3EAF5-C75A-C952-7A7A-A4B8D1BF5940}"/>
            </a:ext>
          </a:extLst>
        </xdr:cNvPr>
        <xdr:cNvSpPr txBox="1"/>
      </xdr:nvSpPr>
      <xdr:spPr>
        <a:xfrm>
          <a:off x="3562351" y="428625"/>
          <a:ext cx="1352550" cy="65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lumMod val="50000"/>
                </a:schemeClr>
              </a:solidFill>
              <a:latin typeface="Abadi" panose="020B0604020104020204" pitchFamily="34" charset="0"/>
            </a:rPr>
            <a:t>Top</a:t>
          </a:r>
          <a:r>
            <a:rPr lang="en-US" sz="1050" baseline="0">
              <a:solidFill>
                <a:schemeClr val="bg1">
                  <a:lumMod val="50000"/>
                </a:schemeClr>
              </a:solidFill>
              <a:latin typeface="Abadi" panose="020B0604020104020204" pitchFamily="34" charset="0"/>
            </a:rPr>
            <a:t> 5</a:t>
          </a:r>
        </a:p>
        <a:p>
          <a:r>
            <a:rPr lang="en-US" sz="1100" baseline="0">
              <a:latin typeface="Abadi" panose="020B0604020104020204" pitchFamily="34" charset="0"/>
            </a:rPr>
            <a:t>Consultants</a:t>
          </a:r>
        </a:p>
        <a:p>
          <a:r>
            <a:rPr lang="en-US" sz="1000" baseline="0">
              <a:solidFill>
                <a:schemeClr val="bg1">
                  <a:lumMod val="50000"/>
                </a:schemeClr>
              </a:solidFill>
              <a:latin typeface="Abadi" panose="020B0604020104020204" pitchFamily="34" charset="0"/>
            </a:rPr>
            <a:t>Sales Revenue</a:t>
          </a:r>
          <a:endParaRPr lang="en-US" sz="1000">
            <a:solidFill>
              <a:schemeClr val="bg1">
                <a:lumMod val="50000"/>
              </a:schemeClr>
            </a:solidFill>
            <a:latin typeface="Abadi" panose="020B0604020104020204" pitchFamily="34" charset="0"/>
          </a:endParaRPr>
        </a:p>
      </xdr:txBody>
    </xdr:sp>
    <xdr:clientData/>
  </xdr:twoCellAnchor>
  <xdr:twoCellAnchor editAs="absolute">
    <xdr:from>
      <xdr:col>7</xdr:col>
      <xdr:colOff>257174</xdr:colOff>
      <xdr:row>2</xdr:row>
      <xdr:rowOff>19050</xdr:rowOff>
    </xdr:from>
    <xdr:to>
      <xdr:col>7</xdr:col>
      <xdr:colOff>447675</xdr:colOff>
      <xdr:row>3</xdr:row>
      <xdr:rowOff>28574</xdr:rowOff>
    </xdr:to>
    <xdr:sp macro="" textlink="">
      <xdr:nvSpPr>
        <xdr:cNvPr id="23" name="Star: 5 Points 22">
          <a:extLst>
            <a:ext uri="{FF2B5EF4-FFF2-40B4-BE49-F238E27FC236}">
              <a16:creationId xmlns:a16="http://schemas.microsoft.com/office/drawing/2014/main" id="{DC5FB4A5-3E98-CBBC-9687-FE0537BD537D}"/>
            </a:ext>
          </a:extLst>
        </xdr:cNvPr>
        <xdr:cNvSpPr/>
      </xdr:nvSpPr>
      <xdr:spPr>
        <a:xfrm>
          <a:off x="5057774" y="419100"/>
          <a:ext cx="190501" cy="209549"/>
        </a:xfrm>
        <a:prstGeom prst="star5">
          <a:avLst/>
        </a:prstGeom>
        <a:solidFill>
          <a:srgbClr val="FED1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95251</xdr:colOff>
      <xdr:row>4</xdr:row>
      <xdr:rowOff>171450</xdr:rowOff>
    </xdr:from>
    <xdr:to>
      <xdr:col>7</xdr:col>
      <xdr:colOff>666750</xdr:colOff>
      <xdr:row>6</xdr:row>
      <xdr:rowOff>47625</xdr:rowOff>
    </xdr:to>
    <xdr:grpSp>
      <xdr:nvGrpSpPr>
        <xdr:cNvPr id="26" name="Group 25">
          <a:extLst>
            <a:ext uri="{FF2B5EF4-FFF2-40B4-BE49-F238E27FC236}">
              <a16:creationId xmlns:a16="http://schemas.microsoft.com/office/drawing/2014/main" id="{236C951E-66C5-D351-72AB-5B3B1C6AC670}"/>
            </a:ext>
          </a:extLst>
        </xdr:cNvPr>
        <xdr:cNvGrpSpPr/>
      </xdr:nvGrpSpPr>
      <xdr:grpSpPr>
        <a:xfrm>
          <a:off x="3524251" y="963930"/>
          <a:ext cx="1943099" cy="272415"/>
          <a:chOff x="3800476" y="790575"/>
          <a:chExt cx="1943099" cy="276225"/>
        </a:xfrm>
      </xdr:grpSpPr>
      <xdr:sp macro="" textlink="'Pivot Tables'!P5">
        <xdr:nvSpPr>
          <xdr:cNvPr id="24" name="TextBox 23">
            <a:extLst>
              <a:ext uri="{FF2B5EF4-FFF2-40B4-BE49-F238E27FC236}">
                <a16:creationId xmlns:a16="http://schemas.microsoft.com/office/drawing/2014/main" id="{B1C84ABE-2C6D-42B0-9B8A-6A7B67D0A311}"/>
              </a:ext>
            </a:extLst>
          </xdr:cNvPr>
          <xdr:cNvSpPr txBox="1"/>
        </xdr:nvSpPr>
        <xdr:spPr>
          <a:xfrm>
            <a:off x="4943476" y="7905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76C31A2-70D4-475A-BF73-314352B7C016}" type="TxLink">
              <a:rPr lang="en-US" sz="1100" b="0" i="0" u="none" strike="noStrike">
                <a:solidFill>
                  <a:schemeClr val="tx1">
                    <a:lumMod val="50000"/>
                    <a:lumOff val="50000"/>
                  </a:schemeClr>
                </a:solidFill>
                <a:latin typeface="Abadi" panose="020B0604020104020204" pitchFamily="34" charset="0"/>
                <a:cs typeface="Arial"/>
              </a:rPr>
              <a:pPr algn="l"/>
              <a:t>Mohmed</a:t>
            </a:fld>
            <a:endParaRPr lang="en-US" sz="1100">
              <a:solidFill>
                <a:schemeClr val="tx1">
                  <a:lumMod val="50000"/>
                  <a:lumOff val="50000"/>
                </a:schemeClr>
              </a:solidFill>
              <a:latin typeface="Abadi" panose="020B0604020104020204" pitchFamily="34" charset="0"/>
            </a:endParaRPr>
          </a:p>
        </xdr:txBody>
      </xdr:sp>
      <xdr:sp macro="" textlink="'Pivot Tables'!Q5">
        <xdr:nvSpPr>
          <xdr:cNvPr id="25" name="TextBox 24">
            <a:extLst>
              <a:ext uri="{FF2B5EF4-FFF2-40B4-BE49-F238E27FC236}">
                <a16:creationId xmlns:a16="http://schemas.microsoft.com/office/drawing/2014/main" id="{E888E4E2-990C-41E0-A6BB-6E16837C17AC}"/>
              </a:ext>
            </a:extLst>
          </xdr:cNvPr>
          <xdr:cNvSpPr txBox="1"/>
        </xdr:nvSpPr>
        <xdr:spPr>
          <a:xfrm>
            <a:off x="3800476" y="7905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0134C7C-B0B4-4CC7-ACAC-54492F0A99DA}" type="TxLink">
              <a:rPr lang="en-US" sz="1100" b="0" i="0" u="none" strike="noStrike">
                <a:solidFill>
                  <a:schemeClr val="tx1">
                    <a:lumMod val="65000"/>
                    <a:lumOff val="35000"/>
                  </a:schemeClr>
                </a:solidFill>
                <a:latin typeface="Abadi" panose="020B0604020104020204" pitchFamily="34" charset="0"/>
                <a:cs typeface="Arial"/>
              </a:rPr>
              <a:pPr algn="l"/>
              <a:t> 1.727.000.000 </a:t>
            </a:fld>
            <a:endParaRPr lang="en-US" sz="1100">
              <a:solidFill>
                <a:schemeClr val="tx1">
                  <a:lumMod val="65000"/>
                  <a:lumOff val="35000"/>
                </a:schemeClr>
              </a:solidFill>
              <a:latin typeface="Abadi" panose="020B0604020104020204" pitchFamily="34" charset="0"/>
            </a:endParaRPr>
          </a:p>
        </xdr:txBody>
      </xdr:sp>
    </xdr:grpSp>
    <xdr:clientData/>
  </xdr:twoCellAnchor>
  <xdr:twoCellAnchor editAs="absolute">
    <xdr:from>
      <xdr:col>5</xdr:col>
      <xdr:colOff>104776</xdr:colOff>
      <xdr:row>5</xdr:row>
      <xdr:rowOff>171450</xdr:rowOff>
    </xdr:from>
    <xdr:to>
      <xdr:col>7</xdr:col>
      <xdr:colOff>676275</xdr:colOff>
      <xdr:row>7</xdr:row>
      <xdr:rowOff>47625</xdr:rowOff>
    </xdr:to>
    <xdr:grpSp>
      <xdr:nvGrpSpPr>
        <xdr:cNvPr id="27" name="Group 26">
          <a:extLst>
            <a:ext uri="{FF2B5EF4-FFF2-40B4-BE49-F238E27FC236}">
              <a16:creationId xmlns:a16="http://schemas.microsoft.com/office/drawing/2014/main" id="{4070CEDC-6122-42C7-9CAB-3DC9189D499E}"/>
            </a:ext>
          </a:extLst>
        </xdr:cNvPr>
        <xdr:cNvGrpSpPr/>
      </xdr:nvGrpSpPr>
      <xdr:grpSpPr>
        <a:xfrm>
          <a:off x="3533776" y="1162050"/>
          <a:ext cx="1943099" cy="272415"/>
          <a:chOff x="3800476" y="790575"/>
          <a:chExt cx="1943099" cy="276225"/>
        </a:xfrm>
      </xdr:grpSpPr>
      <xdr:sp macro="" textlink="'Pivot Tables'!P6">
        <xdr:nvSpPr>
          <xdr:cNvPr id="28" name="TextBox 27">
            <a:extLst>
              <a:ext uri="{FF2B5EF4-FFF2-40B4-BE49-F238E27FC236}">
                <a16:creationId xmlns:a16="http://schemas.microsoft.com/office/drawing/2014/main" id="{3E8D5E4D-7EF8-A774-3086-2B5A6E05F770}"/>
              </a:ext>
            </a:extLst>
          </xdr:cNvPr>
          <xdr:cNvSpPr txBox="1"/>
        </xdr:nvSpPr>
        <xdr:spPr>
          <a:xfrm>
            <a:off x="4943476" y="7905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3970EAE-CABA-4E84-AB97-46B40A389752}" type="TxLink">
              <a:rPr lang="en-US" sz="1100" b="0" i="0" u="none" strike="noStrike">
                <a:solidFill>
                  <a:schemeClr val="tx1">
                    <a:lumMod val="50000"/>
                    <a:lumOff val="50000"/>
                  </a:schemeClr>
                </a:solidFill>
                <a:latin typeface="Abadi" panose="020B0604020104020204" pitchFamily="34" charset="0"/>
                <a:cs typeface="Arial"/>
              </a:rPr>
              <a:pPr algn="l"/>
              <a:t>Rony</a:t>
            </a:fld>
            <a:endParaRPr lang="en-US" sz="1100">
              <a:solidFill>
                <a:schemeClr val="tx1">
                  <a:lumMod val="50000"/>
                  <a:lumOff val="50000"/>
                </a:schemeClr>
              </a:solidFill>
              <a:latin typeface="Abadi" panose="020B0604020104020204" pitchFamily="34" charset="0"/>
            </a:endParaRPr>
          </a:p>
        </xdr:txBody>
      </xdr:sp>
      <xdr:sp macro="" textlink="'Pivot Tables'!Q6">
        <xdr:nvSpPr>
          <xdr:cNvPr id="29" name="TextBox 28">
            <a:extLst>
              <a:ext uri="{FF2B5EF4-FFF2-40B4-BE49-F238E27FC236}">
                <a16:creationId xmlns:a16="http://schemas.microsoft.com/office/drawing/2014/main" id="{B70D4A87-4285-DFCA-1D74-8272E19C78AE}"/>
              </a:ext>
            </a:extLst>
          </xdr:cNvPr>
          <xdr:cNvSpPr txBox="1"/>
        </xdr:nvSpPr>
        <xdr:spPr>
          <a:xfrm>
            <a:off x="3800476" y="7905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3B9ACF1-57B7-4CC8-A7DF-34A84BF74B2D}" type="TxLink">
              <a:rPr lang="en-US" sz="1100" b="0" i="0" u="none" strike="noStrike">
                <a:solidFill>
                  <a:schemeClr val="tx1">
                    <a:lumMod val="65000"/>
                    <a:lumOff val="35000"/>
                  </a:schemeClr>
                </a:solidFill>
                <a:latin typeface="Abadi" panose="020B0604020104020204" pitchFamily="34" charset="0"/>
                <a:cs typeface="Arial"/>
              </a:rPr>
              <a:pPr algn="l"/>
              <a:t> 1.638.000.000 </a:t>
            </a:fld>
            <a:endParaRPr lang="en-US" sz="1100">
              <a:solidFill>
                <a:schemeClr val="tx1">
                  <a:lumMod val="65000"/>
                  <a:lumOff val="35000"/>
                </a:schemeClr>
              </a:solidFill>
              <a:latin typeface="Abadi" panose="020B0604020104020204" pitchFamily="34" charset="0"/>
            </a:endParaRPr>
          </a:p>
        </xdr:txBody>
      </xdr:sp>
    </xdr:grpSp>
    <xdr:clientData/>
  </xdr:twoCellAnchor>
  <xdr:twoCellAnchor editAs="absolute">
    <xdr:from>
      <xdr:col>5</xdr:col>
      <xdr:colOff>95251</xdr:colOff>
      <xdr:row>6</xdr:row>
      <xdr:rowOff>161925</xdr:rowOff>
    </xdr:from>
    <xdr:to>
      <xdr:col>7</xdr:col>
      <xdr:colOff>666750</xdr:colOff>
      <xdr:row>8</xdr:row>
      <xdr:rowOff>38100</xdr:rowOff>
    </xdr:to>
    <xdr:grpSp>
      <xdr:nvGrpSpPr>
        <xdr:cNvPr id="30" name="Group 29">
          <a:extLst>
            <a:ext uri="{FF2B5EF4-FFF2-40B4-BE49-F238E27FC236}">
              <a16:creationId xmlns:a16="http://schemas.microsoft.com/office/drawing/2014/main" id="{204F7D8B-4662-420C-88C4-C36ED84239E9}"/>
            </a:ext>
          </a:extLst>
        </xdr:cNvPr>
        <xdr:cNvGrpSpPr/>
      </xdr:nvGrpSpPr>
      <xdr:grpSpPr>
        <a:xfrm>
          <a:off x="3524251" y="1350645"/>
          <a:ext cx="1943099" cy="272415"/>
          <a:chOff x="3800476" y="790575"/>
          <a:chExt cx="1943099" cy="276225"/>
        </a:xfrm>
      </xdr:grpSpPr>
      <xdr:sp macro="" textlink="'Pivot Tables'!P7">
        <xdr:nvSpPr>
          <xdr:cNvPr id="31" name="TextBox 30">
            <a:extLst>
              <a:ext uri="{FF2B5EF4-FFF2-40B4-BE49-F238E27FC236}">
                <a16:creationId xmlns:a16="http://schemas.microsoft.com/office/drawing/2014/main" id="{457BA4F9-FC21-D53F-64FB-3DBF1C4A0701}"/>
              </a:ext>
            </a:extLst>
          </xdr:cNvPr>
          <xdr:cNvSpPr txBox="1"/>
        </xdr:nvSpPr>
        <xdr:spPr>
          <a:xfrm>
            <a:off x="4943476" y="7905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06C395D-C108-46C0-B3BC-AE8CFEABA9F1}"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Hany</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sp macro="" textlink="'Pivot Tables'!Q7">
        <xdr:nvSpPr>
          <xdr:cNvPr id="32" name="TextBox 31">
            <a:extLst>
              <a:ext uri="{FF2B5EF4-FFF2-40B4-BE49-F238E27FC236}">
                <a16:creationId xmlns:a16="http://schemas.microsoft.com/office/drawing/2014/main" id="{4452DADC-B541-1004-C41E-A6937C1B33D2}"/>
              </a:ext>
            </a:extLst>
          </xdr:cNvPr>
          <xdr:cNvSpPr txBox="1"/>
        </xdr:nvSpPr>
        <xdr:spPr>
          <a:xfrm>
            <a:off x="3800476" y="7905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6088189-F4BA-4C80-98F8-96732A8BA08A}" type="TxLink">
              <a:rPr lang="en-US" sz="1100" b="0" i="0" u="none" strike="noStrike">
                <a:solidFill>
                  <a:schemeClr val="tx1">
                    <a:lumMod val="65000"/>
                    <a:lumOff val="35000"/>
                  </a:schemeClr>
                </a:solidFill>
                <a:latin typeface="Abadi" panose="020B0604020104020204" pitchFamily="34" charset="0"/>
                <a:ea typeface="+mn-ea"/>
                <a:cs typeface="Arial"/>
              </a:rPr>
              <a:pPr marL="0" indent="0" algn="l"/>
              <a:t> 1.534.000.000 </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grpSp>
    <xdr:clientData/>
  </xdr:twoCellAnchor>
  <xdr:twoCellAnchor editAs="absolute">
    <xdr:from>
      <xdr:col>5</xdr:col>
      <xdr:colOff>95251</xdr:colOff>
      <xdr:row>7</xdr:row>
      <xdr:rowOff>161925</xdr:rowOff>
    </xdr:from>
    <xdr:to>
      <xdr:col>7</xdr:col>
      <xdr:colOff>666750</xdr:colOff>
      <xdr:row>9</xdr:row>
      <xdr:rowOff>38100</xdr:rowOff>
    </xdr:to>
    <xdr:grpSp>
      <xdr:nvGrpSpPr>
        <xdr:cNvPr id="33" name="Group 32">
          <a:extLst>
            <a:ext uri="{FF2B5EF4-FFF2-40B4-BE49-F238E27FC236}">
              <a16:creationId xmlns:a16="http://schemas.microsoft.com/office/drawing/2014/main" id="{39403765-732E-4D39-82A0-78BD587A75C5}"/>
            </a:ext>
          </a:extLst>
        </xdr:cNvPr>
        <xdr:cNvGrpSpPr/>
      </xdr:nvGrpSpPr>
      <xdr:grpSpPr>
        <a:xfrm>
          <a:off x="3524251" y="1548765"/>
          <a:ext cx="1943099" cy="272415"/>
          <a:chOff x="3800476" y="790575"/>
          <a:chExt cx="1943099" cy="276225"/>
        </a:xfrm>
      </xdr:grpSpPr>
      <xdr:sp macro="" textlink="'Pivot Tables'!P8">
        <xdr:nvSpPr>
          <xdr:cNvPr id="34" name="TextBox 33">
            <a:extLst>
              <a:ext uri="{FF2B5EF4-FFF2-40B4-BE49-F238E27FC236}">
                <a16:creationId xmlns:a16="http://schemas.microsoft.com/office/drawing/2014/main" id="{DCFD47AB-31AB-7BF0-5936-D55C4B938FEF}"/>
              </a:ext>
            </a:extLst>
          </xdr:cNvPr>
          <xdr:cNvSpPr txBox="1"/>
        </xdr:nvSpPr>
        <xdr:spPr>
          <a:xfrm>
            <a:off x="4943476" y="7905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A01CAFA-40CB-4348-81D6-DE0D6C138A12}" type="TxLink">
              <a:rPr lang="en-US" sz="1100" b="0" i="0" u="none" strike="noStrike">
                <a:solidFill>
                  <a:schemeClr val="tx1">
                    <a:lumMod val="50000"/>
                    <a:lumOff val="50000"/>
                  </a:schemeClr>
                </a:solidFill>
                <a:latin typeface="Abadi" panose="020B0604020104020204" pitchFamily="34" charset="0"/>
                <a:cs typeface="Arial"/>
              </a:rPr>
              <a:pPr algn="l"/>
              <a:t>Dary</a:t>
            </a:fld>
            <a:endParaRPr lang="en-US" sz="1100">
              <a:solidFill>
                <a:schemeClr val="tx1">
                  <a:lumMod val="50000"/>
                  <a:lumOff val="50000"/>
                </a:schemeClr>
              </a:solidFill>
              <a:latin typeface="Abadi" panose="020B0604020104020204" pitchFamily="34" charset="0"/>
            </a:endParaRPr>
          </a:p>
        </xdr:txBody>
      </xdr:sp>
      <xdr:sp macro="" textlink="'Pivot Tables'!Q8">
        <xdr:nvSpPr>
          <xdr:cNvPr id="35" name="TextBox 34">
            <a:extLst>
              <a:ext uri="{FF2B5EF4-FFF2-40B4-BE49-F238E27FC236}">
                <a16:creationId xmlns:a16="http://schemas.microsoft.com/office/drawing/2014/main" id="{EE431DA4-1DB3-52E4-76B1-10FE24CAA1C7}"/>
              </a:ext>
            </a:extLst>
          </xdr:cNvPr>
          <xdr:cNvSpPr txBox="1"/>
        </xdr:nvSpPr>
        <xdr:spPr>
          <a:xfrm>
            <a:off x="3800476" y="7905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65046B6-EDAF-4AD4-8F6F-F5FF1E370B3A}" type="TxLink">
              <a:rPr lang="en-US" sz="1100" b="0" i="0" u="none" strike="noStrike">
                <a:solidFill>
                  <a:schemeClr val="tx1">
                    <a:lumMod val="65000"/>
                    <a:lumOff val="35000"/>
                  </a:schemeClr>
                </a:solidFill>
                <a:latin typeface="Abadi" panose="020B0604020104020204" pitchFamily="34" charset="0"/>
                <a:cs typeface="Arial"/>
              </a:rPr>
              <a:pPr algn="l"/>
              <a:t> 1.360.000.000 </a:t>
            </a:fld>
            <a:endParaRPr lang="en-US" sz="1100">
              <a:solidFill>
                <a:schemeClr val="tx1">
                  <a:lumMod val="65000"/>
                  <a:lumOff val="35000"/>
                </a:schemeClr>
              </a:solidFill>
              <a:latin typeface="Abadi" panose="020B0604020104020204" pitchFamily="34" charset="0"/>
            </a:endParaRPr>
          </a:p>
        </xdr:txBody>
      </xdr:sp>
    </xdr:grpSp>
    <xdr:clientData/>
  </xdr:twoCellAnchor>
  <xdr:twoCellAnchor editAs="absolute">
    <xdr:from>
      <xdr:col>5</xdr:col>
      <xdr:colOff>85726</xdr:colOff>
      <xdr:row>8</xdr:row>
      <xdr:rowOff>161925</xdr:rowOff>
    </xdr:from>
    <xdr:to>
      <xdr:col>7</xdr:col>
      <xdr:colOff>657225</xdr:colOff>
      <xdr:row>10</xdr:row>
      <xdr:rowOff>38100</xdr:rowOff>
    </xdr:to>
    <xdr:grpSp>
      <xdr:nvGrpSpPr>
        <xdr:cNvPr id="36" name="Group 35">
          <a:extLst>
            <a:ext uri="{FF2B5EF4-FFF2-40B4-BE49-F238E27FC236}">
              <a16:creationId xmlns:a16="http://schemas.microsoft.com/office/drawing/2014/main" id="{D7306B1D-190E-4BE1-BA79-4AA652987F5C}"/>
            </a:ext>
          </a:extLst>
        </xdr:cNvPr>
        <xdr:cNvGrpSpPr/>
      </xdr:nvGrpSpPr>
      <xdr:grpSpPr>
        <a:xfrm>
          <a:off x="3514726" y="1746885"/>
          <a:ext cx="1943099" cy="272415"/>
          <a:chOff x="3800476" y="790575"/>
          <a:chExt cx="1943099" cy="276225"/>
        </a:xfrm>
      </xdr:grpSpPr>
      <xdr:sp macro="" textlink="'Pivot Tables'!P9">
        <xdr:nvSpPr>
          <xdr:cNvPr id="37" name="TextBox 36">
            <a:extLst>
              <a:ext uri="{FF2B5EF4-FFF2-40B4-BE49-F238E27FC236}">
                <a16:creationId xmlns:a16="http://schemas.microsoft.com/office/drawing/2014/main" id="{6831F2D7-A4D0-5724-6711-661FC30AAFDA}"/>
              </a:ext>
            </a:extLst>
          </xdr:cNvPr>
          <xdr:cNvSpPr txBox="1"/>
        </xdr:nvSpPr>
        <xdr:spPr>
          <a:xfrm>
            <a:off x="4943476" y="7905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20B1130-8D05-459A-B2B1-33A6F87D8047}"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Kisho</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sp macro="" textlink="'Pivot Tables'!Q9">
        <xdr:nvSpPr>
          <xdr:cNvPr id="38" name="TextBox 37">
            <a:extLst>
              <a:ext uri="{FF2B5EF4-FFF2-40B4-BE49-F238E27FC236}">
                <a16:creationId xmlns:a16="http://schemas.microsoft.com/office/drawing/2014/main" id="{7EB53534-A684-8A4B-F3D5-227BB676B1E8}"/>
              </a:ext>
            </a:extLst>
          </xdr:cNvPr>
          <xdr:cNvSpPr txBox="1"/>
        </xdr:nvSpPr>
        <xdr:spPr>
          <a:xfrm>
            <a:off x="3800476" y="7905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20F940B-7901-4443-8E03-508D7ADF57F1}" type="TxLink">
              <a:rPr lang="en-US" sz="1100" b="0" i="0" u="none" strike="noStrike">
                <a:solidFill>
                  <a:schemeClr val="tx1">
                    <a:lumMod val="65000"/>
                    <a:lumOff val="35000"/>
                  </a:schemeClr>
                </a:solidFill>
                <a:latin typeface="Abadi" panose="020B0604020104020204" pitchFamily="34" charset="0"/>
                <a:ea typeface="+mn-ea"/>
                <a:cs typeface="Arial"/>
              </a:rPr>
              <a:pPr marL="0" indent="0" algn="l"/>
              <a:t> 1.288.000.000 </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grpSp>
    <xdr:clientData/>
  </xdr:twoCellAnchor>
  <xdr:twoCellAnchor editAs="absolute">
    <xdr:from>
      <xdr:col>8</xdr:col>
      <xdr:colOff>266699</xdr:colOff>
      <xdr:row>1</xdr:row>
      <xdr:rowOff>57150</xdr:rowOff>
    </xdr:from>
    <xdr:to>
      <xdr:col>15</xdr:col>
      <xdr:colOff>38100</xdr:colOff>
      <xdr:row>11</xdr:row>
      <xdr:rowOff>95249</xdr:rowOff>
    </xdr:to>
    <xdr:sp macro="" textlink="">
      <xdr:nvSpPr>
        <xdr:cNvPr id="47" name="Rectangle: Rounded Corners 46">
          <a:extLst>
            <a:ext uri="{FF2B5EF4-FFF2-40B4-BE49-F238E27FC236}">
              <a16:creationId xmlns:a16="http://schemas.microsoft.com/office/drawing/2014/main" id="{494CA687-A353-4246-A34E-EA240AAB2743}"/>
            </a:ext>
          </a:extLst>
        </xdr:cNvPr>
        <xdr:cNvSpPr/>
      </xdr:nvSpPr>
      <xdr:spPr>
        <a:xfrm>
          <a:off x="5753099" y="257175"/>
          <a:ext cx="4572001" cy="2038349"/>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10</xdr:col>
      <xdr:colOff>428625</xdr:colOff>
      <xdr:row>2</xdr:row>
      <xdr:rowOff>47625</xdr:rowOff>
    </xdr:from>
    <xdr:to>
      <xdr:col>13</xdr:col>
      <xdr:colOff>266700</xdr:colOff>
      <xdr:row>3</xdr:row>
      <xdr:rowOff>180975</xdr:rowOff>
    </xdr:to>
    <xdr:sp macro="" textlink="">
      <xdr:nvSpPr>
        <xdr:cNvPr id="48" name="TextBox 47">
          <a:extLst>
            <a:ext uri="{FF2B5EF4-FFF2-40B4-BE49-F238E27FC236}">
              <a16:creationId xmlns:a16="http://schemas.microsoft.com/office/drawing/2014/main" id="{B2BBB2D1-F74F-CAB4-AADA-92B9FE4252CC}"/>
            </a:ext>
          </a:extLst>
        </xdr:cNvPr>
        <xdr:cNvSpPr txBox="1"/>
      </xdr:nvSpPr>
      <xdr:spPr>
        <a:xfrm>
          <a:off x="7286625" y="447675"/>
          <a:ext cx="18954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badi" panose="020B0604020104020204" pitchFamily="34" charset="0"/>
            </a:rPr>
            <a:t>Total</a:t>
          </a:r>
          <a:r>
            <a:rPr lang="en-US" sz="1200" baseline="0">
              <a:latin typeface="Abadi" panose="020B0604020104020204" pitchFamily="34" charset="0"/>
            </a:rPr>
            <a:t> Earnings by Month</a:t>
          </a:r>
          <a:endParaRPr lang="en-US" sz="1200">
            <a:latin typeface="Abadi" panose="020B0604020104020204" pitchFamily="34" charset="0"/>
          </a:endParaRPr>
        </a:p>
      </xdr:txBody>
    </xdr:sp>
    <xdr:clientData/>
  </xdr:twoCellAnchor>
  <xdr:twoCellAnchor editAs="absolute">
    <xdr:from>
      <xdr:col>8</xdr:col>
      <xdr:colOff>228600</xdr:colOff>
      <xdr:row>2</xdr:row>
      <xdr:rowOff>76200</xdr:rowOff>
    </xdr:from>
    <xdr:to>
      <xdr:col>14</xdr:col>
      <xdr:colOff>676275</xdr:colOff>
      <xdr:row>7</xdr:row>
      <xdr:rowOff>47625</xdr:rowOff>
    </xdr:to>
    <xdr:graphicFrame macro="">
      <xdr:nvGraphicFramePr>
        <xdr:cNvPr id="4" name="Chart 1">
          <a:extLst>
            <a:ext uri="{FF2B5EF4-FFF2-40B4-BE49-F238E27FC236}">
              <a16:creationId xmlns:a16="http://schemas.microsoft.com/office/drawing/2014/main" id="{763EC660-BEC3-4A48-9D78-4BEA3421F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0</xdr:colOff>
      <xdr:row>6</xdr:row>
      <xdr:rowOff>171450</xdr:rowOff>
    </xdr:from>
    <xdr:to>
      <xdr:col>10</xdr:col>
      <xdr:colOff>266700</xdr:colOff>
      <xdr:row>10</xdr:row>
      <xdr:rowOff>114299</xdr:rowOff>
    </xdr:to>
    <xdr:grpSp>
      <xdr:nvGrpSpPr>
        <xdr:cNvPr id="14" name="Group 13">
          <a:extLst>
            <a:ext uri="{FF2B5EF4-FFF2-40B4-BE49-F238E27FC236}">
              <a16:creationId xmlns:a16="http://schemas.microsoft.com/office/drawing/2014/main" id="{2B7F3FA4-0FCF-AD9A-75F7-FD525EB7FEFF}"/>
            </a:ext>
          </a:extLst>
        </xdr:cNvPr>
        <xdr:cNvGrpSpPr/>
      </xdr:nvGrpSpPr>
      <xdr:grpSpPr>
        <a:xfrm>
          <a:off x="5486400" y="1360170"/>
          <a:ext cx="1638300" cy="735329"/>
          <a:chOff x="5743575" y="1190625"/>
          <a:chExt cx="1638300" cy="742949"/>
        </a:xfrm>
      </xdr:grpSpPr>
      <xdr:sp macro="" textlink="">
        <xdr:nvSpPr>
          <xdr:cNvPr id="7" name="TextBox 6">
            <a:extLst>
              <a:ext uri="{FF2B5EF4-FFF2-40B4-BE49-F238E27FC236}">
                <a16:creationId xmlns:a16="http://schemas.microsoft.com/office/drawing/2014/main" id="{4D2514D6-C115-4A21-BC79-5814DA86E740}"/>
              </a:ext>
            </a:extLst>
          </xdr:cNvPr>
          <xdr:cNvSpPr txBox="1"/>
        </xdr:nvSpPr>
        <xdr:spPr>
          <a:xfrm>
            <a:off x="5743575" y="1190625"/>
            <a:ext cx="1638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solidFill>
                <a:latin typeface="Abadi" panose="020B0604020202020204" pitchFamily="34" charset="0"/>
                <a:cs typeface="Noto Kufi Arabic" panose="020B0506030804020204" pitchFamily="34" charset="0"/>
              </a:rPr>
              <a:t>Highest </a:t>
            </a:r>
          </a:p>
          <a:p>
            <a:pPr algn="ctr"/>
            <a:r>
              <a:rPr lang="en-US" sz="800" b="0">
                <a:solidFill>
                  <a:schemeClr val="bg1">
                    <a:lumMod val="50000"/>
                  </a:schemeClr>
                </a:solidFill>
                <a:latin typeface="Abadi" panose="020B0604020202020204" pitchFamily="34" charset="0"/>
                <a:cs typeface="Noto Kufi Arabic" panose="020B0506030804020204" pitchFamily="34" charset="0"/>
              </a:rPr>
              <a:t>Monthly</a:t>
            </a:r>
            <a:r>
              <a:rPr lang="en-US" sz="800" b="0" baseline="0">
                <a:solidFill>
                  <a:schemeClr val="bg1">
                    <a:lumMod val="50000"/>
                  </a:schemeClr>
                </a:solidFill>
                <a:latin typeface="Abadi" panose="020B0604020202020204" pitchFamily="34" charset="0"/>
                <a:cs typeface="Noto Kufi Arabic" panose="020B0506030804020204" pitchFamily="34" charset="0"/>
              </a:rPr>
              <a:t> Revenue</a:t>
            </a:r>
            <a:endParaRPr lang="en-US" sz="600" b="0">
              <a:solidFill>
                <a:schemeClr val="bg1">
                  <a:lumMod val="50000"/>
                </a:schemeClr>
              </a:solidFill>
              <a:latin typeface="Abadi" panose="020B0604020202020204" pitchFamily="34" charset="0"/>
              <a:cs typeface="Noto Kufi Arabic" panose="020B0506030804020204" pitchFamily="34" charset="0"/>
            </a:endParaRPr>
          </a:p>
        </xdr:txBody>
      </xdr:sp>
      <xdr:sp macro="" textlink="'Pivot Tables'!Z5">
        <xdr:nvSpPr>
          <xdr:cNvPr id="12" name="TextBox 11">
            <a:extLst>
              <a:ext uri="{FF2B5EF4-FFF2-40B4-BE49-F238E27FC236}">
                <a16:creationId xmlns:a16="http://schemas.microsoft.com/office/drawing/2014/main" id="{D409C5C2-B114-4DCD-A839-F00DC49CCED6}"/>
              </a:ext>
            </a:extLst>
          </xdr:cNvPr>
          <xdr:cNvSpPr txBox="1"/>
        </xdr:nvSpPr>
        <xdr:spPr>
          <a:xfrm>
            <a:off x="6000750" y="1619249"/>
            <a:ext cx="13144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68347D-D900-4244-BF16-B82C3DDAB038}" type="TxLink">
              <a:rPr lang="en-US" sz="1100" b="0" i="0" u="none" strike="noStrike">
                <a:solidFill>
                  <a:schemeClr val="tx1">
                    <a:lumMod val="65000"/>
                    <a:lumOff val="35000"/>
                  </a:schemeClr>
                </a:solidFill>
                <a:latin typeface="Abadi" panose="020B0604020104020204" pitchFamily="34" charset="0"/>
                <a:cs typeface="Arial"/>
              </a:rPr>
              <a:pPr algn="ctr"/>
              <a:t> 3.809.000.000 </a:t>
            </a:fld>
            <a:endParaRPr lang="en-US" sz="800" b="0">
              <a:solidFill>
                <a:schemeClr val="tx1">
                  <a:lumMod val="65000"/>
                  <a:lumOff val="35000"/>
                </a:schemeClr>
              </a:solidFill>
              <a:latin typeface="Abadi" panose="020B0604020104020204" pitchFamily="34" charset="0"/>
              <a:cs typeface="Noto Kufi Arabic" panose="020B0506030804020204" pitchFamily="34" charset="0"/>
            </a:endParaRPr>
          </a:p>
        </xdr:txBody>
      </xdr:sp>
    </xdr:grpSp>
    <xdr:clientData/>
  </xdr:twoCellAnchor>
  <xdr:twoCellAnchor editAs="absolute">
    <xdr:from>
      <xdr:col>10</xdr:col>
      <xdr:colOff>138113</xdr:colOff>
      <xdr:row>6</xdr:row>
      <xdr:rowOff>171450</xdr:rowOff>
    </xdr:from>
    <xdr:to>
      <xdr:col>12</xdr:col>
      <xdr:colOff>404813</xdr:colOff>
      <xdr:row>10</xdr:row>
      <xdr:rowOff>114299</xdr:rowOff>
    </xdr:to>
    <xdr:grpSp>
      <xdr:nvGrpSpPr>
        <xdr:cNvPr id="19" name="Group 18">
          <a:extLst>
            <a:ext uri="{FF2B5EF4-FFF2-40B4-BE49-F238E27FC236}">
              <a16:creationId xmlns:a16="http://schemas.microsoft.com/office/drawing/2014/main" id="{F2F43E1D-B41D-4911-8871-21F5703982F7}"/>
            </a:ext>
          </a:extLst>
        </xdr:cNvPr>
        <xdr:cNvGrpSpPr/>
      </xdr:nvGrpSpPr>
      <xdr:grpSpPr>
        <a:xfrm>
          <a:off x="6996113" y="1360170"/>
          <a:ext cx="1638300" cy="735329"/>
          <a:chOff x="5743575" y="1190625"/>
          <a:chExt cx="1638300" cy="742949"/>
        </a:xfrm>
      </xdr:grpSpPr>
      <xdr:sp macro="" textlink="">
        <xdr:nvSpPr>
          <xdr:cNvPr id="39" name="TextBox 38">
            <a:extLst>
              <a:ext uri="{FF2B5EF4-FFF2-40B4-BE49-F238E27FC236}">
                <a16:creationId xmlns:a16="http://schemas.microsoft.com/office/drawing/2014/main" id="{81D84771-173F-0D8E-8C3C-3EF0CF6F272A}"/>
              </a:ext>
            </a:extLst>
          </xdr:cNvPr>
          <xdr:cNvSpPr txBox="1"/>
        </xdr:nvSpPr>
        <xdr:spPr>
          <a:xfrm>
            <a:off x="5743575" y="1190625"/>
            <a:ext cx="1638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solidFill>
                <a:latin typeface="Abadi" panose="020B0604020202020204" pitchFamily="34" charset="0"/>
                <a:cs typeface="Noto Kufi Arabic" panose="020B0506030804020204" pitchFamily="34" charset="0"/>
              </a:rPr>
              <a:t>Average </a:t>
            </a:r>
          </a:p>
          <a:p>
            <a:pPr algn="ctr"/>
            <a:r>
              <a:rPr lang="en-US" sz="800" b="0">
                <a:solidFill>
                  <a:schemeClr val="bg1">
                    <a:lumMod val="50000"/>
                  </a:schemeClr>
                </a:solidFill>
                <a:latin typeface="Abadi" panose="020B0604020202020204" pitchFamily="34" charset="0"/>
                <a:cs typeface="Noto Kufi Arabic" panose="020B0506030804020204" pitchFamily="34" charset="0"/>
              </a:rPr>
              <a:t>Monthly</a:t>
            </a:r>
            <a:r>
              <a:rPr lang="en-US" sz="800" b="0" baseline="0">
                <a:solidFill>
                  <a:schemeClr val="bg1">
                    <a:lumMod val="50000"/>
                  </a:schemeClr>
                </a:solidFill>
                <a:latin typeface="Abadi" panose="020B0604020202020204" pitchFamily="34" charset="0"/>
                <a:cs typeface="Noto Kufi Arabic" panose="020B0506030804020204" pitchFamily="34" charset="0"/>
              </a:rPr>
              <a:t> Revenue</a:t>
            </a:r>
            <a:endParaRPr lang="en-US" sz="600" b="0">
              <a:solidFill>
                <a:schemeClr val="bg1">
                  <a:lumMod val="50000"/>
                </a:schemeClr>
              </a:solidFill>
              <a:latin typeface="Abadi" panose="020B0604020202020204" pitchFamily="34" charset="0"/>
              <a:cs typeface="Noto Kufi Arabic" panose="020B0506030804020204" pitchFamily="34" charset="0"/>
            </a:endParaRPr>
          </a:p>
        </xdr:txBody>
      </xdr:sp>
      <xdr:sp macro="" textlink="'Pivot Tables'!Z6">
        <xdr:nvSpPr>
          <xdr:cNvPr id="40" name="TextBox 39">
            <a:extLst>
              <a:ext uri="{FF2B5EF4-FFF2-40B4-BE49-F238E27FC236}">
                <a16:creationId xmlns:a16="http://schemas.microsoft.com/office/drawing/2014/main" id="{FA0BC503-782E-5DB4-4FF9-DF54024B2246}"/>
              </a:ext>
            </a:extLst>
          </xdr:cNvPr>
          <xdr:cNvSpPr txBox="1"/>
        </xdr:nvSpPr>
        <xdr:spPr>
          <a:xfrm>
            <a:off x="6000750" y="1619249"/>
            <a:ext cx="13144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1BEA8B-CA4F-4102-BB92-AB6F2D0DEA0C}" type="TxLink">
              <a:rPr lang="en-US" sz="1100" b="0" i="0" u="none" strike="noStrike">
                <a:solidFill>
                  <a:schemeClr val="tx1">
                    <a:lumMod val="65000"/>
                    <a:lumOff val="35000"/>
                  </a:schemeClr>
                </a:solidFill>
                <a:latin typeface="Abadi" panose="020B0604020104020204" pitchFamily="34" charset="0"/>
                <a:cs typeface="Arial"/>
              </a:rPr>
              <a:pPr algn="ctr"/>
              <a:t> 1.332.500.000 </a:t>
            </a:fld>
            <a:endParaRPr lang="en-US" sz="800" b="0">
              <a:solidFill>
                <a:schemeClr val="tx1">
                  <a:lumMod val="65000"/>
                  <a:lumOff val="35000"/>
                </a:schemeClr>
              </a:solidFill>
              <a:latin typeface="Abadi" panose="020B0604020104020204" pitchFamily="34" charset="0"/>
              <a:cs typeface="Noto Kufi Arabic" panose="020B0506030804020204" pitchFamily="34" charset="0"/>
            </a:endParaRPr>
          </a:p>
        </xdr:txBody>
      </xdr:sp>
    </xdr:grpSp>
    <xdr:clientData/>
  </xdr:twoCellAnchor>
  <xdr:twoCellAnchor editAs="absolute">
    <xdr:from>
      <xdr:col>12</xdr:col>
      <xdr:colOff>276225</xdr:colOff>
      <xdr:row>6</xdr:row>
      <xdr:rowOff>180975</xdr:rowOff>
    </xdr:from>
    <xdr:to>
      <xdr:col>14</xdr:col>
      <xdr:colOff>542925</xdr:colOff>
      <xdr:row>10</xdr:row>
      <xdr:rowOff>123824</xdr:rowOff>
    </xdr:to>
    <xdr:grpSp>
      <xdr:nvGrpSpPr>
        <xdr:cNvPr id="41" name="Group 40">
          <a:extLst>
            <a:ext uri="{FF2B5EF4-FFF2-40B4-BE49-F238E27FC236}">
              <a16:creationId xmlns:a16="http://schemas.microsoft.com/office/drawing/2014/main" id="{F05EC6C6-6F67-486D-85B7-0FB7245CFE15}"/>
            </a:ext>
          </a:extLst>
        </xdr:cNvPr>
        <xdr:cNvGrpSpPr/>
      </xdr:nvGrpSpPr>
      <xdr:grpSpPr>
        <a:xfrm>
          <a:off x="8505825" y="1369695"/>
          <a:ext cx="1638300" cy="735329"/>
          <a:chOff x="5743575" y="1190625"/>
          <a:chExt cx="1638300" cy="742949"/>
        </a:xfrm>
      </xdr:grpSpPr>
      <xdr:sp macro="" textlink="">
        <xdr:nvSpPr>
          <xdr:cNvPr id="42" name="TextBox 41">
            <a:extLst>
              <a:ext uri="{FF2B5EF4-FFF2-40B4-BE49-F238E27FC236}">
                <a16:creationId xmlns:a16="http://schemas.microsoft.com/office/drawing/2014/main" id="{6735C3D3-FA39-69ED-EAA7-ABB9B2245F0F}"/>
              </a:ext>
            </a:extLst>
          </xdr:cNvPr>
          <xdr:cNvSpPr txBox="1"/>
        </xdr:nvSpPr>
        <xdr:spPr>
          <a:xfrm>
            <a:off x="5743575" y="1190625"/>
            <a:ext cx="1638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solidFill>
                <a:latin typeface="Abadi" panose="020B0604020202020204" pitchFamily="34" charset="0"/>
                <a:cs typeface="Noto Kufi Arabic" panose="020B0506030804020204" pitchFamily="34" charset="0"/>
              </a:rPr>
              <a:t>Lowest </a:t>
            </a:r>
          </a:p>
          <a:p>
            <a:pPr algn="ctr"/>
            <a:r>
              <a:rPr lang="en-US" sz="800" b="0">
                <a:solidFill>
                  <a:schemeClr val="bg1">
                    <a:lumMod val="50000"/>
                  </a:schemeClr>
                </a:solidFill>
                <a:latin typeface="Abadi" panose="020B0604020202020204" pitchFamily="34" charset="0"/>
                <a:cs typeface="Noto Kufi Arabic" panose="020B0506030804020204" pitchFamily="34" charset="0"/>
              </a:rPr>
              <a:t>Monthly</a:t>
            </a:r>
            <a:r>
              <a:rPr lang="en-US" sz="800" b="0" baseline="0">
                <a:solidFill>
                  <a:schemeClr val="bg1">
                    <a:lumMod val="50000"/>
                  </a:schemeClr>
                </a:solidFill>
                <a:latin typeface="Abadi" panose="020B0604020202020204" pitchFamily="34" charset="0"/>
                <a:cs typeface="Noto Kufi Arabic" panose="020B0506030804020204" pitchFamily="34" charset="0"/>
              </a:rPr>
              <a:t> Revenue</a:t>
            </a:r>
            <a:endParaRPr lang="en-US" sz="600" b="0">
              <a:solidFill>
                <a:schemeClr val="bg1">
                  <a:lumMod val="50000"/>
                </a:schemeClr>
              </a:solidFill>
              <a:latin typeface="Abadi" panose="020B0604020202020204" pitchFamily="34" charset="0"/>
              <a:cs typeface="Noto Kufi Arabic" panose="020B0506030804020204" pitchFamily="34" charset="0"/>
            </a:endParaRPr>
          </a:p>
        </xdr:txBody>
      </xdr:sp>
      <xdr:sp macro="" textlink="'Pivot Tables'!Z7">
        <xdr:nvSpPr>
          <xdr:cNvPr id="43" name="TextBox 42">
            <a:extLst>
              <a:ext uri="{FF2B5EF4-FFF2-40B4-BE49-F238E27FC236}">
                <a16:creationId xmlns:a16="http://schemas.microsoft.com/office/drawing/2014/main" id="{81FD950B-B0D5-D470-2C95-A6CBBE420EFA}"/>
              </a:ext>
            </a:extLst>
          </xdr:cNvPr>
          <xdr:cNvSpPr txBox="1"/>
        </xdr:nvSpPr>
        <xdr:spPr>
          <a:xfrm>
            <a:off x="6000750" y="1619249"/>
            <a:ext cx="13144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2B1261-66D1-4DB4-8D64-9E0BBC367099}" type="TxLink">
              <a:rPr lang="en-US" sz="1100" b="0" i="0" u="none" strike="noStrike">
                <a:solidFill>
                  <a:schemeClr val="tx1">
                    <a:lumMod val="65000"/>
                    <a:lumOff val="35000"/>
                  </a:schemeClr>
                </a:solidFill>
                <a:latin typeface="Abadi" panose="020B0604020104020204" pitchFamily="34" charset="0"/>
                <a:cs typeface="Arial"/>
              </a:rPr>
              <a:pPr algn="ctr"/>
              <a:t> 116.000.000 </a:t>
            </a:fld>
            <a:endParaRPr lang="en-US" sz="800" b="0">
              <a:solidFill>
                <a:schemeClr val="tx1">
                  <a:lumMod val="65000"/>
                  <a:lumOff val="35000"/>
                </a:schemeClr>
              </a:solidFill>
              <a:latin typeface="Abadi" panose="020B0604020104020204" pitchFamily="34" charset="0"/>
              <a:cs typeface="Noto Kufi Arabic" panose="020B0506030804020204" pitchFamily="34" charset="0"/>
            </a:endParaRPr>
          </a:p>
        </xdr:txBody>
      </xdr:sp>
    </xdr:grpSp>
    <xdr:clientData/>
  </xdr:twoCellAnchor>
  <xdr:twoCellAnchor editAs="absolute">
    <xdr:from>
      <xdr:col>8</xdr:col>
      <xdr:colOff>390525</xdr:colOff>
      <xdr:row>7</xdr:row>
      <xdr:rowOff>76200</xdr:rowOff>
    </xdr:from>
    <xdr:to>
      <xdr:col>8</xdr:col>
      <xdr:colOff>542925</xdr:colOff>
      <xdr:row>8</xdr:row>
      <xdr:rowOff>28575</xdr:rowOff>
    </xdr:to>
    <xdr:pic>
      <xdr:nvPicPr>
        <xdr:cNvPr id="45" name="Graphic 44" descr="Caret Up with solid fill">
          <a:extLst>
            <a:ext uri="{FF2B5EF4-FFF2-40B4-BE49-F238E27FC236}">
              <a16:creationId xmlns:a16="http://schemas.microsoft.com/office/drawing/2014/main" id="{C12E54E0-42A3-B878-E8BA-297F28CFCFF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876925" y="1476375"/>
          <a:ext cx="152400" cy="152400"/>
        </a:xfrm>
        <a:prstGeom prst="rect">
          <a:avLst/>
        </a:prstGeom>
      </xdr:spPr>
    </xdr:pic>
    <xdr:clientData/>
  </xdr:twoCellAnchor>
  <xdr:twoCellAnchor editAs="absolute">
    <xdr:from>
      <xdr:col>11</xdr:col>
      <xdr:colOff>666749</xdr:colOff>
      <xdr:row>7</xdr:row>
      <xdr:rowOff>114300</xdr:rowOff>
    </xdr:from>
    <xdr:to>
      <xdr:col>12</xdr:col>
      <xdr:colOff>219074</xdr:colOff>
      <xdr:row>8</xdr:row>
      <xdr:rowOff>152400</xdr:rowOff>
    </xdr:to>
    <xdr:pic>
      <xdr:nvPicPr>
        <xdr:cNvPr id="49" name="Graphic 48" descr="Normal Distribution with solid fill">
          <a:extLst>
            <a:ext uri="{FF2B5EF4-FFF2-40B4-BE49-F238E27FC236}">
              <a16:creationId xmlns:a16="http://schemas.microsoft.com/office/drawing/2014/main" id="{DD16CA8E-16CF-43F4-4969-0BB028EA93E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210549" y="1514475"/>
          <a:ext cx="238125" cy="238125"/>
        </a:xfrm>
        <a:prstGeom prst="rect">
          <a:avLst/>
        </a:prstGeom>
      </xdr:spPr>
    </xdr:pic>
    <xdr:clientData/>
  </xdr:twoCellAnchor>
  <xdr:twoCellAnchor editAs="absolute">
    <xdr:from>
      <xdr:col>12</xdr:col>
      <xdr:colOff>657225</xdr:colOff>
      <xdr:row>7</xdr:row>
      <xdr:rowOff>104775</xdr:rowOff>
    </xdr:from>
    <xdr:to>
      <xdr:col>13</xdr:col>
      <xdr:colOff>142874</xdr:colOff>
      <xdr:row>8</xdr:row>
      <xdr:rowOff>76199</xdr:rowOff>
    </xdr:to>
    <xdr:pic>
      <xdr:nvPicPr>
        <xdr:cNvPr id="50" name="Graphic 49" descr="Caret Up with solid fill">
          <a:extLst>
            <a:ext uri="{FF2B5EF4-FFF2-40B4-BE49-F238E27FC236}">
              <a16:creationId xmlns:a16="http://schemas.microsoft.com/office/drawing/2014/main" id="{53F27C55-29BF-4D21-9BD5-C867775C735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flipV="1">
          <a:off x="8886825" y="1504950"/>
          <a:ext cx="171449" cy="171449"/>
        </a:xfrm>
        <a:prstGeom prst="rect">
          <a:avLst/>
        </a:prstGeom>
      </xdr:spPr>
    </xdr:pic>
    <xdr:clientData/>
  </xdr:twoCellAnchor>
  <xdr:twoCellAnchor editAs="absolute">
    <xdr:from>
      <xdr:col>15</xdr:col>
      <xdr:colOff>174174</xdr:colOff>
      <xdr:row>1</xdr:row>
      <xdr:rowOff>47625</xdr:rowOff>
    </xdr:from>
    <xdr:to>
      <xdr:col>18</xdr:col>
      <xdr:colOff>117025</xdr:colOff>
      <xdr:row>11</xdr:row>
      <xdr:rowOff>104774</xdr:rowOff>
    </xdr:to>
    <xdr:sp macro="" textlink="">
      <xdr:nvSpPr>
        <xdr:cNvPr id="51" name="Rectangle: Rounded Corners 50">
          <a:extLst>
            <a:ext uri="{FF2B5EF4-FFF2-40B4-BE49-F238E27FC236}">
              <a16:creationId xmlns:a16="http://schemas.microsoft.com/office/drawing/2014/main" id="{84F6AE57-545C-435E-8E48-21D03A9B36A0}"/>
            </a:ext>
          </a:extLst>
        </xdr:cNvPr>
        <xdr:cNvSpPr/>
      </xdr:nvSpPr>
      <xdr:spPr>
        <a:xfrm>
          <a:off x="10461174" y="247650"/>
          <a:ext cx="2000251" cy="2057399"/>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16</xdr:col>
      <xdr:colOff>419101</xdr:colOff>
      <xdr:row>2</xdr:row>
      <xdr:rowOff>19050</xdr:rowOff>
    </xdr:from>
    <xdr:to>
      <xdr:col>17</xdr:col>
      <xdr:colOff>666751</xdr:colOff>
      <xdr:row>3</xdr:row>
      <xdr:rowOff>76200</xdr:rowOff>
    </xdr:to>
    <xdr:sp macro="" textlink="">
      <xdr:nvSpPr>
        <xdr:cNvPr id="44" name="TextBox 43">
          <a:extLst>
            <a:ext uri="{FF2B5EF4-FFF2-40B4-BE49-F238E27FC236}">
              <a16:creationId xmlns:a16="http://schemas.microsoft.com/office/drawing/2014/main" id="{02D32B7B-2056-1DF6-B1F1-8A1585DFBB6D}"/>
            </a:ext>
          </a:extLst>
        </xdr:cNvPr>
        <xdr:cNvSpPr txBox="1"/>
      </xdr:nvSpPr>
      <xdr:spPr>
        <a:xfrm>
          <a:off x="11391901" y="419100"/>
          <a:ext cx="933450"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latin typeface="Abadi" panose="020B0604020104020204" pitchFamily="34" charset="0"/>
            </a:rPr>
            <a:t>Total Paid</a:t>
          </a:r>
        </a:p>
      </xdr:txBody>
    </xdr:sp>
    <xdr:clientData/>
  </xdr:twoCellAnchor>
  <xdr:twoCellAnchor editAs="absolute">
    <xdr:from>
      <xdr:col>15</xdr:col>
      <xdr:colOff>140382</xdr:colOff>
      <xdr:row>1</xdr:row>
      <xdr:rowOff>104774</xdr:rowOff>
    </xdr:from>
    <xdr:to>
      <xdr:col>16</xdr:col>
      <xdr:colOff>340407</xdr:colOff>
      <xdr:row>6</xdr:row>
      <xdr:rowOff>66674</xdr:rowOff>
    </xdr:to>
    <xdr:graphicFrame macro="">
      <xdr:nvGraphicFramePr>
        <xdr:cNvPr id="46" name="Chart 45">
          <a:extLst>
            <a:ext uri="{FF2B5EF4-FFF2-40B4-BE49-F238E27FC236}">
              <a16:creationId xmlns:a16="http://schemas.microsoft.com/office/drawing/2014/main" id="{7949E3B4-5354-47BF-B056-2B6FEED6B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15</xdr:col>
      <xdr:colOff>159544</xdr:colOff>
      <xdr:row>6</xdr:row>
      <xdr:rowOff>85725</xdr:rowOff>
    </xdr:from>
    <xdr:to>
      <xdr:col>16</xdr:col>
      <xdr:colOff>359344</xdr:colOff>
      <xdr:row>11</xdr:row>
      <xdr:rowOff>46800</xdr:rowOff>
    </xdr:to>
    <xdr:graphicFrame macro="">
      <xdr:nvGraphicFramePr>
        <xdr:cNvPr id="52" name="Chart 51">
          <a:extLst>
            <a:ext uri="{FF2B5EF4-FFF2-40B4-BE49-F238E27FC236}">
              <a16:creationId xmlns:a16="http://schemas.microsoft.com/office/drawing/2014/main" id="{9ADB74E3-F38F-4BE9-9EBB-C6059DB9B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15</xdr:col>
      <xdr:colOff>228600</xdr:colOff>
      <xdr:row>6</xdr:row>
      <xdr:rowOff>85725</xdr:rowOff>
    </xdr:from>
    <xdr:to>
      <xdr:col>18</xdr:col>
      <xdr:colOff>0</xdr:colOff>
      <xdr:row>6</xdr:row>
      <xdr:rowOff>95250</xdr:rowOff>
    </xdr:to>
    <xdr:cxnSp macro="">
      <xdr:nvCxnSpPr>
        <xdr:cNvPr id="54" name="Straight Connector 53">
          <a:extLst>
            <a:ext uri="{FF2B5EF4-FFF2-40B4-BE49-F238E27FC236}">
              <a16:creationId xmlns:a16="http://schemas.microsoft.com/office/drawing/2014/main" id="{EE0A00A2-88A9-F61C-4D11-12AB5489A10B}"/>
            </a:ext>
          </a:extLst>
        </xdr:cNvPr>
        <xdr:cNvCxnSpPr/>
      </xdr:nvCxnSpPr>
      <xdr:spPr>
        <a:xfrm flipV="1">
          <a:off x="10515600" y="1285875"/>
          <a:ext cx="1828800" cy="9525"/>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16</xdr:col>
      <xdr:colOff>419100</xdr:colOff>
      <xdr:row>3</xdr:row>
      <xdr:rowOff>161925</xdr:rowOff>
    </xdr:from>
    <xdr:to>
      <xdr:col>17</xdr:col>
      <xdr:colOff>619125</xdr:colOff>
      <xdr:row>5</xdr:row>
      <xdr:rowOff>66675</xdr:rowOff>
    </xdr:to>
    <xdr:sp macro="" textlink="'Pivot Tables'!AD11">
      <xdr:nvSpPr>
        <xdr:cNvPr id="55" name="TextBox 54">
          <a:extLst>
            <a:ext uri="{FF2B5EF4-FFF2-40B4-BE49-F238E27FC236}">
              <a16:creationId xmlns:a16="http://schemas.microsoft.com/office/drawing/2014/main" id="{CB010D82-DC65-44F3-A7AE-94534CB01B20}"/>
            </a:ext>
          </a:extLst>
        </xdr:cNvPr>
        <xdr:cNvSpPr txBox="1"/>
      </xdr:nvSpPr>
      <xdr:spPr>
        <a:xfrm>
          <a:off x="11391900" y="762000"/>
          <a:ext cx="8858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6A61AF7-3FE5-4DCD-AF15-5E6DAA08203F}" type="TxLink">
            <a:rPr lang="en-US" sz="1200" b="0" i="0" u="none" strike="noStrike">
              <a:solidFill>
                <a:srgbClr val="000000"/>
              </a:solidFill>
              <a:latin typeface="Abadi" panose="020B0604020104020204" pitchFamily="34" charset="0"/>
              <a:cs typeface="Arial"/>
            </a:rPr>
            <a:pPr algn="l"/>
            <a:t>926</a:t>
          </a:fld>
          <a:endParaRPr lang="en-US" sz="1200">
            <a:latin typeface="Abadi" panose="020B0604020104020204" pitchFamily="34" charset="0"/>
          </a:endParaRPr>
        </a:p>
      </xdr:txBody>
    </xdr:sp>
    <xdr:clientData/>
  </xdr:twoCellAnchor>
  <xdr:twoCellAnchor editAs="absolute">
    <xdr:from>
      <xdr:col>16</xdr:col>
      <xdr:colOff>419100</xdr:colOff>
      <xdr:row>5</xdr:row>
      <xdr:rowOff>28575</xdr:rowOff>
    </xdr:from>
    <xdr:to>
      <xdr:col>18</xdr:col>
      <xdr:colOff>123825</xdr:colOff>
      <xdr:row>6</xdr:row>
      <xdr:rowOff>133350</xdr:rowOff>
    </xdr:to>
    <xdr:sp macro="" textlink="">
      <xdr:nvSpPr>
        <xdr:cNvPr id="56" name="TextBox 55">
          <a:extLst>
            <a:ext uri="{FF2B5EF4-FFF2-40B4-BE49-F238E27FC236}">
              <a16:creationId xmlns:a16="http://schemas.microsoft.com/office/drawing/2014/main" id="{481F6A2D-300A-454E-AA81-938C8E49DF8A}"/>
            </a:ext>
          </a:extLst>
        </xdr:cNvPr>
        <xdr:cNvSpPr txBox="1"/>
      </xdr:nvSpPr>
      <xdr:spPr>
        <a:xfrm>
          <a:off x="11391900" y="1028700"/>
          <a:ext cx="1076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a:solidFill>
                <a:schemeClr val="bg2">
                  <a:lumMod val="50000"/>
                </a:schemeClr>
              </a:solidFill>
              <a:latin typeface="Abadi" panose="020B0604020104020204" pitchFamily="34" charset="0"/>
            </a:rPr>
            <a:t>Calls</a:t>
          </a:r>
          <a:endParaRPr lang="en-US" sz="1100">
            <a:solidFill>
              <a:schemeClr val="bg2">
                <a:lumMod val="50000"/>
              </a:schemeClr>
            </a:solidFill>
            <a:latin typeface="Abadi" panose="020B0604020104020204" pitchFamily="34" charset="0"/>
          </a:endParaRPr>
        </a:p>
      </xdr:txBody>
    </xdr:sp>
    <xdr:clientData/>
  </xdr:twoCellAnchor>
  <xdr:twoCellAnchor editAs="absolute">
    <xdr:from>
      <xdr:col>15</xdr:col>
      <xdr:colOff>304800</xdr:colOff>
      <xdr:row>3</xdr:row>
      <xdr:rowOff>57150</xdr:rowOff>
    </xdr:from>
    <xdr:to>
      <xdr:col>16</xdr:col>
      <xdr:colOff>171449</xdr:colOff>
      <xdr:row>4</xdr:row>
      <xdr:rowOff>47625</xdr:rowOff>
    </xdr:to>
    <xdr:sp macro="" textlink="'Pivot Tables'!AE11">
      <xdr:nvSpPr>
        <xdr:cNvPr id="57" name="TextBox 56">
          <a:extLst>
            <a:ext uri="{FF2B5EF4-FFF2-40B4-BE49-F238E27FC236}">
              <a16:creationId xmlns:a16="http://schemas.microsoft.com/office/drawing/2014/main" id="{2B1D1D83-CDB1-43F9-98B5-C5861540F9A2}"/>
            </a:ext>
          </a:extLst>
        </xdr:cNvPr>
        <xdr:cNvSpPr txBox="1"/>
      </xdr:nvSpPr>
      <xdr:spPr>
        <a:xfrm>
          <a:off x="10591800" y="657225"/>
          <a:ext cx="55244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FCAA88-E540-496D-9DEE-21B22DC098D7}" type="TxLink">
            <a:rPr lang="en-US" sz="1100" b="0" i="0" u="none" strike="noStrike">
              <a:solidFill>
                <a:srgbClr val="000000"/>
              </a:solidFill>
              <a:latin typeface="Arial"/>
              <a:cs typeface="Arial"/>
            </a:rPr>
            <a:pPr algn="ctr"/>
            <a:t>75%</a:t>
          </a:fld>
          <a:endParaRPr lang="en-US" sz="1100">
            <a:latin typeface="Abadi" panose="020B0604020104020204" pitchFamily="34" charset="0"/>
          </a:endParaRPr>
        </a:p>
      </xdr:txBody>
    </xdr:sp>
    <xdr:clientData/>
  </xdr:twoCellAnchor>
  <xdr:twoCellAnchor editAs="absolute">
    <xdr:from>
      <xdr:col>16</xdr:col>
      <xdr:colOff>400050</xdr:colOff>
      <xdr:row>6</xdr:row>
      <xdr:rowOff>142875</xdr:rowOff>
    </xdr:from>
    <xdr:to>
      <xdr:col>18</xdr:col>
      <xdr:colOff>104775</xdr:colOff>
      <xdr:row>8</xdr:row>
      <xdr:rowOff>47625</xdr:rowOff>
    </xdr:to>
    <xdr:sp macro="" textlink="">
      <xdr:nvSpPr>
        <xdr:cNvPr id="58" name="TextBox 57">
          <a:extLst>
            <a:ext uri="{FF2B5EF4-FFF2-40B4-BE49-F238E27FC236}">
              <a16:creationId xmlns:a16="http://schemas.microsoft.com/office/drawing/2014/main" id="{A0BFACCC-D268-4A34-B3C1-A820BCFBB432}"/>
            </a:ext>
          </a:extLst>
        </xdr:cNvPr>
        <xdr:cNvSpPr txBox="1"/>
      </xdr:nvSpPr>
      <xdr:spPr>
        <a:xfrm>
          <a:off x="11372850" y="1343025"/>
          <a:ext cx="107632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latin typeface="Abadi" panose="020B0604020104020204" pitchFamily="34" charset="0"/>
            </a:rPr>
            <a:t>Total Unpaid</a:t>
          </a:r>
        </a:p>
      </xdr:txBody>
    </xdr:sp>
    <xdr:clientData/>
  </xdr:twoCellAnchor>
  <xdr:twoCellAnchor editAs="absolute">
    <xdr:from>
      <xdr:col>16</xdr:col>
      <xdr:colOff>400050</xdr:colOff>
      <xdr:row>8</xdr:row>
      <xdr:rowOff>76200</xdr:rowOff>
    </xdr:from>
    <xdr:to>
      <xdr:col>18</xdr:col>
      <xdr:colOff>104775</xdr:colOff>
      <xdr:row>9</xdr:row>
      <xdr:rowOff>180975</xdr:rowOff>
    </xdr:to>
    <xdr:sp macro="" textlink="'Pivot Tables'!AD10">
      <xdr:nvSpPr>
        <xdr:cNvPr id="59" name="TextBox 58">
          <a:extLst>
            <a:ext uri="{FF2B5EF4-FFF2-40B4-BE49-F238E27FC236}">
              <a16:creationId xmlns:a16="http://schemas.microsoft.com/office/drawing/2014/main" id="{C6AC6063-5AB7-41A3-BEB6-8A176605E937}"/>
            </a:ext>
          </a:extLst>
        </xdr:cNvPr>
        <xdr:cNvSpPr txBox="1"/>
      </xdr:nvSpPr>
      <xdr:spPr>
        <a:xfrm>
          <a:off x="11372850" y="1676400"/>
          <a:ext cx="1076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FF40272-C42C-433D-A473-1425E2ADA097}" type="TxLink">
            <a:rPr lang="en-US" sz="1200" b="0" i="0" u="none" strike="noStrike">
              <a:solidFill>
                <a:srgbClr val="000000"/>
              </a:solidFill>
              <a:latin typeface="Abadi" panose="020B0604020104020204" pitchFamily="34" charset="0"/>
              <a:cs typeface="Arial"/>
            </a:rPr>
            <a:pPr algn="l"/>
            <a:t>311</a:t>
          </a:fld>
          <a:endParaRPr lang="en-US" sz="1200">
            <a:latin typeface="Abadi" panose="020B0604020104020204" pitchFamily="34" charset="0"/>
          </a:endParaRPr>
        </a:p>
      </xdr:txBody>
    </xdr:sp>
    <xdr:clientData/>
  </xdr:twoCellAnchor>
  <xdr:twoCellAnchor editAs="absolute">
    <xdr:from>
      <xdr:col>16</xdr:col>
      <xdr:colOff>400050</xdr:colOff>
      <xdr:row>9</xdr:row>
      <xdr:rowOff>152400</xdr:rowOff>
    </xdr:from>
    <xdr:to>
      <xdr:col>18</xdr:col>
      <xdr:colOff>104775</xdr:colOff>
      <xdr:row>11</xdr:row>
      <xdr:rowOff>57150</xdr:rowOff>
    </xdr:to>
    <xdr:sp macro="" textlink="">
      <xdr:nvSpPr>
        <xdr:cNvPr id="60" name="TextBox 59">
          <a:extLst>
            <a:ext uri="{FF2B5EF4-FFF2-40B4-BE49-F238E27FC236}">
              <a16:creationId xmlns:a16="http://schemas.microsoft.com/office/drawing/2014/main" id="{CDBE3833-C578-4E02-AFFB-106A84F6BB50}"/>
            </a:ext>
          </a:extLst>
        </xdr:cNvPr>
        <xdr:cNvSpPr txBox="1"/>
      </xdr:nvSpPr>
      <xdr:spPr>
        <a:xfrm>
          <a:off x="11372850" y="1952625"/>
          <a:ext cx="1076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a:solidFill>
                <a:schemeClr val="bg2">
                  <a:lumMod val="50000"/>
                </a:schemeClr>
              </a:solidFill>
              <a:latin typeface="Abadi" panose="020B0604020104020204" pitchFamily="34" charset="0"/>
            </a:rPr>
            <a:t>Calls</a:t>
          </a:r>
          <a:endParaRPr lang="en-US" sz="1100">
            <a:solidFill>
              <a:schemeClr val="bg2">
                <a:lumMod val="50000"/>
              </a:schemeClr>
            </a:solidFill>
            <a:latin typeface="Abadi" panose="020B0604020104020204" pitchFamily="34" charset="0"/>
          </a:endParaRPr>
        </a:p>
      </xdr:txBody>
    </xdr:sp>
    <xdr:clientData/>
  </xdr:twoCellAnchor>
  <xdr:twoCellAnchor editAs="absolute">
    <xdr:from>
      <xdr:col>15</xdr:col>
      <xdr:colOff>323850</xdr:colOff>
      <xdr:row>8</xdr:row>
      <xdr:rowOff>19050</xdr:rowOff>
    </xdr:from>
    <xdr:to>
      <xdr:col>16</xdr:col>
      <xdr:colOff>190499</xdr:colOff>
      <xdr:row>9</xdr:row>
      <xdr:rowOff>9525</xdr:rowOff>
    </xdr:to>
    <xdr:sp macro="" textlink="'Pivot Tables'!AE10">
      <xdr:nvSpPr>
        <xdr:cNvPr id="62" name="TextBox 61">
          <a:extLst>
            <a:ext uri="{FF2B5EF4-FFF2-40B4-BE49-F238E27FC236}">
              <a16:creationId xmlns:a16="http://schemas.microsoft.com/office/drawing/2014/main" id="{2905417D-BE0D-4E27-AAF8-12D50A932DA5}"/>
            </a:ext>
          </a:extLst>
        </xdr:cNvPr>
        <xdr:cNvSpPr txBox="1"/>
      </xdr:nvSpPr>
      <xdr:spPr>
        <a:xfrm>
          <a:off x="10610850" y="1619250"/>
          <a:ext cx="55244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D10C4D-1F04-4055-8822-E24867A0B9E5}" type="TxLink">
            <a:rPr lang="en-US" sz="1100" b="0" i="0" u="none" strike="noStrike">
              <a:solidFill>
                <a:srgbClr val="000000"/>
              </a:solidFill>
              <a:latin typeface="Arial"/>
              <a:cs typeface="Arial"/>
            </a:rPr>
            <a:pPr algn="ctr"/>
            <a:t>25%</a:t>
          </a:fld>
          <a:endParaRPr lang="en-US" sz="1100">
            <a:latin typeface="Abadi" panose="020B0604020104020204" pitchFamily="34" charset="0"/>
          </a:endParaRPr>
        </a:p>
      </xdr:txBody>
    </xdr:sp>
    <xdr:clientData/>
  </xdr:twoCellAnchor>
  <xdr:twoCellAnchor editAs="absolute">
    <xdr:from>
      <xdr:col>20</xdr:col>
      <xdr:colOff>561975</xdr:colOff>
      <xdr:row>3</xdr:row>
      <xdr:rowOff>133350</xdr:rowOff>
    </xdr:from>
    <xdr:to>
      <xdr:col>22</xdr:col>
      <xdr:colOff>514350</xdr:colOff>
      <xdr:row>3</xdr:row>
      <xdr:rowOff>142875</xdr:rowOff>
    </xdr:to>
    <xdr:cxnSp macro="">
      <xdr:nvCxnSpPr>
        <xdr:cNvPr id="67" name="Straight Connector 66">
          <a:extLst>
            <a:ext uri="{FF2B5EF4-FFF2-40B4-BE49-F238E27FC236}">
              <a16:creationId xmlns:a16="http://schemas.microsoft.com/office/drawing/2014/main" id="{3F4521DF-18D4-F6EE-DA6D-F62FB97A2155}"/>
            </a:ext>
          </a:extLst>
        </xdr:cNvPr>
        <xdr:cNvCxnSpPr/>
      </xdr:nvCxnSpPr>
      <xdr:spPr>
        <a:xfrm flipV="1">
          <a:off x="14277975" y="733425"/>
          <a:ext cx="1323975" cy="952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absolute">
    <xdr:from>
      <xdr:col>21</xdr:col>
      <xdr:colOff>581024</xdr:colOff>
      <xdr:row>1</xdr:row>
      <xdr:rowOff>76200</xdr:rowOff>
    </xdr:from>
    <xdr:to>
      <xdr:col>26</xdr:col>
      <xdr:colOff>38099</xdr:colOff>
      <xdr:row>11</xdr:row>
      <xdr:rowOff>152400</xdr:rowOff>
    </xdr:to>
    <xdr:sp macro="" textlink="">
      <xdr:nvSpPr>
        <xdr:cNvPr id="61" name="Rectangle: Rounded Corners 60">
          <a:extLst>
            <a:ext uri="{FF2B5EF4-FFF2-40B4-BE49-F238E27FC236}">
              <a16:creationId xmlns:a16="http://schemas.microsoft.com/office/drawing/2014/main" id="{C8611BEF-0162-47F7-B9D3-8EA1563E16BC}"/>
            </a:ext>
          </a:extLst>
        </xdr:cNvPr>
        <xdr:cNvSpPr/>
      </xdr:nvSpPr>
      <xdr:spPr>
        <a:xfrm>
          <a:off x="14982824" y="276225"/>
          <a:ext cx="2886075" cy="207645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22</xdr:col>
      <xdr:colOff>9525</xdr:colOff>
      <xdr:row>5</xdr:row>
      <xdr:rowOff>95249</xdr:rowOff>
    </xdr:from>
    <xdr:to>
      <xdr:col>25</xdr:col>
      <xdr:colOff>619124</xdr:colOff>
      <xdr:row>10</xdr:row>
      <xdr:rowOff>190500</xdr:rowOff>
    </xdr:to>
    <xdr:graphicFrame macro="">
      <xdr:nvGraphicFramePr>
        <xdr:cNvPr id="66" name="Chart 65">
          <a:extLst>
            <a:ext uri="{FF2B5EF4-FFF2-40B4-BE49-F238E27FC236}">
              <a16:creationId xmlns:a16="http://schemas.microsoft.com/office/drawing/2014/main" id="{6AC35421-4E93-40CC-8967-4B0F3B70D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21</xdr:col>
      <xdr:colOff>657224</xdr:colOff>
      <xdr:row>2</xdr:row>
      <xdr:rowOff>0</xdr:rowOff>
    </xdr:from>
    <xdr:to>
      <xdr:col>24</xdr:col>
      <xdr:colOff>95249</xdr:colOff>
      <xdr:row>3</xdr:row>
      <xdr:rowOff>104775</xdr:rowOff>
    </xdr:to>
    <xdr:sp macro="" textlink="">
      <xdr:nvSpPr>
        <xdr:cNvPr id="68" name="TextBox 67">
          <a:extLst>
            <a:ext uri="{FF2B5EF4-FFF2-40B4-BE49-F238E27FC236}">
              <a16:creationId xmlns:a16="http://schemas.microsoft.com/office/drawing/2014/main" id="{32EE04CC-B264-410C-B681-AE507CE258EF}"/>
            </a:ext>
          </a:extLst>
        </xdr:cNvPr>
        <xdr:cNvSpPr txBox="1"/>
      </xdr:nvSpPr>
      <xdr:spPr>
        <a:xfrm>
          <a:off x="15059024" y="400050"/>
          <a:ext cx="14954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a:solidFill>
                <a:srgbClr val="000000"/>
              </a:solidFill>
              <a:latin typeface="Abadi" panose="020B0604020104020204" pitchFamily="34" charset="0"/>
              <a:ea typeface="+mn-ea"/>
              <a:cs typeface="Arial"/>
            </a:rPr>
            <a:t>Enrolled Courses</a:t>
          </a:r>
        </a:p>
      </xdr:txBody>
    </xdr:sp>
    <xdr:clientData/>
  </xdr:twoCellAnchor>
  <xdr:twoCellAnchor editAs="absolute">
    <xdr:from>
      <xdr:col>21</xdr:col>
      <xdr:colOff>657224</xdr:colOff>
      <xdr:row>3</xdr:row>
      <xdr:rowOff>9525</xdr:rowOff>
    </xdr:from>
    <xdr:to>
      <xdr:col>23</xdr:col>
      <xdr:colOff>476249</xdr:colOff>
      <xdr:row>4</xdr:row>
      <xdr:rowOff>114300</xdr:rowOff>
    </xdr:to>
    <xdr:sp macro="" textlink="'Pivot Tables'!AH24">
      <xdr:nvSpPr>
        <xdr:cNvPr id="69" name="TextBox 68">
          <a:extLst>
            <a:ext uri="{FF2B5EF4-FFF2-40B4-BE49-F238E27FC236}">
              <a16:creationId xmlns:a16="http://schemas.microsoft.com/office/drawing/2014/main" id="{161DC34D-8E3B-45AB-9B96-1B049D9FB260}"/>
            </a:ext>
          </a:extLst>
        </xdr:cNvPr>
        <xdr:cNvSpPr txBox="1"/>
      </xdr:nvSpPr>
      <xdr:spPr>
        <a:xfrm>
          <a:off x="15059024" y="609600"/>
          <a:ext cx="1190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95C65C2-7048-4027-938E-03847982EC61}" type="TxLink">
            <a:rPr lang="en-US" sz="1600" b="0" i="0" u="none" strike="noStrike">
              <a:solidFill>
                <a:srgbClr val="7030A0"/>
              </a:solidFill>
              <a:latin typeface="Abadi" panose="020B0604020104020204" pitchFamily="34" charset="0"/>
              <a:ea typeface="+mn-ea"/>
              <a:cs typeface="Arial"/>
            </a:rPr>
            <a:pPr marL="0" indent="0" algn="l"/>
            <a:t>2643</a:t>
          </a:fld>
          <a:r>
            <a:rPr lang="en-US" sz="1600" b="0" i="0" u="none" strike="noStrike">
              <a:solidFill>
                <a:srgbClr val="00B050"/>
              </a:solidFill>
              <a:latin typeface="Abadi" panose="020B0604020104020204" pitchFamily="34" charset="0"/>
              <a:ea typeface="+mn-ea"/>
              <a:cs typeface="Arial"/>
            </a:rPr>
            <a:t> </a:t>
          </a:r>
          <a:r>
            <a:rPr lang="en-US" sz="900" b="0" i="0" u="none" strike="noStrike">
              <a:solidFill>
                <a:schemeClr val="tx1">
                  <a:lumMod val="65000"/>
                  <a:lumOff val="35000"/>
                </a:schemeClr>
              </a:solidFill>
              <a:latin typeface="Abadi" panose="020B0604020104020204" pitchFamily="34" charset="0"/>
              <a:ea typeface="+mn-ea"/>
              <a:cs typeface="Arial"/>
            </a:rPr>
            <a:t>courses</a:t>
          </a:r>
          <a:endParaRPr lang="en-US" sz="16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editAs="absolute">
    <xdr:from>
      <xdr:col>21</xdr:col>
      <xdr:colOff>628650</xdr:colOff>
      <xdr:row>4</xdr:row>
      <xdr:rowOff>123825</xdr:rowOff>
    </xdr:from>
    <xdr:to>
      <xdr:col>23</xdr:col>
      <xdr:colOff>47625</xdr:colOff>
      <xdr:row>6</xdr:row>
      <xdr:rowOff>28575</xdr:rowOff>
    </xdr:to>
    <xdr:sp macro="" textlink="'Pivot Tables'!AH24">
      <xdr:nvSpPr>
        <xdr:cNvPr id="70" name="TextBox 69">
          <a:extLst>
            <a:ext uri="{FF2B5EF4-FFF2-40B4-BE49-F238E27FC236}">
              <a16:creationId xmlns:a16="http://schemas.microsoft.com/office/drawing/2014/main" id="{8CA670CD-0F40-404E-BFE7-CAE566BC406F}"/>
            </a:ext>
          </a:extLst>
        </xdr:cNvPr>
        <xdr:cNvSpPr txBox="1"/>
      </xdr:nvSpPr>
      <xdr:spPr>
        <a:xfrm>
          <a:off x="15030450" y="923925"/>
          <a:ext cx="7905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chemeClr val="tx1">
                  <a:lumMod val="65000"/>
                  <a:lumOff val="35000"/>
                </a:schemeClr>
              </a:solidFill>
              <a:latin typeface="Abadi" panose="020B0604020104020204" pitchFamily="34" charset="0"/>
              <a:ea typeface="+mn-ea"/>
              <a:cs typeface="Arial"/>
            </a:rPr>
            <a:t>Average</a:t>
          </a:r>
        </a:p>
      </xdr:txBody>
    </xdr:sp>
    <xdr:clientData/>
  </xdr:twoCellAnchor>
  <xdr:twoCellAnchor editAs="absolute">
    <xdr:from>
      <xdr:col>21</xdr:col>
      <xdr:colOff>676275</xdr:colOff>
      <xdr:row>5</xdr:row>
      <xdr:rowOff>123825</xdr:rowOff>
    </xdr:from>
    <xdr:to>
      <xdr:col>23</xdr:col>
      <xdr:colOff>66675</xdr:colOff>
      <xdr:row>7</xdr:row>
      <xdr:rowOff>28575</xdr:rowOff>
    </xdr:to>
    <xdr:sp macro="" textlink="'Pivot Tables'!AH21">
      <xdr:nvSpPr>
        <xdr:cNvPr id="71" name="TextBox 70">
          <a:extLst>
            <a:ext uri="{FF2B5EF4-FFF2-40B4-BE49-F238E27FC236}">
              <a16:creationId xmlns:a16="http://schemas.microsoft.com/office/drawing/2014/main" id="{419787F2-7EE4-4CD0-979E-1798A5BA4A83}"/>
            </a:ext>
          </a:extLst>
        </xdr:cNvPr>
        <xdr:cNvSpPr txBox="1"/>
      </xdr:nvSpPr>
      <xdr:spPr>
        <a:xfrm>
          <a:off x="15078075" y="1123950"/>
          <a:ext cx="762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93BCA33-3BA7-44CF-B916-A33E2776030C}" type="TxLink">
            <a:rPr lang="en-US" sz="1600" b="0" i="0" u="none" strike="noStrike">
              <a:solidFill>
                <a:srgbClr val="FFC000"/>
              </a:solidFill>
              <a:latin typeface="Abadi" panose="020B0604020104020204" pitchFamily="34" charset="0"/>
              <a:ea typeface="+mn-ea"/>
              <a:cs typeface="Arial"/>
            </a:rPr>
            <a:pPr marL="0" indent="0" algn="l"/>
            <a:t>2,14</a:t>
          </a:fld>
          <a:endParaRPr lang="en-US" sz="1600" b="0" i="0" u="none" strike="noStrike">
            <a:solidFill>
              <a:srgbClr val="FFC000"/>
            </a:solidFill>
            <a:latin typeface="Abadi" panose="020B0604020104020204" pitchFamily="34" charset="0"/>
            <a:ea typeface="+mn-ea"/>
            <a:cs typeface="Arial"/>
          </a:endParaRPr>
        </a:p>
      </xdr:txBody>
    </xdr:sp>
    <xdr:clientData/>
  </xdr:twoCellAnchor>
  <xdr:twoCellAnchor editAs="absolute">
    <xdr:from>
      <xdr:col>22</xdr:col>
      <xdr:colOff>259800</xdr:colOff>
      <xdr:row>24</xdr:row>
      <xdr:rowOff>85726</xdr:rowOff>
    </xdr:from>
    <xdr:to>
      <xdr:col>26</xdr:col>
      <xdr:colOff>47625</xdr:colOff>
      <xdr:row>36</xdr:row>
      <xdr:rowOff>123826</xdr:rowOff>
    </xdr:to>
    <xdr:sp macro="" textlink="">
      <xdr:nvSpPr>
        <xdr:cNvPr id="74" name="Rectangle: Rounded Corners 73">
          <a:extLst>
            <a:ext uri="{FF2B5EF4-FFF2-40B4-BE49-F238E27FC236}">
              <a16:creationId xmlns:a16="http://schemas.microsoft.com/office/drawing/2014/main" id="{6FFB2FAA-4AFD-4497-B35C-8AA91B72A805}"/>
            </a:ext>
          </a:extLst>
        </xdr:cNvPr>
        <xdr:cNvSpPr/>
      </xdr:nvSpPr>
      <xdr:spPr>
        <a:xfrm>
          <a:off x="15347400" y="4886326"/>
          <a:ext cx="2531025" cy="24384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23</xdr:col>
      <xdr:colOff>152399</xdr:colOff>
      <xdr:row>25</xdr:row>
      <xdr:rowOff>19050</xdr:rowOff>
    </xdr:from>
    <xdr:to>
      <xdr:col>25</xdr:col>
      <xdr:colOff>276224</xdr:colOff>
      <xdr:row>26</xdr:row>
      <xdr:rowOff>123825</xdr:rowOff>
    </xdr:to>
    <xdr:sp macro="" textlink="">
      <xdr:nvSpPr>
        <xdr:cNvPr id="75" name="TextBox 74">
          <a:extLst>
            <a:ext uri="{FF2B5EF4-FFF2-40B4-BE49-F238E27FC236}">
              <a16:creationId xmlns:a16="http://schemas.microsoft.com/office/drawing/2014/main" id="{22F2FFEE-8EB3-4BA7-9846-70585E415995}"/>
            </a:ext>
          </a:extLst>
        </xdr:cNvPr>
        <xdr:cNvSpPr txBox="1"/>
      </xdr:nvSpPr>
      <xdr:spPr>
        <a:xfrm>
          <a:off x="15925799" y="5019675"/>
          <a:ext cx="14954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u="none" strike="noStrike">
              <a:solidFill>
                <a:srgbClr val="000000"/>
              </a:solidFill>
              <a:latin typeface="Abadi" panose="020B0604020104020204" pitchFamily="34" charset="0"/>
              <a:ea typeface="+mn-ea"/>
              <a:cs typeface="Arial"/>
            </a:rPr>
            <a:t>Area</a:t>
          </a:r>
          <a:r>
            <a:rPr lang="en-US" sz="1200" b="0" i="0" u="none" strike="noStrike" baseline="0">
              <a:solidFill>
                <a:srgbClr val="000000"/>
              </a:solidFill>
              <a:latin typeface="Abadi" panose="020B0604020104020204" pitchFamily="34" charset="0"/>
              <a:ea typeface="+mn-ea"/>
              <a:cs typeface="Arial"/>
            </a:rPr>
            <a:t> Code</a:t>
          </a:r>
          <a:endParaRPr lang="en-US" sz="1200" b="0" i="0" u="none" strike="noStrike">
            <a:solidFill>
              <a:srgbClr val="000000"/>
            </a:solidFill>
            <a:latin typeface="Abadi" panose="020B0604020104020204" pitchFamily="34" charset="0"/>
            <a:ea typeface="+mn-ea"/>
            <a:cs typeface="Arial"/>
          </a:endParaRPr>
        </a:p>
      </xdr:txBody>
    </xdr:sp>
    <xdr:clientData/>
  </xdr:twoCellAnchor>
  <xdr:twoCellAnchor editAs="absolute">
    <xdr:from>
      <xdr:col>22</xdr:col>
      <xdr:colOff>628650</xdr:colOff>
      <xdr:row>26</xdr:row>
      <xdr:rowOff>104775</xdr:rowOff>
    </xdr:from>
    <xdr:to>
      <xdr:col>25</xdr:col>
      <xdr:colOff>552450</xdr:colOff>
      <xdr:row>35</xdr:row>
      <xdr:rowOff>38100</xdr:rowOff>
    </xdr:to>
    <xdr:graphicFrame macro="">
      <xdr:nvGraphicFramePr>
        <xdr:cNvPr id="76" name="Chart 75">
          <a:extLst>
            <a:ext uri="{FF2B5EF4-FFF2-40B4-BE49-F238E27FC236}">
              <a16:creationId xmlns:a16="http://schemas.microsoft.com/office/drawing/2014/main" id="{046F2EB9-6F95-42E2-8E92-733E06219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18</xdr:col>
      <xdr:colOff>276225</xdr:colOff>
      <xdr:row>11</xdr:row>
      <xdr:rowOff>190500</xdr:rowOff>
    </xdr:from>
    <xdr:to>
      <xdr:col>22</xdr:col>
      <xdr:colOff>200024</xdr:colOff>
      <xdr:row>36</xdr:row>
      <xdr:rowOff>114300</xdr:rowOff>
    </xdr:to>
    <xdr:sp macro="" textlink="">
      <xdr:nvSpPr>
        <xdr:cNvPr id="81" name="Rectangle: Rounded Corners 80">
          <a:extLst>
            <a:ext uri="{FF2B5EF4-FFF2-40B4-BE49-F238E27FC236}">
              <a16:creationId xmlns:a16="http://schemas.microsoft.com/office/drawing/2014/main" id="{E5E04EE4-9754-42D8-99B9-8F1AF6AFAA0F}"/>
            </a:ext>
          </a:extLst>
        </xdr:cNvPr>
        <xdr:cNvSpPr/>
      </xdr:nvSpPr>
      <xdr:spPr>
        <a:xfrm>
          <a:off x="12620625" y="2390775"/>
          <a:ext cx="2666999" cy="4924425"/>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18</xdr:col>
      <xdr:colOff>357186</xdr:colOff>
      <xdr:row>13</xdr:row>
      <xdr:rowOff>9525</xdr:rowOff>
    </xdr:from>
    <xdr:to>
      <xdr:col>22</xdr:col>
      <xdr:colOff>171449</xdr:colOff>
      <xdr:row>14</xdr:row>
      <xdr:rowOff>114300</xdr:rowOff>
    </xdr:to>
    <xdr:sp macro="" textlink="">
      <xdr:nvSpPr>
        <xdr:cNvPr id="82" name="TextBox 81">
          <a:extLst>
            <a:ext uri="{FF2B5EF4-FFF2-40B4-BE49-F238E27FC236}">
              <a16:creationId xmlns:a16="http://schemas.microsoft.com/office/drawing/2014/main" id="{2956795B-1786-46B9-99DE-F029E6B948EC}"/>
            </a:ext>
          </a:extLst>
        </xdr:cNvPr>
        <xdr:cNvSpPr txBox="1"/>
      </xdr:nvSpPr>
      <xdr:spPr>
        <a:xfrm>
          <a:off x="12701586" y="2609850"/>
          <a:ext cx="255746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a:solidFill>
                <a:srgbClr val="000000"/>
              </a:solidFill>
              <a:latin typeface="Abadi" panose="020B0604020104020204" pitchFamily="34" charset="0"/>
              <a:ea typeface="+mn-ea"/>
              <a:cs typeface="Arial"/>
            </a:rPr>
            <a:t>Training</a:t>
          </a:r>
          <a:r>
            <a:rPr lang="en-US" sz="1200" b="0" i="0" u="none" strike="noStrike" baseline="0">
              <a:solidFill>
                <a:srgbClr val="000000"/>
              </a:solidFill>
              <a:latin typeface="Abadi" panose="020B0604020104020204" pitchFamily="34" charset="0"/>
              <a:ea typeface="+mn-ea"/>
              <a:cs typeface="Arial"/>
            </a:rPr>
            <a:t> Level's Fees </a:t>
          </a:r>
          <a:r>
            <a:rPr lang="en-US" sz="1200" b="0" i="0" u="none" strike="noStrike" baseline="0">
              <a:solidFill>
                <a:schemeClr val="bg1">
                  <a:lumMod val="50000"/>
                </a:schemeClr>
              </a:solidFill>
              <a:latin typeface="Abadi" panose="020B0604020104020204" pitchFamily="34" charset="0"/>
              <a:ea typeface="+mn-ea"/>
              <a:cs typeface="Arial"/>
            </a:rPr>
            <a:t>by Sales Team</a:t>
          </a:r>
          <a:endParaRPr lang="en-US" sz="1200" b="1" i="0" u="none" strike="noStrike">
            <a:solidFill>
              <a:schemeClr val="bg1">
                <a:lumMod val="50000"/>
              </a:schemeClr>
            </a:solidFill>
            <a:latin typeface="Abadi" panose="020B0604020104020204" pitchFamily="34" charset="0"/>
            <a:ea typeface="+mn-ea"/>
            <a:cs typeface="Arial"/>
          </a:endParaRPr>
        </a:p>
      </xdr:txBody>
    </xdr:sp>
    <xdr:clientData/>
  </xdr:twoCellAnchor>
  <xdr:twoCellAnchor editAs="absolute">
    <xdr:from>
      <xdr:col>18</xdr:col>
      <xdr:colOff>333375</xdr:colOff>
      <xdr:row>14</xdr:row>
      <xdr:rowOff>133351</xdr:rowOff>
    </xdr:from>
    <xdr:to>
      <xdr:col>22</xdr:col>
      <xdr:colOff>95251</xdr:colOff>
      <xdr:row>23</xdr:row>
      <xdr:rowOff>76200</xdr:rowOff>
    </xdr:to>
    <xdr:graphicFrame macro="">
      <xdr:nvGraphicFramePr>
        <xdr:cNvPr id="83" name="Chart 82">
          <a:extLst>
            <a:ext uri="{FF2B5EF4-FFF2-40B4-BE49-F238E27FC236}">
              <a16:creationId xmlns:a16="http://schemas.microsoft.com/office/drawing/2014/main" id="{3B941A1D-AB1A-46EF-A682-D16DB6094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18</xdr:col>
      <xdr:colOff>376237</xdr:colOff>
      <xdr:row>23</xdr:row>
      <xdr:rowOff>133349</xdr:rowOff>
    </xdr:from>
    <xdr:to>
      <xdr:col>22</xdr:col>
      <xdr:colOff>152400</xdr:colOff>
      <xdr:row>25</xdr:row>
      <xdr:rowOff>95250</xdr:rowOff>
    </xdr:to>
    <xdr:sp macro="" textlink="">
      <xdr:nvSpPr>
        <xdr:cNvPr id="84" name="TextBox 83">
          <a:extLst>
            <a:ext uri="{FF2B5EF4-FFF2-40B4-BE49-F238E27FC236}">
              <a16:creationId xmlns:a16="http://schemas.microsoft.com/office/drawing/2014/main" id="{103E19CA-7F59-487B-9DB0-2D5C15DA458A}"/>
            </a:ext>
          </a:extLst>
        </xdr:cNvPr>
        <xdr:cNvSpPr txBox="1"/>
      </xdr:nvSpPr>
      <xdr:spPr>
        <a:xfrm>
          <a:off x="12720637" y="4733924"/>
          <a:ext cx="2519363"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u="none" strike="noStrike">
              <a:solidFill>
                <a:srgbClr val="000000"/>
              </a:solidFill>
              <a:latin typeface="Abadi" panose="020B0604020104020204" pitchFamily="34" charset="0"/>
              <a:ea typeface="+mn-ea"/>
              <a:cs typeface="Arial"/>
            </a:rPr>
            <a:t>Enrolled Courses</a:t>
          </a:r>
          <a:r>
            <a:rPr lang="en-US" sz="1200" b="0" i="0" u="none" strike="noStrike" baseline="0">
              <a:solidFill>
                <a:srgbClr val="000000"/>
              </a:solidFill>
              <a:latin typeface="Abadi" panose="020B0604020104020204" pitchFamily="34" charset="0"/>
              <a:ea typeface="+mn-ea"/>
              <a:cs typeface="Arial"/>
            </a:rPr>
            <a:t> </a:t>
          </a:r>
          <a:r>
            <a:rPr lang="en-US" sz="1200" b="0" i="0" u="none" strike="noStrike" baseline="0">
              <a:solidFill>
                <a:schemeClr val="bg1">
                  <a:lumMod val="50000"/>
                </a:schemeClr>
              </a:solidFill>
              <a:latin typeface="Abadi" panose="020B0604020104020204" pitchFamily="34" charset="0"/>
              <a:ea typeface="+mn-ea"/>
              <a:cs typeface="Arial"/>
            </a:rPr>
            <a:t>on Training Levels</a:t>
          </a:r>
          <a:endParaRPr lang="en-US" sz="1200" b="1" i="0" u="none" strike="noStrike">
            <a:solidFill>
              <a:schemeClr val="bg1">
                <a:lumMod val="50000"/>
              </a:schemeClr>
            </a:solidFill>
            <a:latin typeface="Abadi" panose="020B0604020104020204" pitchFamily="34" charset="0"/>
            <a:ea typeface="+mn-ea"/>
            <a:cs typeface="Arial"/>
          </a:endParaRPr>
        </a:p>
      </xdr:txBody>
    </xdr:sp>
    <xdr:clientData/>
  </xdr:twoCellAnchor>
  <xdr:twoCellAnchor editAs="absolute">
    <xdr:from>
      <xdr:col>18</xdr:col>
      <xdr:colOff>257174</xdr:colOff>
      <xdr:row>25</xdr:row>
      <xdr:rowOff>171450</xdr:rowOff>
    </xdr:from>
    <xdr:to>
      <xdr:col>22</xdr:col>
      <xdr:colOff>323849</xdr:colOff>
      <xdr:row>35</xdr:row>
      <xdr:rowOff>114300</xdr:rowOff>
    </xdr:to>
    <xdr:graphicFrame macro="">
      <xdr:nvGraphicFramePr>
        <xdr:cNvPr id="85" name="Chart 84">
          <a:extLst>
            <a:ext uri="{FF2B5EF4-FFF2-40B4-BE49-F238E27FC236}">
              <a16:creationId xmlns:a16="http://schemas.microsoft.com/office/drawing/2014/main" id="{59457EE9-2F9E-458C-A04B-9E9AF9324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6</xdr:col>
      <xdr:colOff>200026</xdr:colOff>
      <xdr:row>11</xdr:row>
      <xdr:rowOff>161925</xdr:rowOff>
    </xdr:from>
    <xdr:to>
      <xdr:col>13</xdr:col>
      <xdr:colOff>390526</xdr:colOff>
      <xdr:row>23</xdr:row>
      <xdr:rowOff>57150</xdr:rowOff>
    </xdr:to>
    <xdr:sp macro="" textlink="">
      <xdr:nvSpPr>
        <xdr:cNvPr id="103" name="Rectangle: Rounded Corners 102">
          <a:extLst>
            <a:ext uri="{FF2B5EF4-FFF2-40B4-BE49-F238E27FC236}">
              <a16:creationId xmlns:a16="http://schemas.microsoft.com/office/drawing/2014/main" id="{C39F07B9-4D53-4E1B-B5E9-28C85B6C71A9}"/>
            </a:ext>
          </a:extLst>
        </xdr:cNvPr>
        <xdr:cNvSpPr/>
      </xdr:nvSpPr>
      <xdr:spPr>
        <a:xfrm>
          <a:off x="4314826" y="2362200"/>
          <a:ext cx="4991100" cy="2295525"/>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6</xdr:col>
      <xdr:colOff>257174</xdr:colOff>
      <xdr:row>12</xdr:row>
      <xdr:rowOff>142875</xdr:rowOff>
    </xdr:from>
    <xdr:to>
      <xdr:col>9</xdr:col>
      <xdr:colOff>66675</xdr:colOff>
      <xdr:row>16</xdr:row>
      <xdr:rowOff>104775</xdr:rowOff>
    </xdr:to>
    <xdr:sp macro="" textlink="">
      <xdr:nvSpPr>
        <xdr:cNvPr id="104" name="TextBox 103">
          <a:extLst>
            <a:ext uri="{FF2B5EF4-FFF2-40B4-BE49-F238E27FC236}">
              <a16:creationId xmlns:a16="http://schemas.microsoft.com/office/drawing/2014/main" id="{2C33F967-AC28-4380-BB9B-0E857745C616}"/>
            </a:ext>
          </a:extLst>
        </xdr:cNvPr>
        <xdr:cNvSpPr txBox="1"/>
      </xdr:nvSpPr>
      <xdr:spPr>
        <a:xfrm>
          <a:off x="4371974" y="2543175"/>
          <a:ext cx="1866901"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chemeClr val="tx1">
                  <a:lumMod val="50000"/>
                  <a:lumOff val="50000"/>
                </a:schemeClr>
              </a:solidFill>
              <a:latin typeface="Abadi" panose="020B0604020104020204" pitchFamily="34" charset="0"/>
              <a:ea typeface="+mn-ea"/>
              <a:cs typeface="Arial"/>
            </a:rPr>
            <a:t>Average </a:t>
          </a:r>
        </a:p>
        <a:p>
          <a:pPr marL="0" indent="0" algn="l"/>
          <a:r>
            <a:rPr lang="en-US" sz="1200" b="0" i="0" u="none" strike="noStrike">
              <a:solidFill>
                <a:srgbClr val="000000"/>
              </a:solidFill>
              <a:latin typeface="Abadi" panose="020B0604020104020204" pitchFamily="34" charset="0"/>
              <a:ea typeface="+mn-ea"/>
              <a:cs typeface="Arial"/>
            </a:rPr>
            <a:t>Paid Calls Duration </a:t>
          </a:r>
        </a:p>
        <a:p>
          <a:pPr marL="0" indent="0" algn="l"/>
          <a:r>
            <a:rPr lang="en-US" sz="1100" b="0" i="0" u="none" strike="noStrike">
              <a:solidFill>
                <a:schemeClr val="bg1">
                  <a:lumMod val="50000"/>
                </a:schemeClr>
              </a:solidFill>
              <a:latin typeface="Abadi" panose="020B0604020104020204" pitchFamily="34" charset="0"/>
              <a:ea typeface="+mn-ea"/>
              <a:cs typeface="Arial"/>
            </a:rPr>
            <a:t>by Months</a:t>
          </a:r>
        </a:p>
      </xdr:txBody>
    </xdr:sp>
    <xdr:clientData/>
  </xdr:twoCellAnchor>
  <xdr:twoCellAnchor editAs="absolute">
    <xdr:from>
      <xdr:col>8</xdr:col>
      <xdr:colOff>638175</xdr:colOff>
      <xdr:row>14</xdr:row>
      <xdr:rowOff>47625</xdr:rowOff>
    </xdr:from>
    <xdr:to>
      <xdr:col>13</xdr:col>
      <xdr:colOff>476250</xdr:colOff>
      <xdr:row>21</xdr:row>
      <xdr:rowOff>85725</xdr:rowOff>
    </xdr:to>
    <xdr:grpSp>
      <xdr:nvGrpSpPr>
        <xdr:cNvPr id="113" name="Group 112">
          <a:extLst>
            <a:ext uri="{FF2B5EF4-FFF2-40B4-BE49-F238E27FC236}">
              <a16:creationId xmlns:a16="http://schemas.microsoft.com/office/drawing/2014/main" id="{814391C7-A3DC-9160-F9FE-A2227B467953}"/>
            </a:ext>
          </a:extLst>
        </xdr:cNvPr>
        <xdr:cNvGrpSpPr/>
      </xdr:nvGrpSpPr>
      <xdr:grpSpPr>
        <a:xfrm>
          <a:off x="6124575" y="2821305"/>
          <a:ext cx="3267075" cy="1424940"/>
          <a:chOff x="4102562" y="2667000"/>
          <a:chExt cx="3372376" cy="1438275"/>
        </a:xfrm>
      </xdr:grpSpPr>
      <xdr:graphicFrame macro="">
        <xdr:nvGraphicFramePr>
          <xdr:cNvPr id="110" name="Chart 109">
            <a:extLst>
              <a:ext uri="{FF2B5EF4-FFF2-40B4-BE49-F238E27FC236}">
                <a16:creationId xmlns:a16="http://schemas.microsoft.com/office/drawing/2014/main" id="{BF462A5F-D007-7222-A189-C351BC064BF8}"/>
              </a:ext>
            </a:extLst>
          </xdr:cNvPr>
          <xdr:cNvGraphicFramePr>
            <a:graphicFrameLocks/>
          </xdr:cNvGraphicFramePr>
        </xdr:nvGraphicFramePr>
        <xdr:xfrm>
          <a:off x="4102562" y="2667000"/>
          <a:ext cx="3372376" cy="1438275"/>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11" name="Rectangle 110">
            <a:extLst>
              <a:ext uri="{FF2B5EF4-FFF2-40B4-BE49-F238E27FC236}">
                <a16:creationId xmlns:a16="http://schemas.microsoft.com/office/drawing/2014/main" id="{07017568-84D7-A8BD-06E0-5B84F4ED4E5F}"/>
              </a:ext>
            </a:extLst>
          </xdr:cNvPr>
          <xdr:cNvSpPr/>
        </xdr:nvSpPr>
        <xdr:spPr>
          <a:xfrm>
            <a:off x="4560097" y="3752849"/>
            <a:ext cx="2751580" cy="14287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6</xdr:col>
      <xdr:colOff>209550</xdr:colOff>
      <xdr:row>15</xdr:row>
      <xdr:rowOff>123825</xdr:rowOff>
    </xdr:from>
    <xdr:to>
      <xdr:col>8</xdr:col>
      <xdr:colOff>514350</xdr:colOff>
      <xdr:row>18</xdr:row>
      <xdr:rowOff>9526</xdr:rowOff>
    </xdr:to>
    <xdr:sp macro="" textlink="">
      <xdr:nvSpPr>
        <xdr:cNvPr id="114" name="Rectangle: Single Corner Rounded 113">
          <a:extLst>
            <a:ext uri="{FF2B5EF4-FFF2-40B4-BE49-F238E27FC236}">
              <a16:creationId xmlns:a16="http://schemas.microsoft.com/office/drawing/2014/main" id="{E0E16593-D6EE-4417-EACD-E2E1AFB9C3B8}"/>
            </a:ext>
          </a:extLst>
        </xdr:cNvPr>
        <xdr:cNvSpPr/>
      </xdr:nvSpPr>
      <xdr:spPr>
        <a:xfrm>
          <a:off x="4324350" y="3124200"/>
          <a:ext cx="1676400" cy="485776"/>
        </a:xfrm>
        <a:prstGeom prst="round1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266701</xdr:colOff>
      <xdr:row>15</xdr:row>
      <xdr:rowOff>152400</xdr:rowOff>
    </xdr:from>
    <xdr:to>
      <xdr:col>7</xdr:col>
      <xdr:colOff>333375</xdr:colOff>
      <xdr:row>17</xdr:row>
      <xdr:rowOff>161925</xdr:rowOff>
    </xdr:to>
    <xdr:sp macro="" textlink="'Pivot Tables'!BR5">
      <xdr:nvSpPr>
        <xdr:cNvPr id="115" name="TextBox 114">
          <a:extLst>
            <a:ext uri="{FF2B5EF4-FFF2-40B4-BE49-F238E27FC236}">
              <a16:creationId xmlns:a16="http://schemas.microsoft.com/office/drawing/2014/main" id="{8829A503-399C-FBC2-9ABA-3A3C38B7A86D}"/>
            </a:ext>
          </a:extLst>
        </xdr:cNvPr>
        <xdr:cNvSpPr txBox="1"/>
      </xdr:nvSpPr>
      <xdr:spPr>
        <a:xfrm>
          <a:off x="4381501" y="3152775"/>
          <a:ext cx="752474"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C6E4F3-E608-4094-8BF2-D5246E3DA5F2}" type="TxLink">
            <a:rPr lang="en-US" sz="1600" b="0" i="0" u="none" strike="noStrike">
              <a:solidFill>
                <a:schemeClr val="bg1"/>
              </a:solidFill>
              <a:latin typeface="Abadi" panose="020B0604020104020204" pitchFamily="34" charset="0"/>
              <a:cs typeface="Arial"/>
            </a:rPr>
            <a:pPr algn="ctr"/>
            <a:t>04:16</a:t>
          </a:fld>
          <a:endParaRPr lang="en-US" sz="1600">
            <a:solidFill>
              <a:schemeClr val="bg1"/>
            </a:solidFill>
            <a:latin typeface="Abadi" panose="020B0604020104020204" pitchFamily="34" charset="0"/>
          </a:endParaRPr>
        </a:p>
      </xdr:txBody>
    </xdr:sp>
    <xdr:clientData/>
  </xdr:twoCellAnchor>
  <xdr:twoCellAnchor editAs="absolute">
    <xdr:from>
      <xdr:col>7</xdr:col>
      <xdr:colOff>228600</xdr:colOff>
      <xdr:row>15</xdr:row>
      <xdr:rowOff>180975</xdr:rowOff>
    </xdr:from>
    <xdr:to>
      <xdr:col>8</xdr:col>
      <xdr:colOff>200025</xdr:colOff>
      <xdr:row>17</xdr:row>
      <xdr:rowOff>161924</xdr:rowOff>
    </xdr:to>
    <xdr:sp macro="" textlink="">
      <xdr:nvSpPr>
        <xdr:cNvPr id="116" name="TextBox 115">
          <a:extLst>
            <a:ext uri="{FF2B5EF4-FFF2-40B4-BE49-F238E27FC236}">
              <a16:creationId xmlns:a16="http://schemas.microsoft.com/office/drawing/2014/main" id="{BAEDF7CD-0ECE-9E82-0973-D82C062E10D6}"/>
            </a:ext>
          </a:extLst>
        </xdr:cNvPr>
        <xdr:cNvSpPr txBox="1"/>
      </xdr:nvSpPr>
      <xdr:spPr>
        <a:xfrm>
          <a:off x="5029200" y="3181350"/>
          <a:ext cx="657225"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Abadi" panose="020B0604020104020204" pitchFamily="34" charset="0"/>
            </a:rPr>
            <a:t>mm:ss</a:t>
          </a:r>
        </a:p>
      </xdr:txBody>
    </xdr:sp>
    <xdr:clientData/>
  </xdr:twoCellAnchor>
  <xdr:twoCellAnchor editAs="absolute">
    <xdr:from>
      <xdr:col>6</xdr:col>
      <xdr:colOff>180975</xdr:colOff>
      <xdr:row>18</xdr:row>
      <xdr:rowOff>123824</xdr:rowOff>
    </xdr:from>
    <xdr:to>
      <xdr:col>7</xdr:col>
      <xdr:colOff>476250</xdr:colOff>
      <xdr:row>21</xdr:row>
      <xdr:rowOff>9524</xdr:rowOff>
    </xdr:to>
    <xdr:sp macro="" textlink="">
      <xdr:nvSpPr>
        <xdr:cNvPr id="117" name="TextBox 116">
          <a:extLst>
            <a:ext uri="{FF2B5EF4-FFF2-40B4-BE49-F238E27FC236}">
              <a16:creationId xmlns:a16="http://schemas.microsoft.com/office/drawing/2014/main" id="{C24AA750-73AC-EB75-F9EF-2BC92F49CB9F}"/>
            </a:ext>
          </a:extLst>
        </xdr:cNvPr>
        <xdr:cNvSpPr txBox="1"/>
      </xdr:nvSpPr>
      <xdr:spPr>
        <a:xfrm>
          <a:off x="4295775" y="3724274"/>
          <a:ext cx="9810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badi" panose="020B0604020104020204" pitchFamily="34" charset="0"/>
            </a:rPr>
            <a:t>Maximum</a:t>
          </a:r>
        </a:p>
        <a:p>
          <a:pPr algn="ctr"/>
          <a:r>
            <a:rPr lang="en-US" sz="1000">
              <a:solidFill>
                <a:schemeClr val="bg1">
                  <a:lumMod val="50000"/>
                </a:schemeClr>
              </a:solidFill>
              <a:latin typeface="Abadi" panose="020B0604020104020204" pitchFamily="34" charset="0"/>
            </a:rPr>
            <a:t>Call</a:t>
          </a:r>
          <a:r>
            <a:rPr lang="en-US" sz="1000" baseline="0">
              <a:solidFill>
                <a:schemeClr val="bg1">
                  <a:lumMod val="50000"/>
                </a:schemeClr>
              </a:solidFill>
              <a:latin typeface="Abadi" panose="020B0604020104020204" pitchFamily="34" charset="0"/>
            </a:rPr>
            <a:t> Duration</a:t>
          </a:r>
          <a:endParaRPr lang="en-US" sz="1000">
            <a:solidFill>
              <a:schemeClr val="bg1">
                <a:lumMod val="50000"/>
              </a:schemeClr>
            </a:solidFill>
            <a:latin typeface="Abadi" panose="020B0604020104020204" pitchFamily="34" charset="0"/>
          </a:endParaRPr>
        </a:p>
      </xdr:txBody>
    </xdr:sp>
    <xdr:clientData/>
  </xdr:twoCellAnchor>
  <xdr:twoCellAnchor editAs="absolute">
    <xdr:from>
      <xdr:col>6</xdr:col>
      <xdr:colOff>266700</xdr:colOff>
      <xdr:row>20</xdr:row>
      <xdr:rowOff>95250</xdr:rowOff>
    </xdr:from>
    <xdr:to>
      <xdr:col>7</xdr:col>
      <xdr:colOff>333375</xdr:colOff>
      <xdr:row>21</xdr:row>
      <xdr:rowOff>171450</xdr:rowOff>
    </xdr:to>
    <xdr:sp macro="" textlink="'Pivot Tables'!BR6">
      <xdr:nvSpPr>
        <xdr:cNvPr id="118" name="TextBox 117">
          <a:extLst>
            <a:ext uri="{FF2B5EF4-FFF2-40B4-BE49-F238E27FC236}">
              <a16:creationId xmlns:a16="http://schemas.microsoft.com/office/drawing/2014/main" id="{11B30949-64DA-5A17-D484-AC461A9BF70B}"/>
            </a:ext>
          </a:extLst>
        </xdr:cNvPr>
        <xdr:cNvSpPr txBox="1"/>
      </xdr:nvSpPr>
      <xdr:spPr>
        <a:xfrm>
          <a:off x="4381500" y="409575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0F9812-578C-4059-B312-76A26D447582}" type="TxLink">
            <a:rPr lang="en-US" sz="1400" b="0" i="0" u="none" strike="noStrike">
              <a:solidFill>
                <a:srgbClr val="000000"/>
              </a:solidFill>
              <a:latin typeface="Abadi" panose="020B0604020104020204" pitchFamily="34" charset="0"/>
              <a:cs typeface="Arial"/>
            </a:rPr>
            <a:pPr algn="ctr"/>
            <a:t>05:02</a:t>
          </a:fld>
          <a:endParaRPr lang="en-US" sz="1400">
            <a:latin typeface="Abadi" panose="020B0604020104020204" pitchFamily="34" charset="0"/>
          </a:endParaRPr>
        </a:p>
      </xdr:txBody>
    </xdr:sp>
    <xdr:clientData/>
  </xdr:twoCellAnchor>
  <xdr:twoCellAnchor editAs="absolute">
    <xdr:from>
      <xdr:col>7</xdr:col>
      <xdr:colOff>342900</xdr:colOff>
      <xdr:row>18</xdr:row>
      <xdr:rowOff>114300</xdr:rowOff>
    </xdr:from>
    <xdr:to>
      <xdr:col>8</xdr:col>
      <xdr:colOff>590550</xdr:colOff>
      <xdr:row>20</xdr:row>
      <xdr:rowOff>171450</xdr:rowOff>
    </xdr:to>
    <xdr:sp macro="" textlink="">
      <xdr:nvSpPr>
        <xdr:cNvPr id="119" name="TextBox 118">
          <a:extLst>
            <a:ext uri="{FF2B5EF4-FFF2-40B4-BE49-F238E27FC236}">
              <a16:creationId xmlns:a16="http://schemas.microsoft.com/office/drawing/2014/main" id="{7B11A6AA-BE74-4894-8973-14E0D2E8B420}"/>
            </a:ext>
          </a:extLst>
        </xdr:cNvPr>
        <xdr:cNvSpPr txBox="1"/>
      </xdr:nvSpPr>
      <xdr:spPr>
        <a:xfrm>
          <a:off x="5143500" y="3714750"/>
          <a:ext cx="93345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badi" panose="020B0604020104020204" pitchFamily="34" charset="0"/>
            </a:rPr>
            <a:t>Minimum</a:t>
          </a:r>
        </a:p>
        <a:p>
          <a:pPr algn="ctr"/>
          <a:r>
            <a:rPr lang="en-US" sz="1000">
              <a:solidFill>
                <a:schemeClr val="bg1">
                  <a:lumMod val="50000"/>
                </a:schemeClr>
              </a:solidFill>
              <a:latin typeface="Abadi" panose="020B0604020104020204" pitchFamily="34" charset="0"/>
            </a:rPr>
            <a:t>Call</a:t>
          </a:r>
          <a:r>
            <a:rPr lang="en-US" sz="1000" baseline="0">
              <a:solidFill>
                <a:schemeClr val="bg1">
                  <a:lumMod val="50000"/>
                </a:schemeClr>
              </a:solidFill>
              <a:latin typeface="Abadi" panose="020B0604020104020204" pitchFamily="34" charset="0"/>
            </a:rPr>
            <a:t> Duration</a:t>
          </a:r>
          <a:endParaRPr lang="en-US" sz="1000">
            <a:solidFill>
              <a:schemeClr val="bg1">
                <a:lumMod val="50000"/>
              </a:schemeClr>
            </a:solidFill>
            <a:latin typeface="Abadi" panose="020B0604020104020204" pitchFamily="34" charset="0"/>
          </a:endParaRPr>
        </a:p>
      </xdr:txBody>
    </xdr:sp>
    <xdr:clientData/>
  </xdr:twoCellAnchor>
  <xdr:twoCellAnchor editAs="absolute">
    <xdr:from>
      <xdr:col>6</xdr:col>
      <xdr:colOff>328612</xdr:colOff>
      <xdr:row>21</xdr:row>
      <xdr:rowOff>133350</xdr:rowOff>
    </xdr:from>
    <xdr:to>
      <xdr:col>7</xdr:col>
      <xdr:colOff>271462</xdr:colOff>
      <xdr:row>23</xdr:row>
      <xdr:rowOff>0</xdr:rowOff>
    </xdr:to>
    <xdr:sp macro="" textlink="">
      <xdr:nvSpPr>
        <xdr:cNvPr id="121" name="TextBox 120">
          <a:extLst>
            <a:ext uri="{FF2B5EF4-FFF2-40B4-BE49-F238E27FC236}">
              <a16:creationId xmlns:a16="http://schemas.microsoft.com/office/drawing/2014/main" id="{2E6FCB83-D40F-4EE3-AB71-1FAC7A4672E6}"/>
            </a:ext>
          </a:extLst>
        </xdr:cNvPr>
        <xdr:cNvSpPr txBox="1"/>
      </xdr:nvSpPr>
      <xdr:spPr>
        <a:xfrm>
          <a:off x="4443412" y="4333875"/>
          <a:ext cx="628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aseline="0">
              <a:solidFill>
                <a:schemeClr val="bg1">
                  <a:lumMod val="50000"/>
                </a:schemeClr>
              </a:solidFill>
              <a:latin typeface="Abadi" panose="020B0604020104020204" pitchFamily="34" charset="0"/>
            </a:rPr>
            <a:t>mm:ss</a:t>
          </a:r>
          <a:endParaRPr lang="en-US" sz="1000">
            <a:solidFill>
              <a:schemeClr val="bg1">
                <a:lumMod val="50000"/>
              </a:schemeClr>
            </a:solidFill>
            <a:latin typeface="Abadi" panose="020B0604020104020204" pitchFamily="34" charset="0"/>
          </a:endParaRPr>
        </a:p>
      </xdr:txBody>
    </xdr:sp>
    <xdr:clientData/>
  </xdr:twoCellAnchor>
  <xdr:twoCellAnchor editAs="absolute">
    <xdr:from>
      <xdr:col>7</xdr:col>
      <xdr:colOff>490537</xdr:colOff>
      <xdr:row>21</xdr:row>
      <xdr:rowOff>133350</xdr:rowOff>
    </xdr:from>
    <xdr:to>
      <xdr:col>8</xdr:col>
      <xdr:colOff>433387</xdr:colOff>
      <xdr:row>23</xdr:row>
      <xdr:rowOff>0</xdr:rowOff>
    </xdr:to>
    <xdr:sp macro="" textlink="">
      <xdr:nvSpPr>
        <xdr:cNvPr id="122" name="TextBox 121">
          <a:extLst>
            <a:ext uri="{FF2B5EF4-FFF2-40B4-BE49-F238E27FC236}">
              <a16:creationId xmlns:a16="http://schemas.microsoft.com/office/drawing/2014/main" id="{35CB0311-ACEA-4EFE-B780-20BC9D5A1785}"/>
            </a:ext>
          </a:extLst>
        </xdr:cNvPr>
        <xdr:cNvSpPr txBox="1"/>
      </xdr:nvSpPr>
      <xdr:spPr>
        <a:xfrm>
          <a:off x="5291137" y="4333875"/>
          <a:ext cx="628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aseline="0">
              <a:solidFill>
                <a:schemeClr val="bg1">
                  <a:lumMod val="50000"/>
                </a:schemeClr>
              </a:solidFill>
              <a:latin typeface="Abadi" panose="020B0604020104020204" pitchFamily="34" charset="0"/>
            </a:rPr>
            <a:t>mm:ss</a:t>
          </a:r>
          <a:endParaRPr lang="en-US" sz="1000">
            <a:solidFill>
              <a:schemeClr val="bg1">
                <a:lumMod val="50000"/>
              </a:schemeClr>
            </a:solidFill>
            <a:latin typeface="Abadi" panose="020B0604020104020204" pitchFamily="34" charset="0"/>
          </a:endParaRPr>
        </a:p>
      </xdr:txBody>
    </xdr:sp>
    <xdr:clientData/>
  </xdr:twoCellAnchor>
  <xdr:twoCellAnchor editAs="absolute">
    <xdr:from>
      <xdr:col>7</xdr:col>
      <xdr:colOff>428625</xdr:colOff>
      <xdr:row>20</xdr:row>
      <xdr:rowOff>95250</xdr:rowOff>
    </xdr:from>
    <xdr:to>
      <xdr:col>8</xdr:col>
      <xdr:colOff>495300</xdr:colOff>
      <xdr:row>21</xdr:row>
      <xdr:rowOff>171450</xdr:rowOff>
    </xdr:to>
    <xdr:sp macro="" textlink="'Pivot Tables'!BR7">
      <xdr:nvSpPr>
        <xdr:cNvPr id="123" name="TextBox 122">
          <a:extLst>
            <a:ext uri="{FF2B5EF4-FFF2-40B4-BE49-F238E27FC236}">
              <a16:creationId xmlns:a16="http://schemas.microsoft.com/office/drawing/2014/main" id="{89AF2A25-367C-4A74-B014-826EB61BC530}"/>
            </a:ext>
          </a:extLst>
        </xdr:cNvPr>
        <xdr:cNvSpPr txBox="1"/>
      </xdr:nvSpPr>
      <xdr:spPr>
        <a:xfrm>
          <a:off x="5229225" y="409575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5AF17E-1DBF-4DE1-8F56-6B91A477E95B}" type="TxLink">
            <a:rPr lang="en-US" sz="1400" b="0" i="0" u="none" strike="noStrike">
              <a:solidFill>
                <a:srgbClr val="000000"/>
              </a:solidFill>
              <a:latin typeface="Abadi" panose="020B0604020104020204" pitchFamily="34" charset="0"/>
              <a:cs typeface="Arial"/>
            </a:rPr>
            <a:pPr algn="ctr"/>
            <a:t>02:00</a:t>
          </a:fld>
          <a:endParaRPr lang="en-US" sz="1800">
            <a:latin typeface="Abadi" panose="020B0604020104020204" pitchFamily="34" charset="0"/>
          </a:endParaRPr>
        </a:p>
      </xdr:txBody>
    </xdr:sp>
    <xdr:clientData/>
  </xdr:twoCellAnchor>
  <xdr:twoCellAnchor editAs="absolute">
    <xdr:from>
      <xdr:col>13</xdr:col>
      <xdr:colOff>457200</xdr:colOff>
      <xdr:row>23</xdr:row>
      <xdr:rowOff>180975</xdr:rowOff>
    </xdr:from>
    <xdr:to>
      <xdr:col>18</xdr:col>
      <xdr:colOff>190500</xdr:colOff>
      <xdr:row>36</xdr:row>
      <xdr:rowOff>114299</xdr:rowOff>
    </xdr:to>
    <xdr:sp macro="" textlink="">
      <xdr:nvSpPr>
        <xdr:cNvPr id="124" name="Rectangle: Rounded Corners 123">
          <a:extLst>
            <a:ext uri="{FF2B5EF4-FFF2-40B4-BE49-F238E27FC236}">
              <a16:creationId xmlns:a16="http://schemas.microsoft.com/office/drawing/2014/main" id="{E8A7649A-1F9E-4897-93E9-B462B4F92F47}"/>
            </a:ext>
          </a:extLst>
        </xdr:cNvPr>
        <xdr:cNvSpPr/>
      </xdr:nvSpPr>
      <xdr:spPr>
        <a:xfrm>
          <a:off x="9372600" y="4781550"/>
          <a:ext cx="3162300" cy="2533649"/>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13</xdr:col>
      <xdr:colOff>476250</xdr:colOff>
      <xdr:row>26</xdr:row>
      <xdr:rowOff>190500</xdr:rowOff>
    </xdr:from>
    <xdr:to>
      <xdr:col>18</xdr:col>
      <xdr:colOff>247650</xdr:colOff>
      <xdr:row>35</xdr:row>
      <xdr:rowOff>123824</xdr:rowOff>
    </xdr:to>
    <xdr:graphicFrame macro="">
      <xdr:nvGraphicFramePr>
        <xdr:cNvPr id="125" name="Chart 124">
          <a:extLst>
            <a:ext uri="{FF2B5EF4-FFF2-40B4-BE49-F238E27FC236}">
              <a16:creationId xmlns:a16="http://schemas.microsoft.com/office/drawing/2014/main" id="{CBDB34BE-B322-4FE2-B843-0A5E2C646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13</xdr:col>
      <xdr:colOff>638175</xdr:colOff>
      <xdr:row>24</xdr:row>
      <xdr:rowOff>95249</xdr:rowOff>
    </xdr:from>
    <xdr:to>
      <xdr:col>15</xdr:col>
      <xdr:colOff>381000</xdr:colOff>
      <xdr:row>26</xdr:row>
      <xdr:rowOff>200024</xdr:rowOff>
    </xdr:to>
    <xdr:sp macro="" textlink="">
      <xdr:nvSpPr>
        <xdr:cNvPr id="126" name="TextBox 125">
          <a:extLst>
            <a:ext uri="{FF2B5EF4-FFF2-40B4-BE49-F238E27FC236}">
              <a16:creationId xmlns:a16="http://schemas.microsoft.com/office/drawing/2014/main" id="{47205709-49D5-4524-B38F-CA88907910DB}"/>
            </a:ext>
          </a:extLst>
        </xdr:cNvPr>
        <xdr:cNvSpPr txBox="1"/>
      </xdr:nvSpPr>
      <xdr:spPr>
        <a:xfrm>
          <a:off x="9553575" y="4895849"/>
          <a:ext cx="11144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a:solidFill>
                <a:schemeClr val="tx1"/>
              </a:solidFill>
              <a:latin typeface="Abadi" panose="020B0604020104020204" pitchFamily="34" charset="0"/>
              <a:ea typeface="+mn-ea"/>
              <a:cs typeface="Arial"/>
            </a:rPr>
            <a:t>Total</a:t>
          </a:r>
          <a:r>
            <a:rPr lang="en-US" sz="1200" b="0" i="0" u="none" strike="noStrike" baseline="0">
              <a:solidFill>
                <a:schemeClr val="tx1"/>
              </a:solidFill>
              <a:latin typeface="Abadi" panose="020B0604020104020204" pitchFamily="34" charset="0"/>
              <a:ea typeface="+mn-ea"/>
              <a:cs typeface="Arial"/>
            </a:rPr>
            <a:t> Sales </a:t>
          </a:r>
        </a:p>
        <a:p>
          <a:pPr marL="0" indent="0" algn="l"/>
          <a:r>
            <a:rPr lang="en-US" sz="1100" b="0" i="0" u="none" strike="noStrike" baseline="0">
              <a:solidFill>
                <a:schemeClr val="bg1">
                  <a:lumMod val="50000"/>
                </a:schemeClr>
              </a:solidFill>
              <a:latin typeface="Abadi" panose="020B0604020104020204" pitchFamily="34" charset="0"/>
              <a:ea typeface="+mn-ea"/>
              <a:cs typeface="Arial"/>
            </a:rPr>
            <a:t>by Sales Team</a:t>
          </a:r>
          <a:endParaRPr lang="en-US" sz="1100" b="0" i="0" u="none" strike="noStrike">
            <a:solidFill>
              <a:schemeClr val="bg1">
                <a:lumMod val="50000"/>
              </a:schemeClr>
            </a:solidFill>
            <a:latin typeface="Abadi" panose="020B0604020104020204" pitchFamily="34" charset="0"/>
            <a:ea typeface="+mn-ea"/>
            <a:cs typeface="Arial"/>
          </a:endParaRPr>
        </a:p>
      </xdr:txBody>
    </xdr:sp>
    <xdr:clientData/>
  </xdr:twoCellAnchor>
  <xdr:twoCellAnchor editAs="absolute">
    <xdr:from>
      <xdr:col>16</xdr:col>
      <xdr:colOff>438150</xdr:colOff>
      <xdr:row>24</xdr:row>
      <xdr:rowOff>9525</xdr:rowOff>
    </xdr:from>
    <xdr:to>
      <xdr:col>18</xdr:col>
      <xdr:colOff>180975</xdr:colOff>
      <xdr:row>25</xdr:row>
      <xdr:rowOff>123825</xdr:rowOff>
    </xdr:to>
    <xdr:sp macro="" textlink="'Pivot Tables'!CB5">
      <xdr:nvSpPr>
        <xdr:cNvPr id="127" name="TextBox 126">
          <a:extLst>
            <a:ext uri="{FF2B5EF4-FFF2-40B4-BE49-F238E27FC236}">
              <a16:creationId xmlns:a16="http://schemas.microsoft.com/office/drawing/2014/main" id="{C8387E28-C7EF-3C40-FAD7-E149738BBA46}"/>
            </a:ext>
          </a:extLst>
        </xdr:cNvPr>
        <xdr:cNvSpPr txBox="1"/>
      </xdr:nvSpPr>
      <xdr:spPr>
        <a:xfrm>
          <a:off x="11410950" y="4810125"/>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7D6146-723F-43AF-A1CE-F143A2171821}" type="TxLink">
            <a:rPr lang="en-US" sz="1100" b="0" i="0" u="none" strike="noStrike">
              <a:solidFill>
                <a:srgbClr val="000000"/>
              </a:solidFill>
              <a:latin typeface="Abadi" panose="020B0604020104020204" pitchFamily="34" charset="0"/>
              <a:cs typeface="Arial"/>
            </a:rPr>
            <a:pPr algn="ctr"/>
            <a:t>Mohammed</a:t>
          </a:fld>
          <a:endParaRPr lang="en-US" sz="1100">
            <a:latin typeface="Abadi" panose="020B0604020104020204" pitchFamily="34" charset="0"/>
          </a:endParaRPr>
        </a:p>
      </xdr:txBody>
    </xdr:sp>
    <xdr:clientData/>
  </xdr:twoCellAnchor>
  <xdr:twoCellAnchor editAs="absolute">
    <xdr:from>
      <xdr:col>16</xdr:col>
      <xdr:colOff>514350</xdr:colOff>
      <xdr:row>25</xdr:row>
      <xdr:rowOff>28575</xdr:rowOff>
    </xdr:from>
    <xdr:to>
      <xdr:col>18</xdr:col>
      <xdr:colOff>85725</xdr:colOff>
      <xdr:row>26</xdr:row>
      <xdr:rowOff>142875</xdr:rowOff>
    </xdr:to>
    <xdr:sp macro="" textlink="'Pivot Tables'!CC5">
      <xdr:nvSpPr>
        <xdr:cNvPr id="128" name="TextBox 127">
          <a:extLst>
            <a:ext uri="{FF2B5EF4-FFF2-40B4-BE49-F238E27FC236}">
              <a16:creationId xmlns:a16="http://schemas.microsoft.com/office/drawing/2014/main" id="{DEB4EA8F-3E36-457F-978E-0B016A135DE1}"/>
            </a:ext>
          </a:extLst>
        </xdr:cNvPr>
        <xdr:cNvSpPr txBox="1"/>
      </xdr:nvSpPr>
      <xdr:spPr>
        <a:xfrm>
          <a:off x="11487150" y="5029200"/>
          <a:ext cx="9429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BF6411-36BC-4ED3-A5F9-8793084B343A}" type="TxLink">
            <a:rPr lang="en-US" sz="1800" b="0" i="0" u="none" strike="noStrike">
              <a:solidFill>
                <a:srgbClr val="000000"/>
              </a:solidFill>
              <a:latin typeface="Abadi" panose="020B0604020104020204" pitchFamily="34" charset="0"/>
              <a:cs typeface="Arial"/>
            </a:rPr>
            <a:pPr algn="ctr"/>
            <a:t>5,4B</a:t>
          </a:fld>
          <a:endParaRPr lang="en-US" sz="1800">
            <a:latin typeface="Abadi" panose="020B0604020104020204" pitchFamily="34" charset="0"/>
          </a:endParaRPr>
        </a:p>
      </xdr:txBody>
    </xdr:sp>
    <xdr:clientData/>
  </xdr:twoCellAnchor>
  <xdr:twoCellAnchor editAs="absolute">
    <xdr:from>
      <xdr:col>16</xdr:col>
      <xdr:colOff>95250</xdr:colOff>
      <xdr:row>26</xdr:row>
      <xdr:rowOff>19050</xdr:rowOff>
    </xdr:from>
    <xdr:to>
      <xdr:col>18</xdr:col>
      <xdr:colOff>371475</xdr:colOff>
      <xdr:row>27</xdr:row>
      <xdr:rowOff>133350</xdr:rowOff>
    </xdr:to>
    <xdr:sp macro="" textlink="'Pivot Tables'!CB5">
      <xdr:nvSpPr>
        <xdr:cNvPr id="130" name="TextBox 129">
          <a:extLst>
            <a:ext uri="{FF2B5EF4-FFF2-40B4-BE49-F238E27FC236}">
              <a16:creationId xmlns:a16="http://schemas.microsoft.com/office/drawing/2014/main" id="{2E71A3FB-D35F-48AE-9605-9AB89280EF6C}"/>
            </a:ext>
          </a:extLst>
        </xdr:cNvPr>
        <xdr:cNvSpPr txBox="1"/>
      </xdr:nvSpPr>
      <xdr:spPr>
        <a:xfrm>
          <a:off x="11068050" y="5219700"/>
          <a:ext cx="1647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bg1">
                  <a:lumMod val="50000"/>
                </a:schemeClr>
              </a:solidFill>
              <a:latin typeface="Abadi" panose="020B0604020104020204" pitchFamily="34" charset="0"/>
              <a:cs typeface="Arial"/>
            </a:rPr>
            <a:t>Top selling</a:t>
          </a:r>
          <a:r>
            <a:rPr lang="en-US" sz="1000" b="0" i="0" u="none" strike="noStrike" baseline="0">
              <a:solidFill>
                <a:schemeClr val="bg1">
                  <a:lumMod val="50000"/>
                </a:schemeClr>
              </a:solidFill>
              <a:latin typeface="Abadi" panose="020B0604020104020204" pitchFamily="34" charset="0"/>
              <a:cs typeface="Arial"/>
            </a:rPr>
            <a:t> Sales team</a:t>
          </a:r>
          <a:endParaRPr lang="en-US" sz="1000">
            <a:solidFill>
              <a:schemeClr val="bg1">
                <a:lumMod val="50000"/>
              </a:schemeClr>
            </a:solidFill>
            <a:latin typeface="Abadi" panose="020B0604020104020204" pitchFamily="34" charset="0"/>
          </a:endParaRPr>
        </a:p>
      </xdr:txBody>
    </xdr:sp>
    <xdr:clientData/>
  </xdr:twoCellAnchor>
  <xdr:twoCellAnchor editAs="absolute">
    <xdr:from>
      <xdr:col>16</xdr:col>
      <xdr:colOff>247651</xdr:colOff>
      <xdr:row>24</xdr:row>
      <xdr:rowOff>104776</xdr:rowOff>
    </xdr:from>
    <xdr:to>
      <xdr:col>16</xdr:col>
      <xdr:colOff>647701</xdr:colOff>
      <xdr:row>26</xdr:row>
      <xdr:rowOff>104776</xdr:rowOff>
    </xdr:to>
    <xdr:pic>
      <xdr:nvPicPr>
        <xdr:cNvPr id="132" name="Graphic 131" descr="Badge New with solid fill">
          <a:extLst>
            <a:ext uri="{FF2B5EF4-FFF2-40B4-BE49-F238E27FC236}">
              <a16:creationId xmlns:a16="http://schemas.microsoft.com/office/drawing/2014/main" id="{7A0E29C6-E1BD-923D-0F5B-3DE27C8C14A6}"/>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1220451" y="4905376"/>
          <a:ext cx="400050" cy="400050"/>
        </a:xfrm>
        <a:prstGeom prst="rect">
          <a:avLst/>
        </a:prstGeom>
      </xdr:spPr>
    </xdr:pic>
    <xdr:clientData/>
  </xdr:twoCellAnchor>
  <xdr:twoCellAnchor editAs="absolute">
    <xdr:from>
      <xdr:col>6</xdr:col>
      <xdr:colOff>209550</xdr:colOff>
      <xdr:row>23</xdr:row>
      <xdr:rowOff>123824</xdr:rowOff>
    </xdr:from>
    <xdr:to>
      <xdr:col>13</xdr:col>
      <xdr:colOff>371475</xdr:colOff>
      <xdr:row>36</xdr:row>
      <xdr:rowOff>123824</xdr:rowOff>
    </xdr:to>
    <xdr:sp macro="" textlink="">
      <xdr:nvSpPr>
        <xdr:cNvPr id="134" name="Rectangle: Rounded Corners 133">
          <a:extLst>
            <a:ext uri="{FF2B5EF4-FFF2-40B4-BE49-F238E27FC236}">
              <a16:creationId xmlns:a16="http://schemas.microsoft.com/office/drawing/2014/main" id="{E4CE115C-4C0F-4C74-AC84-79C3E7257C6B}"/>
            </a:ext>
          </a:extLst>
        </xdr:cNvPr>
        <xdr:cNvSpPr/>
      </xdr:nvSpPr>
      <xdr:spPr>
        <a:xfrm>
          <a:off x="4324350" y="4724399"/>
          <a:ext cx="4962525" cy="2600325"/>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6</xdr:col>
      <xdr:colOff>247650</xdr:colOff>
      <xdr:row>27</xdr:row>
      <xdr:rowOff>9525</xdr:rowOff>
    </xdr:from>
    <xdr:to>
      <xdr:col>13</xdr:col>
      <xdr:colOff>361950</xdr:colOff>
      <xdr:row>36</xdr:row>
      <xdr:rowOff>57150</xdr:rowOff>
    </xdr:to>
    <xdr:graphicFrame macro="">
      <xdr:nvGraphicFramePr>
        <xdr:cNvPr id="135" name="Chart 134">
          <a:extLst>
            <a:ext uri="{FF2B5EF4-FFF2-40B4-BE49-F238E27FC236}">
              <a16:creationId xmlns:a16="http://schemas.microsoft.com/office/drawing/2014/main" id="{5D8ED0E1-0030-441A-BBAF-6C32E6027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absolute">
    <xdr:from>
      <xdr:col>6</xdr:col>
      <xdr:colOff>409575</xdr:colOff>
      <xdr:row>24</xdr:row>
      <xdr:rowOff>47624</xdr:rowOff>
    </xdr:from>
    <xdr:to>
      <xdr:col>9</xdr:col>
      <xdr:colOff>285750</xdr:colOff>
      <xdr:row>25</xdr:row>
      <xdr:rowOff>200024</xdr:rowOff>
    </xdr:to>
    <xdr:sp macro="" textlink="">
      <xdr:nvSpPr>
        <xdr:cNvPr id="136" name="TextBox 135">
          <a:extLst>
            <a:ext uri="{FF2B5EF4-FFF2-40B4-BE49-F238E27FC236}">
              <a16:creationId xmlns:a16="http://schemas.microsoft.com/office/drawing/2014/main" id="{671DFB60-8FBE-430E-9A65-924F48C24B8C}"/>
            </a:ext>
          </a:extLst>
        </xdr:cNvPr>
        <xdr:cNvSpPr txBox="1"/>
      </xdr:nvSpPr>
      <xdr:spPr>
        <a:xfrm>
          <a:off x="4524375" y="4848224"/>
          <a:ext cx="19335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a:solidFill>
                <a:sysClr val="windowText" lastClr="000000"/>
              </a:solidFill>
              <a:latin typeface="Abadi" panose="020B0604020104020204" pitchFamily="34" charset="0"/>
              <a:ea typeface="+mn-ea"/>
              <a:cs typeface="Arial"/>
            </a:rPr>
            <a:t>Consultant</a:t>
          </a:r>
          <a:r>
            <a:rPr lang="en-US" sz="1200" b="0" i="0" u="none" strike="noStrike" baseline="0">
              <a:solidFill>
                <a:sysClr val="windowText" lastClr="000000"/>
              </a:solidFill>
              <a:latin typeface="Abadi" panose="020B0604020104020204" pitchFamily="34" charset="0"/>
              <a:ea typeface="+mn-ea"/>
              <a:cs typeface="Arial"/>
            </a:rPr>
            <a:t> </a:t>
          </a:r>
          <a:r>
            <a:rPr lang="en-US" sz="1200" b="0" i="0" u="none" strike="noStrike">
              <a:solidFill>
                <a:schemeClr val="bg1">
                  <a:lumMod val="50000"/>
                </a:schemeClr>
              </a:solidFill>
              <a:latin typeface="Abadi" panose="020B0604020104020204" pitchFamily="34" charset="0"/>
              <a:ea typeface="+mn-ea"/>
              <a:cs typeface="Arial"/>
            </a:rPr>
            <a:t>by</a:t>
          </a:r>
          <a:r>
            <a:rPr lang="en-US" sz="1200" b="0" i="0" u="none" strike="noStrike" baseline="0">
              <a:solidFill>
                <a:schemeClr val="bg1">
                  <a:lumMod val="50000"/>
                </a:schemeClr>
              </a:solidFill>
              <a:latin typeface="Abadi" panose="020B0604020104020204" pitchFamily="34" charset="0"/>
              <a:ea typeface="+mn-ea"/>
              <a:cs typeface="Arial"/>
            </a:rPr>
            <a:t> total sales</a:t>
          </a:r>
          <a:endParaRPr lang="en-US" sz="1100" b="0" i="0" u="none" strike="noStrike">
            <a:solidFill>
              <a:schemeClr val="bg1">
                <a:lumMod val="50000"/>
              </a:schemeClr>
            </a:solidFill>
            <a:latin typeface="Abadi" panose="020B0604020104020204" pitchFamily="34" charset="0"/>
            <a:ea typeface="+mn-ea"/>
            <a:cs typeface="Arial"/>
          </a:endParaRPr>
        </a:p>
      </xdr:txBody>
    </xdr:sp>
    <xdr:clientData/>
  </xdr:twoCellAnchor>
  <xdr:twoCellAnchor editAs="absolute">
    <xdr:from>
      <xdr:col>11</xdr:col>
      <xdr:colOff>533400</xdr:colOff>
      <xdr:row>23</xdr:row>
      <xdr:rowOff>114300</xdr:rowOff>
    </xdr:from>
    <xdr:to>
      <xdr:col>13</xdr:col>
      <xdr:colOff>276225</xdr:colOff>
      <xdr:row>25</xdr:row>
      <xdr:rowOff>28575</xdr:rowOff>
    </xdr:to>
    <xdr:sp macro="" textlink="'Pivot Tables'!CF26">
      <xdr:nvSpPr>
        <xdr:cNvPr id="137" name="TextBox 136">
          <a:extLst>
            <a:ext uri="{FF2B5EF4-FFF2-40B4-BE49-F238E27FC236}">
              <a16:creationId xmlns:a16="http://schemas.microsoft.com/office/drawing/2014/main" id="{F63E813D-4A1B-4011-A7A6-0A25E4E9F275}"/>
            </a:ext>
          </a:extLst>
        </xdr:cNvPr>
        <xdr:cNvSpPr txBox="1"/>
      </xdr:nvSpPr>
      <xdr:spPr>
        <a:xfrm>
          <a:off x="8077200" y="4714875"/>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8CBB41-0131-4921-AEF0-514A40A0AC49}" type="TxLink">
            <a:rPr lang="en-US" sz="1100" b="0" i="0" u="none" strike="noStrike">
              <a:solidFill>
                <a:srgbClr val="000000"/>
              </a:solidFill>
              <a:latin typeface="Arial"/>
              <a:cs typeface="Arial"/>
            </a:rPr>
            <a:pPr algn="ctr"/>
            <a:t>Mohmed</a:t>
          </a:fld>
          <a:endParaRPr lang="en-US" sz="1100">
            <a:latin typeface="Abadi" panose="020B0604020104020204" pitchFamily="34" charset="0"/>
          </a:endParaRPr>
        </a:p>
      </xdr:txBody>
    </xdr:sp>
    <xdr:clientData/>
  </xdr:twoCellAnchor>
  <xdr:twoCellAnchor editAs="absolute">
    <xdr:from>
      <xdr:col>11</xdr:col>
      <xdr:colOff>609600</xdr:colOff>
      <xdr:row>24</xdr:row>
      <xdr:rowOff>133350</xdr:rowOff>
    </xdr:from>
    <xdr:to>
      <xdr:col>13</xdr:col>
      <xdr:colOff>180975</xdr:colOff>
      <xdr:row>26</xdr:row>
      <xdr:rowOff>47625</xdr:rowOff>
    </xdr:to>
    <xdr:sp macro="" textlink="'Pivot Tables'!CG26">
      <xdr:nvSpPr>
        <xdr:cNvPr id="138" name="TextBox 137">
          <a:extLst>
            <a:ext uri="{FF2B5EF4-FFF2-40B4-BE49-F238E27FC236}">
              <a16:creationId xmlns:a16="http://schemas.microsoft.com/office/drawing/2014/main" id="{1237186C-04E2-460F-A87B-AE9EA8FE820A}"/>
            </a:ext>
          </a:extLst>
        </xdr:cNvPr>
        <xdr:cNvSpPr txBox="1"/>
      </xdr:nvSpPr>
      <xdr:spPr>
        <a:xfrm>
          <a:off x="8153400" y="4933950"/>
          <a:ext cx="9429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42F66C-C434-4033-8207-3373BF235725}" type="TxLink">
            <a:rPr lang="en-US" sz="1800" b="0" i="0" u="none" strike="noStrike">
              <a:solidFill>
                <a:srgbClr val="000000"/>
              </a:solidFill>
              <a:latin typeface="Abadi" panose="020B0604020104020204" pitchFamily="34" charset="0"/>
              <a:cs typeface="Arial"/>
            </a:rPr>
            <a:pPr algn="ctr"/>
            <a:t>1,7B</a:t>
          </a:fld>
          <a:endParaRPr lang="en-US" sz="3200">
            <a:latin typeface="Abadi" panose="020B0604020104020204" pitchFamily="34" charset="0"/>
          </a:endParaRPr>
        </a:p>
      </xdr:txBody>
    </xdr:sp>
    <xdr:clientData/>
  </xdr:twoCellAnchor>
  <xdr:twoCellAnchor editAs="absolute">
    <xdr:from>
      <xdr:col>11</xdr:col>
      <xdr:colOff>190500</xdr:colOff>
      <xdr:row>25</xdr:row>
      <xdr:rowOff>123825</xdr:rowOff>
    </xdr:from>
    <xdr:to>
      <xdr:col>13</xdr:col>
      <xdr:colOff>466725</xdr:colOff>
      <xdr:row>27</xdr:row>
      <xdr:rowOff>38100</xdr:rowOff>
    </xdr:to>
    <xdr:sp macro="" textlink="'Pivot Tables'!CB5">
      <xdr:nvSpPr>
        <xdr:cNvPr id="139" name="TextBox 138">
          <a:extLst>
            <a:ext uri="{FF2B5EF4-FFF2-40B4-BE49-F238E27FC236}">
              <a16:creationId xmlns:a16="http://schemas.microsoft.com/office/drawing/2014/main" id="{1D3DE571-2433-49C3-9201-922FCFC64497}"/>
            </a:ext>
          </a:extLst>
        </xdr:cNvPr>
        <xdr:cNvSpPr txBox="1"/>
      </xdr:nvSpPr>
      <xdr:spPr>
        <a:xfrm>
          <a:off x="7734300" y="5124450"/>
          <a:ext cx="1647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bg1">
                  <a:lumMod val="50000"/>
                </a:schemeClr>
              </a:solidFill>
              <a:latin typeface="Abadi" panose="020B0604020104020204" pitchFamily="34" charset="0"/>
              <a:cs typeface="Arial"/>
            </a:rPr>
            <a:t>Top selling</a:t>
          </a:r>
          <a:r>
            <a:rPr lang="en-US" sz="1000" b="0" i="0" u="none" strike="noStrike" baseline="0">
              <a:solidFill>
                <a:schemeClr val="bg1">
                  <a:lumMod val="50000"/>
                </a:schemeClr>
              </a:solidFill>
              <a:latin typeface="Abadi" panose="020B0604020104020204" pitchFamily="34" charset="0"/>
              <a:cs typeface="Arial"/>
            </a:rPr>
            <a:t> Consultant</a:t>
          </a:r>
          <a:endParaRPr lang="en-US" sz="1000">
            <a:solidFill>
              <a:schemeClr val="bg1">
                <a:lumMod val="50000"/>
              </a:schemeClr>
            </a:solidFill>
            <a:latin typeface="Abadi" panose="020B0604020104020204" pitchFamily="34" charset="0"/>
          </a:endParaRPr>
        </a:p>
      </xdr:txBody>
    </xdr:sp>
    <xdr:clientData/>
  </xdr:twoCellAnchor>
  <xdr:twoCellAnchor editAs="absolute">
    <xdr:from>
      <xdr:col>11</xdr:col>
      <xdr:colOff>342901</xdr:colOff>
      <xdr:row>24</xdr:row>
      <xdr:rowOff>9526</xdr:rowOff>
    </xdr:from>
    <xdr:to>
      <xdr:col>12</xdr:col>
      <xdr:colOff>57151</xdr:colOff>
      <xdr:row>26</xdr:row>
      <xdr:rowOff>9526</xdr:rowOff>
    </xdr:to>
    <xdr:pic>
      <xdr:nvPicPr>
        <xdr:cNvPr id="140" name="Graphic 139" descr="Badge New with solid fill">
          <a:extLst>
            <a:ext uri="{FF2B5EF4-FFF2-40B4-BE49-F238E27FC236}">
              <a16:creationId xmlns:a16="http://schemas.microsoft.com/office/drawing/2014/main" id="{D3B3D5CC-8915-4B19-8ABA-20F324657FE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7886701" y="4810126"/>
          <a:ext cx="400050" cy="400050"/>
        </a:xfrm>
        <a:prstGeom prst="rect">
          <a:avLst/>
        </a:prstGeom>
      </xdr:spPr>
    </xdr:pic>
    <xdr:clientData/>
  </xdr:twoCellAnchor>
  <xdr:twoCellAnchor editAs="absolute">
    <xdr:from>
      <xdr:col>2</xdr:col>
      <xdr:colOff>142877</xdr:colOff>
      <xdr:row>11</xdr:row>
      <xdr:rowOff>152400</xdr:rowOff>
    </xdr:from>
    <xdr:to>
      <xdr:col>6</xdr:col>
      <xdr:colOff>133351</xdr:colOff>
      <xdr:row>36</xdr:row>
      <xdr:rowOff>123825</xdr:rowOff>
    </xdr:to>
    <xdr:sp macro="" textlink="">
      <xdr:nvSpPr>
        <xdr:cNvPr id="141" name="Rectangle: Rounded Corners 140">
          <a:extLst>
            <a:ext uri="{FF2B5EF4-FFF2-40B4-BE49-F238E27FC236}">
              <a16:creationId xmlns:a16="http://schemas.microsoft.com/office/drawing/2014/main" id="{E1C56E12-CF33-4D3A-BB02-8DC60D350A2B}"/>
            </a:ext>
          </a:extLst>
        </xdr:cNvPr>
        <xdr:cNvSpPr/>
      </xdr:nvSpPr>
      <xdr:spPr>
        <a:xfrm>
          <a:off x="1514477" y="2352675"/>
          <a:ext cx="2733674" cy="497205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2</xdr:col>
      <xdr:colOff>114300</xdr:colOff>
      <xdr:row>13</xdr:row>
      <xdr:rowOff>66675</xdr:rowOff>
    </xdr:from>
    <xdr:to>
      <xdr:col>6</xdr:col>
      <xdr:colOff>390525</xdr:colOff>
      <xdr:row>25</xdr:row>
      <xdr:rowOff>0</xdr:rowOff>
    </xdr:to>
    <xdr:graphicFrame macro="">
      <xdr:nvGraphicFramePr>
        <xdr:cNvPr id="87" name="Chart 86">
          <a:extLst>
            <a:ext uri="{FF2B5EF4-FFF2-40B4-BE49-F238E27FC236}">
              <a16:creationId xmlns:a16="http://schemas.microsoft.com/office/drawing/2014/main" id="{5C53AB78-EA1D-4D83-940D-A903E2EB5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absolute">
    <xdr:from>
      <xdr:col>2</xdr:col>
      <xdr:colOff>257175</xdr:colOff>
      <xdr:row>12</xdr:row>
      <xdr:rowOff>57151</xdr:rowOff>
    </xdr:from>
    <xdr:to>
      <xdr:col>4</xdr:col>
      <xdr:colOff>485775</xdr:colOff>
      <xdr:row>13</xdr:row>
      <xdr:rowOff>161926</xdr:rowOff>
    </xdr:to>
    <xdr:sp macro="" textlink="">
      <xdr:nvSpPr>
        <xdr:cNvPr id="90" name="TextBox 89">
          <a:extLst>
            <a:ext uri="{FF2B5EF4-FFF2-40B4-BE49-F238E27FC236}">
              <a16:creationId xmlns:a16="http://schemas.microsoft.com/office/drawing/2014/main" id="{52E03AAC-6E7C-4E45-745E-A288427A5C86}"/>
            </a:ext>
          </a:extLst>
        </xdr:cNvPr>
        <xdr:cNvSpPr txBox="1"/>
      </xdr:nvSpPr>
      <xdr:spPr>
        <a:xfrm>
          <a:off x="1628775" y="2457451"/>
          <a:ext cx="1600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badi" panose="020B0604020104020204" pitchFamily="34" charset="0"/>
            </a:rPr>
            <a:t>Advertising</a:t>
          </a:r>
          <a:r>
            <a:rPr lang="en-US" sz="1200" baseline="0">
              <a:latin typeface="Abadi" panose="020B0604020104020204" pitchFamily="34" charset="0"/>
            </a:rPr>
            <a:t> Channel</a:t>
          </a:r>
          <a:endParaRPr lang="en-US" sz="1200">
            <a:latin typeface="Abadi" panose="020B0604020104020204" pitchFamily="34" charset="0"/>
          </a:endParaRPr>
        </a:p>
      </xdr:txBody>
    </xdr:sp>
    <xdr:clientData/>
  </xdr:twoCellAnchor>
  <xdr:twoCellAnchor editAs="absolute">
    <xdr:from>
      <xdr:col>3</xdr:col>
      <xdr:colOff>314325</xdr:colOff>
      <xdr:row>18</xdr:row>
      <xdr:rowOff>47626</xdr:rowOff>
    </xdr:from>
    <xdr:to>
      <xdr:col>5</xdr:col>
      <xdr:colOff>209550</xdr:colOff>
      <xdr:row>19</xdr:row>
      <xdr:rowOff>152401</xdr:rowOff>
    </xdr:to>
    <xdr:sp macro="" textlink="">
      <xdr:nvSpPr>
        <xdr:cNvPr id="97" name="TextBox 96">
          <a:extLst>
            <a:ext uri="{FF2B5EF4-FFF2-40B4-BE49-F238E27FC236}">
              <a16:creationId xmlns:a16="http://schemas.microsoft.com/office/drawing/2014/main" id="{FCAB4487-9B78-40C3-9B99-3992963B133D}"/>
            </a:ext>
          </a:extLst>
        </xdr:cNvPr>
        <xdr:cNvSpPr txBox="1"/>
      </xdr:nvSpPr>
      <xdr:spPr>
        <a:xfrm>
          <a:off x="2371725" y="3648076"/>
          <a:ext cx="12668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latin typeface="Abadi" panose="020B0604020104020204" pitchFamily="34" charset="0"/>
            </a:rPr>
            <a:t>Paid Advertisement</a:t>
          </a:r>
        </a:p>
      </xdr:txBody>
    </xdr:sp>
    <xdr:clientData/>
  </xdr:twoCellAnchor>
  <xdr:twoCellAnchor editAs="absolute">
    <xdr:from>
      <xdr:col>3</xdr:col>
      <xdr:colOff>533400</xdr:colOff>
      <xdr:row>19</xdr:row>
      <xdr:rowOff>104775</xdr:rowOff>
    </xdr:from>
    <xdr:to>
      <xdr:col>4</xdr:col>
      <xdr:colOff>676275</xdr:colOff>
      <xdr:row>20</xdr:row>
      <xdr:rowOff>133350</xdr:rowOff>
    </xdr:to>
    <xdr:sp macro="" textlink="'Pivot Tables'!CQ13">
      <xdr:nvSpPr>
        <xdr:cNvPr id="100" name="TextBox 99">
          <a:extLst>
            <a:ext uri="{FF2B5EF4-FFF2-40B4-BE49-F238E27FC236}">
              <a16:creationId xmlns:a16="http://schemas.microsoft.com/office/drawing/2014/main" id="{6892AFA3-D334-D539-BB18-3EA87192019C}"/>
            </a:ext>
          </a:extLst>
        </xdr:cNvPr>
        <xdr:cNvSpPr txBox="1"/>
      </xdr:nvSpPr>
      <xdr:spPr>
        <a:xfrm>
          <a:off x="2590800" y="3905250"/>
          <a:ext cx="8286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8269AA-DFD3-4A3E-A071-FD8759D5D873}" type="TxLink">
            <a:rPr lang="en-US" sz="1800" b="0" i="0" u="none" strike="noStrike">
              <a:solidFill>
                <a:srgbClr val="000000"/>
              </a:solidFill>
              <a:latin typeface="Abadi" panose="020B0604020104020204" pitchFamily="34" charset="0"/>
              <a:cs typeface="Arial"/>
            </a:rPr>
            <a:pPr algn="ctr"/>
            <a:t>16,0B</a:t>
          </a:fld>
          <a:endParaRPr lang="en-US" sz="1800">
            <a:latin typeface="Abadi" panose="020B0604020104020204" pitchFamily="34" charset="0"/>
          </a:endParaRPr>
        </a:p>
      </xdr:txBody>
    </xdr:sp>
    <xdr:clientData/>
  </xdr:twoCellAnchor>
  <xdr:twoCellAnchor editAs="absolute">
    <xdr:from>
      <xdr:col>4</xdr:col>
      <xdr:colOff>38100</xdr:colOff>
      <xdr:row>16</xdr:row>
      <xdr:rowOff>114300</xdr:rowOff>
    </xdr:from>
    <xdr:to>
      <xdr:col>4</xdr:col>
      <xdr:colOff>457199</xdr:colOff>
      <xdr:row>18</xdr:row>
      <xdr:rowOff>133349</xdr:rowOff>
    </xdr:to>
    <xdr:pic>
      <xdr:nvPicPr>
        <xdr:cNvPr id="106" name="Graphic 105" descr="Megaphone with solid fill">
          <a:extLst>
            <a:ext uri="{FF2B5EF4-FFF2-40B4-BE49-F238E27FC236}">
              <a16:creationId xmlns:a16="http://schemas.microsoft.com/office/drawing/2014/main" id="{8A876B49-1819-D06C-DF6C-98A4E1FD9D7F}"/>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2781300" y="3314700"/>
          <a:ext cx="419099" cy="419099"/>
        </a:xfrm>
        <a:prstGeom prst="rect">
          <a:avLst/>
        </a:prstGeom>
      </xdr:spPr>
    </xdr:pic>
    <xdr:clientData/>
  </xdr:twoCellAnchor>
  <xdr:twoCellAnchor editAs="absolute">
    <xdr:from>
      <xdr:col>2</xdr:col>
      <xdr:colOff>330662</xdr:colOff>
      <xdr:row>26</xdr:row>
      <xdr:rowOff>57149</xdr:rowOff>
    </xdr:from>
    <xdr:to>
      <xdr:col>4</xdr:col>
      <xdr:colOff>352426</xdr:colOff>
      <xdr:row>27</xdr:row>
      <xdr:rowOff>142876</xdr:rowOff>
    </xdr:to>
    <xdr:sp macro="" textlink="'Pivot Tables'!CR3">
      <xdr:nvSpPr>
        <xdr:cNvPr id="105" name="TextBox 104">
          <a:extLst>
            <a:ext uri="{FF2B5EF4-FFF2-40B4-BE49-F238E27FC236}">
              <a16:creationId xmlns:a16="http://schemas.microsoft.com/office/drawing/2014/main" id="{7F2893AD-DAE3-4877-9533-0B83A5738E81}"/>
            </a:ext>
          </a:extLst>
        </xdr:cNvPr>
        <xdr:cNvSpPr txBox="1"/>
      </xdr:nvSpPr>
      <xdr:spPr>
        <a:xfrm>
          <a:off x="1702262" y="52577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69BA84D-48E7-4FC5-844D-A44FC59BD8D7}" type="TxLink">
            <a:rPr lang="en-US" sz="1100" b="0" i="0" u="none" strike="noStrike">
              <a:solidFill>
                <a:sysClr val="windowText" lastClr="000000"/>
              </a:solidFill>
              <a:latin typeface="Abadi" panose="020B0604020104020204" pitchFamily="34" charset="0"/>
              <a:cs typeface="Arial"/>
            </a:rPr>
            <a:pPr algn="l"/>
            <a:t>Youtube Channel</a:t>
          </a:fld>
          <a:endParaRPr lang="en-US" sz="1200" b="0">
            <a:solidFill>
              <a:sysClr val="windowText" lastClr="000000"/>
            </a:solidFill>
            <a:latin typeface="Abadi" panose="020B0604020104020204" pitchFamily="34" charset="0"/>
          </a:endParaRPr>
        </a:p>
      </xdr:txBody>
    </xdr:sp>
    <xdr:clientData/>
  </xdr:twoCellAnchor>
  <xdr:twoCellAnchor editAs="absolute">
    <xdr:from>
      <xdr:col>2</xdr:col>
      <xdr:colOff>330662</xdr:colOff>
      <xdr:row>28</xdr:row>
      <xdr:rowOff>123824</xdr:rowOff>
    </xdr:from>
    <xdr:to>
      <xdr:col>4</xdr:col>
      <xdr:colOff>352426</xdr:colOff>
      <xdr:row>30</xdr:row>
      <xdr:rowOff>9526</xdr:rowOff>
    </xdr:to>
    <xdr:sp macro="" textlink="'Pivot Tables'!CS3">
      <xdr:nvSpPr>
        <xdr:cNvPr id="107" name="TextBox 106">
          <a:extLst>
            <a:ext uri="{FF2B5EF4-FFF2-40B4-BE49-F238E27FC236}">
              <a16:creationId xmlns:a16="http://schemas.microsoft.com/office/drawing/2014/main" id="{3A1B0918-4F20-40BA-9B8F-67EE617F3B35}"/>
            </a:ext>
          </a:extLst>
        </xdr:cNvPr>
        <xdr:cNvSpPr txBox="1"/>
      </xdr:nvSpPr>
      <xdr:spPr>
        <a:xfrm>
          <a:off x="1702262" y="5724524"/>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9FBDEA4-CE07-4DD6-90E2-A32229D2D8B5}" type="TxLink">
            <a:rPr lang="en-US" sz="1100" b="0" i="0" u="none" strike="noStrike">
              <a:solidFill>
                <a:sysClr val="windowText" lastClr="000000"/>
              </a:solidFill>
              <a:latin typeface="Abadi" panose="020B0604020104020204" pitchFamily="34" charset="0"/>
              <a:cs typeface="Arial"/>
            </a:rPr>
            <a:pPr algn="l"/>
            <a:t>Google Ad</a:t>
          </a:fld>
          <a:endParaRPr lang="en-US" sz="1200" b="0">
            <a:solidFill>
              <a:sysClr val="windowText" lastClr="000000"/>
            </a:solidFill>
            <a:latin typeface="Abadi" panose="020B0604020104020204" pitchFamily="34" charset="0"/>
          </a:endParaRPr>
        </a:p>
      </xdr:txBody>
    </xdr:sp>
    <xdr:clientData/>
  </xdr:twoCellAnchor>
  <xdr:twoCellAnchor editAs="absolute">
    <xdr:from>
      <xdr:col>2</xdr:col>
      <xdr:colOff>330662</xdr:colOff>
      <xdr:row>31</xdr:row>
      <xdr:rowOff>9524</xdr:rowOff>
    </xdr:from>
    <xdr:to>
      <xdr:col>4</xdr:col>
      <xdr:colOff>352426</xdr:colOff>
      <xdr:row>32</xdr:row>
      <xdr:rowOff>95251</xdr:rowOff>
    </xdr:to>
    <xdr:sp macro="" textlink="'Pivot Tables'!CT3">
      <xdr:nvSpPr>
        <xdr:cNvPr id="108" name="TextBox 107">
          <a:extLst>
            <a:ext uri="{FF2B5EF4-FFF2-40B4-BE49-F238E27FC236}">
              <a16:creationId xmlns:a16="http://schemas.microsoft.com/office/drawing/2014/main" id="{72272F37-10D6-4516-926B-B93DC2368C1A}"/>
            </a:ext>
          </a:extLst>
        </xdr:cNvPr>
        <xdr:cNvSpPr txBox="1"/>
      </xdr:nvSpPr>
      <xdr:spPr>
        <a:xfrm>
          <a:off x="1702262" y="62102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A209CD7-9115-4242-BD7D-330D0C61E13C}" type="TxLink">
            <a:rPr lang="en-US" sz="1100" b="0" i="0" u="none" strike="noStrike">
              <a:solidFill>
                <a:sysClr val="windowText" lastClr="000000"/>
              </a:solidFill>
              <a:latin typeface="Abadi" panose="020B0604020104020204" pitchFamily="34" charset="0"/>
              <a:cs typeface="Arial"/>
            </a:rPr>
            <a:pPr algn="l"/>
            <a:t>WhatsApp</a:t>
          </a:fld>
          <a:endParaRPr lang="en-US" sz="1200" b="0">
            <a:solidFill>
              <a:sysClr val="windowText" lastClr="000000"/>
            </a:solidFill>
            <a:latin typeface="Abadi" panose="020B0604020104020204" pitchFamily="34" charset="0"/>
          </a:endParaRPr>
        </a:p>
      </xdr:txBody>
    </xdr:sp>
    <xdr:clientData/>
  </xdr:twoCellAnchor>
  <xdr:twoCellAnchor editAs="absolute">
    <xdr:from>
      <xdr:col>4</xdr:col>
      <xdr:colOff>306849</xdr:colOff>
      <xdr:row>26</xdr:row>
      <xdr:rowOff>57149</xdr:rowOff>
    </xdr:from>
    <xdr:to>
      <xdr:col>6</xdr:col>
      <xdr:colOff>328613</xdr:colOff>
      <xdr:row>27</xdr:row>
      <xdr:rowOff>142876</xdr:rowOff>
    </xdr:to>
    <xdr:sp macro="" textlink="'Pivot Tables'!CU3">
      <xdr:nvSpPr>
        <xdr:cNvPr id="109" name="TextBox 108">
          <a:extLst>
            <a:ext uri="{FF2B5EF4-FFF2-40B4-BE49-F238E27FC236}">
              <a16:creationId xmlns:a16="http://schemas.microsoft.com/office/drawing/2014/main" id="{D3746931-553C-47B7-890A-A3EBB7E40227}"/>
            </a:ext>
          </a:extLst>
        </xdr:cNvPr>
        <xdr:cNvSpPr txBox="1"/>
      </xdr:nvSpPr>
      <xdr:spPr>
        <a:xfrm>
          <a:off x="3050049" y="52577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C0755CE-3424-48F6-BCDA-0664CBFCFCC2}" type="TxLink">
            <a:rPr lang="en-US" sz="1100" b="0" i="0" u="none" strike="noStrike">
              <a:solidFill>
                <a:sysClr val="windowText" lastClr="000000"/>
              </a:solidFill>
              <a:latin typeface="Abadi" panose="020B0604020104020204" pitchFamily="34" charset="0"/>
              <a:cs typeface="Arial"/>
            </a:rPr>
            <a:pPr algn="l"/>
            <a:t>Company Website</a:t>
          </a:fld>
          <a:endParaRPr lang="en-US" sz="1200" b="0">
            <a:solidFill>
              <a:sysClr val="windowText" lastClr="000000"/>
            </a:solidFill>
            <a:latin typeface="Abadi" panose="020B0604020104020204" pitchFamily="34" charset="0"/>
          </a:endParaRPr>
        </a:p>
      </xdr:txBody>
    </xdr:sp>
    <xdr:clientData/>
  </xdr:twoCellAnchor>
  <xdr:twoCellAnchor editAs="absolute">
    <xdr:from>
      <xdr:col>4</xdr:col>
      <xdr:colOff>306849</xdr:colOff>
      <xdr:row>28</xdr:row>
      <xdr:rowOff>114299</xdr:rowOff>
    </xdr:from>
    <xdr:to>
      <xdr:col>6</xdr:col>
      <xdr:colOff>328613</xdr:colOff>
      <xdr:row>30</xdr:row>
      <xdr:rowOff>1</xdr:rowOff>
    </xdr:to>
    <xdr:sp macro="" textlink="'Pivot Tables'!CV3">
      <xdr:nvSpPr>
        <xdr:cNvPr id="112" name="TextBox 111">
          <a:extLst>
            <a:ext uri="{FF2B5EF4-FFF2-40B4-BE49-F238E27FC236}">
              <a16:creationId xmlns:a16="http://schemas.microsoft.com/office/drawing/2014/main" id="{24E98AD4-6EED-4AA6-9B2F-3091066A011C}"/>
            </a:ext>
          </a:extLst>
        </xdr:cNvPr>
        <xdr:cNvSpPr txBox="1"/>
      </xdr:nvSpPr>
      <xdr:spPr>
        <a:xfrm>
          <a:off x="3050049" y="57149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63DBCCA-FE4C-4F78-B561-09B5D27DA946}" type="TxLink">
            <a:rPr lang="en-US" sz="1100" b="0" i="0" u="none" strike="noStrike">
              <a:solidFill>
                <a:sysClr val="windowText" lastClr="000000"/>
              </a:solidFill>
              <a:latin typeface="Abadi" panose="020B0604020104020204" pitchFamily="34" charset="0"/>
              <a:cs typeface="Arial"/>
            </a:rPr>
            <a:pPr algn="l"/>
            <a:t>Facebook Page</a:t>
          </a:fld>
          <a:endParaRPr lang="en-US" sz="1200" b="0">
            <a:solidFill>
              <a:sysClr val="windowText" lastClr="000000"/>
            </a:solidFill>
            <a:latin typeface="Abadi" panose="020B0604020104020204" pitchFamily="34" charset="0"/>
          </a:endParaRPr>
        </a:p>
      </xdr:txBody>
    </xdr:sp>
    <xdr:clientData/>
  </xdr:twoCellAnchor>
  <xdr:twoCellAnchor editAs="absolute">
    <xdr:from>
      <xdr:col>4</xdr:col>
      <xdr:colOff>306849</xdr:colOff>
      <xdr:row>31</xdr:row>
      <xdr:rowOff>9524</xdr:rowOff>
    </xdr:from>
    <xdr:to>
      <xdr:col>6</xdr:col>
      <xdr:colOff>328613</xdr:colOff>
      <xdr:row>32</xdr:row>
      <xdr:rowOff>95251</xdr:rowOff>
    </xdr:to>
    <xdr:sp macro="" textlink="'Pivot Tables'!CW3">
      <xdr:nvSpPr>
        <xdr:cNvPr id="120" name="TextBox 119">
          <a:extLst>
            <a:ext uri="{FF2B5EF4-FFF2-40B4-BE49-F238E27FC236}">
              <a16:creationId xmlns:a16="http://schemas.microsoft.com/office/drawing/2014/main" id="{3DA07E1D-EAC7-4D94-8C53-0701EBAC03A1}"/>
            </a:ext>
          </a:extLst>
        </xdr:cNvPr>
        <xdr:cNvSpPr txBox="1"/>
      </xdr:nvSpPr>
      <xdr:spPr>
        <a:xfrm>
          <a:off x="3050049" y="62102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CE0E1B6-8F24-45B7-9577-5B94E4CE9F02}" type="TxLink">
            <a:rPr lang="en-US" sz="1100" b="0" i="0" u="none" strike="noStrike">
              <a:solidFill>
                <a:sysClr val="windowText" lastClr="000000"/>
              </a:solidFill>
              <a:latin typeface="Abadi" panose="020B0604020104020204" pitchFamily="34" charset="0"/>
              <a:cs typeface="Arial"/>
            </a:rPr>
            <a:pPr algn="l"/>
            <a:t>Television Ad</a:t>
          </a:fld>
          <a:endParaRPr lang="en-US" sz="1200" b="0">
            <a:solidFill>
              <a:sysClr val="windowText" lastClr="000000"/>
            </a:solidFill>
            <a:latin typeface="Abadi" panose="020B0604020104020204" pitchFamily="34" charset="0"/>
          </a:endParaRPr>
        </a:p>
      </xdr:txBody>
    </xdr:sp>
    <xdr:clientData/>
  </xdr:twoCellAnchor>
  <xdr:twoCellAnchor editAs="absolute">
    <xdr:from>
      <xdr:col>2</xdr:col>
      <xdr:colOff>330662</xdr:colOff>
      <xdr:row>27</xdr:row>
      <xdr:rowOff>85724</xdr:rowOff>
    </xdr:from>
    <xdr:to>
      <xdr:col>4</xdr:col>
      <xdr:colOff>352426</xdr:colOff>
      <xdr:row>28</xdr:row>
      <xdr:rowOff>171451</xdr:rowOff>
    </xdr:to>
    <xdr:sp macro="" textlink="'Pivot Tables'!CR4">
      <xdr:nvSpPr>
        <xdr:cNvPr id="129" name="TextBox 128">
          <a:extLst>
            <a:ext uri="{FF2B5EF4-FFF2-40B4-BE49-F238E27FC236}">
              <a16:creationId xmlns:a16="http://schemas.microsoft.com/office/drawing/2014/main" id="{C963789E-AFC0-4898-8FDF-0905F78BC367}"/>
            </a:ext>
          </a:extLst>
        </xdr:cNvPr>
        <xdr:cNvSpPr txBox="1"/>
      </xdr:nvSpPr>
      <xdr:spPr>
        <a:xfrm>
          <a:off x="1702262" y="54863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469FBA7-6EAB-42ED-B97B-5367147C8755}" type="TxLink">
            <a:rPr lang="en-US" sz="1100" b="0" i="0" u="none" strike="noStrike">
              <a:solidFill>
                <a:srgbClr val="000000"/>
              </a:solidFill>
              <a:latin typeface="Abadi" panose="020B0604020104020204" pitchFamily="34" charset="0"/>
              <a:cs typeface="Arial"/>
            </a:rPr>
            <a:pPr algn="l"/>
            <a:t>806,0M</a:t>
          </a:fld>
          <a:endParaRPr lang="en-US" sz="1200">
            <a:solidFill>
              <a:sysClr val="windowText" lastClr="000000"/>
            </a:solidFill>
            <a:latin typeface="Abadi" panose="020B0604020104020204" pitchFamily="34" charset="0"/>
          </a:endParaRPr>
        </a:p>
      </xdr:txBody>
    </xdr:sp>
    <xdr:clientData/>
  </xdr:twoCellAnchor>
  <xdr:twoCellAnchor editAs="absolute">
    <xdr:from>
      <xdr:col>2</xdr:col>
      <xdr:colOff>330662</xdr:colOff>
      <xdr:row>29</xdr:row>
      <xdr:rowOff>133349</xdr:rowOff>
    </xdr:from>
    <xdr:to>
      <xdr:col>4</xdr:col>
      <xdr:colOff>352426</xdr:colOff>
      <xdr:row>31</xdr:row>
      <xdr:rowOff>19051</xdr:rowOff>
    </xdr:to>
    <xdr:sp macro="" textlink="'Pivot Tables'!CS4">
      <xdr:nvSpPr>
        <xdr:cNvPr id="131" name="TextBox 130">
          <a:extLst>
            <a:ext uri="{FF2B5EF4-FFF2-40B4-BE49-F238E27FC236}">
              <a16:creationId xmlns:a16="http://schemas.microsoft.com/office/drawing/2014/main" id="{95C89313-4ED4-4369-9C3B-61B1762CC3CB}"/>
            </a:ext>
          </a:extLst>
        </xdr:cNvPr>
        <xdr:cNvSpPr txBox="1"/>
      </xdr:nvSpPr>
      <xdr:spPr>
        <a:xfrm>
          <a:off x="1702262" y="5934074"/>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080D11-55FD-4999-88F3-32842287BA22}" type="TxLink">
            <a:rPr lang="en-US" sz="1100" b="0" i="0" u="none" strike="noStrike">
              <a:solidFill>
                <a:srgbClr val="000000"/>
              </a:solidFill>
              <a:latin typeface="Abadi" panose="020B0604020104020204" pitchFamily="34" charset="0"/>
              <a:cs typeface="Arial"/>
            </a:rPr>
            <a:pPr algn="l"/>
            <a:t>1,8B</a:t>
          </a:fld>
          <a:endParaRPr lang="en-US" sz="1200">
            <a:solidFill>
              <a:sysClr val="windowText" lastClr="000000"/>
            </a:solidFill>
            <a:latin typeface="Abadi" panose="020B0604020104020204" pitchFamily="34" charset="0"/>
          </a:endParaRPr>
        </a:p>
      </xdr:txBody>
    </xdr:sp>
    <xdr:clientData/>
  </xdr:twoCellAnchor>
  <xdr:twoCellAnchor editAs="absolute">
    <xdr:from>
      <xdr:col>2</xdr:col>
      <xdr:colOff>330662</xdr:colOff>
      <xdr:row>32</xdr:row>
      <xdr:rowOff>19049</xdr:rowOff>
    </xdr:from>
    <xdr:to>
      <xdr:col>4</xdr:col>
      <xdr:colOff>352426</xdr:colOff>
      <xdr:row>33</xdr:row>
      <xdr:rowOff>104776</xdr:rowOff>
    </xdr:to>
    <xdr:sp macro="" textlink="'Pivot Tables'!CT4">
      <xdr:nvSpPr>
        <xdr:cNvPr id="133" name="TextBox 132">
          <a:extLst>
            <a:ext uri="{FF2B5EF4-FFF2-40B4-BE49-F238E27FC236}">
              <a16:creationId xmlns:a16="http://schemas.microsoft.com/office/drawing/2014/main" id="{285DE75B-DC4E-4D89-B74A-45ADB6C5A2D0}"/>
            </a:ext>
          </a:extLst>
        </xdr:cNvPr>
        <xdr:cNvSpPr txBox="1"/>
      </xdr:nvSpPr>
      <xdr:spPr>
        <a:xfrm>
          <a:off x="1702262" y="641984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4BDF502-8081-42FC-9CB3-AD794C51EA67}" type="TxLink">
            <a:rPr lang="en-US" sz="1100" b="0" i="0" u="none" strike="noStrike">
              <a:solidFill>
                <a:srgbClr val="000000"/>
              </a:solidFill>
              <a:latin typeface="Abadi" panose="020B0604020104020204" pitchFamily="34" charset="0"/>
              <a:cs typeface="Arial"/>
            </a:rPr>
            <a:pPr algn="l"/>
            <a:t>2,5B</a:t>
          </a:fld>
          <a:endParaRPr lang="en-US" sz="1200">
            <a:solidFill>
              <a:sysClr val="windowText" lastClr="000000"/>
            </a:solidFill>
            <a:latin typeface="Abadi" panose="020B0604020104020204" pitchFamily="34" charset="0"/>
          </a:endParaRPr>
        </a:p>
      </xdr:txBody>
    </xdr:sp>
    <xdr:clientData/>
  </xdr:twoCellAnchor>
  <xdr:twoCellAnchor editAs="absolute">
    <xdr:from>
      <xdr:col>4</xdr:col>
      <xdr:colOff>306849</xdr:colOff>
      <xdr:row>27</xdr:row>
      <xdr:rowOff>85724</xdr:rowOff>
    </xdr:from>
    <xdr:to>
      <xdr:col>6</xdr:col>
      <xdr:colOff>328613</xdr:colOff>
      <xdr:row>28</xdr:row>
      <xdr:rowOff>171451</xdr:rowOff>
    </xdr:to>
    <xdr:sp macro="" textlink="'Pivot Tables'!CU4">
      <xdr:nvSpPr>
        <xdr:cNvPr id="142" name="TextBox 141">
          <a:extLst>
            <a:ext uri="{FF2B5EF4-FFF2-40B4-BE49-F238E27FC236}">
              <a16:creationId xmlns:a16="http://schemas.microsoft.com/office/drawing/2014/main" id="{AF8D40F1-96AF-41E0-A877-2E8F885C4020}"/>
            </a:ext>
          </a:extLst>
        </xdr:cNvPr>
        <xdr:cNvSpPr txBox="1"/>
      </xdr:nvSpPr>
      <xdr:spPr>
        <a:xfrm>
          <a:off x="3050049" y="54863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6F4D48D-B7BF-425F-A6C3-69A05422D52D}" type="TxLink">
            <a:rPr lang="en-US" sz="1100" b="0" i="0" u="none" strike="noStrike">
              <a:solidFill>
                <a:srgbClr val="000000"/>
              </a:solidFill>
              <a:latin typeface="Abadi" panose="020B0604020104020204" pitchFamily="34" charset="0"/>
              <a:cs typeface="Arial"/>
            </a:rPr>
            <a:pPr algn="l"/>
            <a:t>2,7B</a:t>
          </a:fld>
          <a:endParaRPr lang="en-US" sz="1200">
            <a:solidFill>
              <a:sysClr val="windowText" lastClr="000000"/>
            </a:solidFill>
            <a:latin typeface="Abadi" panose="020B0604020104020204" pitchFamily="34" charset="0"/>
          </a:endParaRPr>
        </a:p>
      </xdr:txBody>
    </xdr:sp>
    <xdr:clientData/>
  </xdr:twoCellAnchor>
  <xdr:twoCellAnchor editAs="absolute">
    <xdr:from>
      <xdr:col>4</xdr:col>
      <xdr:colOff>306849</xdr:colOff>
      <xdr:row>29</xdr:row>
      <xdr:rowOff>133349</xdr:rowOff>
    </xdr:from>
    <xdr:to>
      <xdr:col>6</xdr:col>
      <xdr:colOff>328613</xdr:colOff>
      <xdr:row>31</xdr:row>
      <xdr:rowOff>19051</xdr:rowOff>
    </xdr:to>
    <xdr:sp macro="" textlink="'Pivot Tables'!CV4">
      <xdr:nvSpPr>
        <xdr:cNvPr id="143" name="TextBox 142">
          <a:extLst>
            <a:ext uri="{FF2B5EF4-FFF2-40B4-BE49-F238E27FC236}">
              <a16:creationId xmlns:a16="http://schemas.microsoft.com/office/drawing/2014/main" id="{2F4FC14B-8EFD-42AA-A887-8D17165E1CF7}"/>
            </a:ext>
          </a:extLst>
        </xdr:cNvPr>
        <xdr:cNvSpPr txBox="1"/>
      </xdr:nvSpPr>
      <xdr:spPr>
        <a:xfrm>
          <a:off x="3050049" y="5934074"/>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6C99D0B-7629-47E2-8177-5ACEEED9F243}" type="TxLink">
            <a:rPr lang="en-US" sz="1100" b="0" i="0" u="none" strike="noStrike">
              <a:solidFill>
                <a:srgbClr val="000000"/>
              </a:solidFill>
              <a:latin typeface="Abadi" panose="020B0604020104020204" pitchFamily="34" charset="0"/>
              <a:cs typeface="Arial"/>
            </a:rPr>
            <a:pPr algn="l"/>
            <a:t>3,5B</a:t>
          </a:fld>
          <a:endParaRPr lang="en-US" sz="1200">
            <a:solidFill>
              <a:sysClr val="windowText" lastClr="000000"/>
            </a:solidFill>
            <a:latin typeface="Abadi" panose="020B0604020104020204" pitchFamily="34" charset="0"/>
          </a:endParaRPr>
        </a:p>
      </xdr:txBody>
    </xdr:sp>
    <xdr:clientData/>
  </xdr:twoCellAnchor>
  <xdr:twoCellAnchor editAs="absolute">
    <xdr:from>
      <xdr:col>4</xdr:col>
      <xdr:colOff>306849</xdr:colOff>
      <xdr:row>31</xdr:row>
      <xdr:rowOff>190499</xdr:rowOff>
    </xdr:from>
    <xdr:to>
      <xdr:col>6</xdr:col>
      <xdr:colOff>328613</xdr:colOff>
      <xdr:row>33</xdr:row>
      <xdr:rowOff>76201</xdr:rowOff>
    </xdr:to>
    <xdr:sp macro="" textlink="'Pivot Tables'!CW4">
      <xdr:nvSpPr>
        <xdr:cNvPr id="144" name="TextBox 143">
          <a:extLst>
            <a:ext uri="{FF2B5EF4-FFF2-40B4-BE49-F238E27FC236}">
              <a16:creationId xmlns:a16="http://schemas.microsoft.com/office/drawing/2014/main" id="{A0F31994-9E85-4816-8CC5-27F90A17E544}"/>
            </a:ext>
          </a:extLst>
        </xdr:cNvPr>
        <xdr:cNvSpPr txBox="1"/>
      </xdr:nvSpPr>
      <xdr:spPr>
        <a:xfrm>
          <a:off x="3050049" y="6391274"/>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0E765CF-0E14-4FF2-9547-2EFE43FB464D}" type="TxLink">
            <a:rPr lang="en-US" sz="1100" b="0" i="0" u="none" strike="noStrike">
              <a:solidFill>
                <a:srgbClr val="000000"/>
              </a:solidFill>
              <a:latin typeface="Abadi" panose="020B0604020104020204" pitchFamily="34" charset="0"/>
              <a:cs typeface="Arial"/>
            </a:rPr>
            <a:pPr algn="l"/>
            <a:t>4,6B</a:t>
          </a:fld>
          <a:endParaRPr lang="en-US" sz="1200">
            <a:solidFill>
              <a:sysClr val="windowText" lastClr="000000"/>
            </a:solidFill>
            <a:latin typeface="Abadi" panose="020B0604020104020204" pitchFamily="34" charset="0"/>
          </a:endParaRPr>
        </a:p>
      </xdr:txBody>
    </xdr:sp>
    <xdr:clientData/>
  </xdr:twoCellAnchor>
  <xdr:twoCellAnchor editAs="absolute">
    <xdr:from>
      <xdr:col>2</xdr:col>
      <xdr:colOff>266700</xdr:colOff>
      <xdr:row>26</xdr:row>
      <xdr:rowOff>161925</xdr:rowOff>
    </xdr:from>
    <xdr:to>
      <xdr:col>2</xdr:col>
      <xdr:colOff>361950</xdr:colOff>
      <xdr:row>27</xdr:row>
      <xdr:rowOff>47625</xdr:rowOff>
    </xdr:to>
    <xdr:sp macro="" textlink="">
      <xdr:nvSpPr>
        <xdr:cNvPr id="150" name="Flowchart: Connector 149">
          <a:extLst>
            <a:ext uri="{FF2B5EF4-FFF2-40B4-BE49-F238E27FC236}">
              <a16:creationId xmlns:a16="http://schemas.microsoft.com/office/drawing/2014/main" id="{6F466E1B-7FCD-620E-ADB9-C002FE3DA066}"/>
            </a:ext>
          </a:extLst>
        </xdr:cNvPr>
        <xdr:cNvSpPr/>
      </xdr:nvSpPr>
      <xdr:spPr>
        <a:xfrm>
          <a:off x="1638300" y="5362575"/>
          <a:ext cx="95250" cy="85725"/>
        </a:xfrm>
        <a:prstGeom prst="flowChartConnector">
          <a:avLst/>
        </a:prstGeom>
        <a:solidFill>
          <a:srgbClr val="00B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editAs="absolute">
    <xdr:from>
      <xdr:col>2</xdr:col>
      <xdr:colOff>266700</xdr:colOff>
      <xdr:row>29</xdr:row>
      <xdr:rowOff>19050</xdr:rowOff>
    </xdr:from>
    <xdr:to>
      <xdr:col>2</xdr:col>
      <xdr:colOff>361950</xdr:colOff>
      <xdr:row>29</xdr:row>
      <xdr:rowOff>104775</xdr:rowOff>
    </xdr:to>
    <xdr:sp macro="" textlink="">
      <xdr:nvSpPr>
        <xdr:cNvPr id="151" name="Flowchart: Connector 150">
          <a:extLst>
            <a:ext uri="{FF2B5EF4-FFF2-40B4-BE49-F238E27FC236}">
              <a16:creationId xmlns:a16="http://schemas.microsoft.com/office/drawing/2014/main" id="{F576300A-5CCD-4F0A-B2A4-055BB77E2DE1}"/>
            </a:ext>
          </a:extLst>
        </xdr:cNvPr>
        <xdr:cNvSpPr/>
      </xdr:nvSpPr>
      <xdr:spPr>
        <a:xfrm>
          <a:off x="1638300" y="5819775"/>
          <a:ext cx="95250" cy="85725"/>
        </a:xfrm>
        <a:prstGeom prst="flowChartConnector">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editAs="absolute">
    <xdr:from>
      <xdr:col>2</xdr:col>
      <xdr:colOff>257175</xdr:colOff>
      <xdr:row>31</xdr:row>
      <xdr:rowOff>142875</xdr:rowOff>
    </xdr:from>
    <xdr:to>
      <xdr:col>2</xdr:col>
      <xdr:colOff>352425</xdr:colOff>
      <xdr:row>32</xdr:row>
      <xdr:rowOff>28575</xdr:rowOff>
    </xdr:to>
    <xdr:sp macro="" textlink="">
      <xdr:nvSpPr>
        <xdr:cNvPr id="152" name="Flowchart: Connector 151">
          <a:extLst>
            <a:ext uri="{FF2B5EF4-FFF2-40B4-BE49-F238E27FC236}">
              <a16:creationId xmlns:a16="http://schemas.microsoft.com/office/drawing/2014/main" id="{DFA03BB5-17E8-4625-99AD-263E54510AE1}"/>
            </a:ext>
          </a:extLst>
        </xdr:cNvPr>
        <xdr:cNvSpPr/>
      </xdr:nvSpPr>
      <xdr:spPr>
        <a:xfrm>
          <a:off x="1628775" y="6343650"/>
          <a:ext cx="95250" cy="85725"/>
        </a:xfrm>
        <a:prstGeom prst="flowChartConnector">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editAs="absolute">
    <xdr:from>
      <xdr:col>4</xdr:col>
      <xdr:colOff>257175</xdr:colOff>
      <xdr:row>26</xdr:row>
      <xdr:rowOff>190500</xdr:rowOff>
    </xdr:from>
    <xdr:to>
      <xdr:col>4</xdr:col>
      <xdr:colOff>352425</xdr:colOff>
      <xdr:row>27</xdr:row>
      <xdr:rowOff>76200</xdr:rowOff>
    </xdr:to>
    <xdr:sp macro="" textlink="">
      <xdr:nvSpPr>
        <xdr:cNvPr id="153" name="Flowchart: Connector 152">
          <a:extLst>
            <a:ext uri="{FF2B5EF4-FFF2-40B4-BE49-F238E27FC236}">
              <a16:creationId xmlns:a16="http://schemas.microsoft.com/office/drawing/2014/main" id="{9AEA95C0-D645-4892-A399-19DCDC86D0B6}"/>
            </a:ext>
          </a:extLst>
        </xdr:cNvPr>
        <xdr:cNvSpPr/>
      </xdr:nvSpPr>
      <xdr:spPr>
        <a:xfrm>
          <a:off x="3000375" y="5391150"/>
          <a:ext cx="95250" cy="85725"/>
        </a:xfrm>
        <a:prstGeom prst="flowChartConnector">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editAs="absolute">
    <xdr:from>
      <xdr:col>4</xdr:col>
      <xdr:colOff>238125</xdr:colOff>
      <xdr:row>29</xdr:row>
      <xdr:rowOff>38100</xdr:rowOff>
    </xdr:from>
    <xdr:to>
      <xdr:col>4</xdr:col>
      <xdr:colOff>333375</xdr:colOff>
      <xdr:row>29</xdr:row>
      <xdr:rowOff>123825</xdr:rowOff>
    </xdr:to>
    <xdr:sp macro="" textlink="">
      <xdr:nvSpPr>
        <xdr:cNvPr id="154" name="Flowchart: Connector 153">
          <a:extLst>
            <a:ext uri="{FF2B5EF4-FFF2-40B4-BE49-F238E27FC236}">
              <a16:creationId xmlns:a16="http://schemas.microsoft.com/office/drawing/2014/main" id="{E06E4185-BD4B-4746-BBE6-4F6B304BE005}"/>
            </a:ext>
          </a:extLst>
        </xdr:cNvPr>
        <xdr:cNvSpPr/>
      </xdr:nvSpPr>
      <xdr:spPr>
        <a:xfrm>
          <a:off x="2981325" y="5838825"/>
          <a:ext cx="95250" cy="85725"/>
        </a:xfrm>
        <a:prstGeom prst="flowChartConnector">
          <a:avLst/>
        </a:prstGeom>
        <a:solidFill>
          <a:srgbClr val="FF7C8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editAs="absolute">
    <xdr:from>
      <xdr:col>4</xdr:col>
      <xdr:colOff>238125</xdr:colOff>
      <xdr:row>31</xdr:row>
      <xdr:rowOff>104775</xdr:rowOff>
    </xdr:from>
    <xdr:to>
      <xdr:col>4</xdr:col>
      <xdr:colOff>333375</xdr:colOff>
      <xdr:row>31</xdr:row>
      <xdr:rowOff>190500</xdr:rowOff>
    </xdr:to>
    <xdr:sp macro="" textlink="">
      <xdr:nvSpPr>
        <xdr:cNvPr id="155" name="Flowchart: Connector 154">
          <a:extLst>
            <a:ext uri="{FF2B5EF4-FFF2-40B4-BE49-F238E27FC236}">
              <a16:creationId xmlns:a16="http://schemas.microsoft.com/office/drawing/2014/main" id="{8C4D7C16-1AAB-413D-803E-00BBD746A74B}"/>
            </a:ext>
          </a:extLst>
        </xdr:cNvPr>
        <xdr:cNvSpPr/>
      </xdr:nvSpPr>
      <xdr:spPr>
        <a:xfrm>
          <a:off x="2981325" y="6305550"/>
          <a:ext cx="95250" cy="85725"/>
        </a:xfrm>
        <a:prstGeom prst="flowChartConnector">
          <a:avLst/>
        </a:prstGeom>
        <a:solidFill>
          <a:srgbClr val="8D7EF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editAs="absolute">
    <xdr:from>
      <xdr:col>13</xdr:col>
      <xdr:colOff>476250</xdr:colOff>
      <xdr:row>11</xdr:row>
      <xdr:rowOff>171450</xdr:rowOff>
    </xdr:from>
    <xdr:to>
      <xdr:col>18</xdr:col>
      <xdr:colOff>209549</xdr:colOff>
      <xdr:row>23</xdr:row>
      <xdr:rowOff>133350</xdr:rowOff>
    </xdr:to>
    <xdr:sp macro="" textlink="">
      <xdr:nvSpPr>
        <xdr:cNvPr id="162" name="Rectangle: Rounded Corners 161">
          <a:extLst>
            <a:ext uri="{FF2B5EF4-FFF2-40B4-BE49-F238E27FC236}">
              <a16:creationId xmlns:a16="http://schemas.microsoft.com/office/drawing/2014/main" id="{F3704FFC-87B0-4A2E-9750-9BB5D7AD244B}"/>
            </a:ext>
          </a:extLst>
        </xdr:cNvPr>
        <xdr:cNvSpPr/>
      </xdr:nvSpPr>
      <xdr:spPr>
        <a:xfrm>
          <a:off x="9447245" y="2416629"/>
          <a:ext cx="3183682" cy="2411185"/>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13</xdr:col>
      <xdr:colOff>581025</xdr:colOff>
      <xdr:row>14</xdr:row>
      <xdr:rowOff>161926</xdr:rowOff>
    </xdr:from>
    <xdr:to>
      <xdr:col>18</xdr:col>
      <xdr:colOff>142874</xdr:colOff>
      <xdr:row>23</xdr:row>
      <xdr:rowOff>1</xdr:rowOff>
    </xdr:to>
    <xdr:graphicFrame macro="">
      <xdr:nvGraphicFramePr>
        <xdr:cNvPr id="163" name="Chart 162">
          <a:extLst>
            <a:ext uri="{FF2B5EF4-FFF2-40B4-BE49-F238E27FC236}">
              <a16:creationId xmlns:a16="http://schemas.microsoft.com/office/drawing/2014/main" id="{B6B0484D-4919-4AF8-8F45-C2A288592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absolute">
    <xdr:from>
      <xdr:col>13</xdr:col>
      <xdr:colOff>647700</xdr:colOff>
      <xdr:row>12</xdr:row>
      <xdr:rowOff>57149</xdr:rowOff>
    </xdr:from>
    <xdr:to>
      <xdr:col>18</xdr:col>
      <xdr:colOff>0</xdr:colOff>
      <xdr:row>14</xdr:row>
      <xdr:rowOff>161924</xdr:rowOff>
    </xdr:to>
    <xdr:sp macro="" textlink="">
      <xdr:nvSpPr>
        <xdr:cNvPr id="171" name="TextBox 170">
          <a:extLst>
            <a:ext uri="{FF2B5EF4-FFF2-40B4-BE49-F238E27FC236}">
              <a16:creationId xmlns:a16="http://schemas.microsoft.com/office/drawing/2014/main" id="{8793FA58-15EE-48D7-A21E-8654471AAB15}"/>
            </a:ext>
          </a:extLst>
        </xdr:cNvPr>
        <xdr:cNvSpPr txBox="1"/>
      </xdr:nvSpPr>
      <xdr:spPr>
        <a:xfrm>
          <a:off x="9563100" y="2457449"/>
          <a:ext cx="27813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ysClr val="windowText" lastClr="000000"/>
              </a:solidFill>
              <a:latin typeface="Abadi" panose="020B0604020104020204" pitchFamily="34" charset="0"/>
              <a:ea typeface="+mn-ea"/>
              <a:cs typeface="Arial"/>
            </a:rPr>
            <a:t>Training Models Fees </a:t>
          </a:r>
          <a:r>
            <a:rPr lang="en-US" sz="1200" b="0" i="0" u="none" strike="noStrike">
              <a:solidFill>
                <a:schemeClr val="bg1">
                  <a:lumMod val="50000"/>
                </a:schemeClr>
              </a:solidFill>
              <a:latin typeface="Abadi" panose="020B0604020104020204" pitchFamily="34" charset="0"/>
              <a:ea typeface="+mn-ea"/>
              <a:cs typeface="Arial"/>
            </a:rPr>
            <a:t>by</a:t>
          </a:r>
          <a:r>
            <a:rPr lang="en-US" sz="1200" b="0" i="0" u="none" strike="noStrike" baseline="0">
              <a:solidFill>
                <a:schemeClr val="bg1">
                  <a:lumMod val="50000"/>
                </a:schemeClr>
              </a:solidFill>
              <a:latin typeface="Abadi" panose="020B0604020104020204" pitchFamily="34" charset="0"/>
              <a:ea typeface="+mn-ea"/>
              <a:cs typeface="Arial"/>
            </a:rPr>
            <a:t> Sales Team</a:t>
          </a:r>
          <a:endParaRPr lang="en-US" sz="1100" b="0" i="0" u="none" strike="noStrike">
            <a:solidFill>
              <a:schemeClr val="bg1">
                <a:lumMod val="50000"/>
              </a:schemeClr>
            </a:solidFill>
            <a:latin typeface="Abadi" panose="020B0604020104020204" pitchFamily="34" charset="0"/>
            <a:ea typeface="+mn-ea"/>
            <a:cs typeface="Arial"/>
          </a:endParaRPr>
        </a:p>
      </xdr:txBody>
    </xdr:sp>
    <xdr:clientData/>
  </xdr:twoCellAnchor>
  <xdr:twoCellAnchor editAs="absolute">
    <xdr:from>
      <xdr:col>18</xdr:col>
      <xdr:colOff>228600</xdr:colOff>
      <xdr:row>1</xdr:row>
      <xdr:rowOff>38101</xdr:rowOff>
    </xdr:from>
    <xdr:to>
      <xdr:col>21</xdr:col>
      <xdr:colOff>466725</xdr:colOff>
      <xdr:row>11</xdr:row>
      <xdr:rowOff>133351</xdr:rowOff>
    </xdr:to>
    <xdr:sp macro="" textlink="">
      <xdr:nvSpPr>
        <xdr:cNvPr id="178" name="Rectangle: Rounded Corners 177">
          <a:extLst>
            <a:ext uri="{FF2B5EF4-FFF2-40B4-BE49-F238E27FC236}">
              <a16:creationId xmlns:a16="http://schemas.microsoft.com/office/drawing/2014/main" id="{F9F05CC6-C5FC-40F0-B39E-DBD470E46D79}"/>
            </a:ext>
          </a:extLst>
        </xdr:cNvPr>
        <xdr:cNvSpPr/>
      </xdr:nvSpPr>
      <xdr:spPr>
        <a:xfrm>
          <a:off x="12573000" y="238126"/>
          <a:ext cx="2295525" cy="20955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18</xdr:col>
      <xdr:colOff>375552</xdr:colOff>
      <xdr:row>2</xdr:row>
      <xdr:rowOff>28575</xdr:rowOff>
    </xdr:from>
    <xdr:to>
      <xdr:col>20</xdr:col>
      <xdr:colOff>356502</xdr:colOff>
      <xdr:row>5</xdr:row>
      <xdr:rowOff>85726</xdr:rowOff>
    </xdr:to>
    <xdr:sp macro="" textlink="">
      <xdr:nvSpPr>
        <xdr:cNvPr id="179" name="TextBox 178">
          <a:extLst>
            <a:ext uri="{FF2B5EF4-FFF2-40B4-BE49-F238E27FC236}">
              <a16:creationId xmlns:a16="http://schemas.microsoft.com/office/drawing/2014/main" id="{A6FC72CD-DF79-4DEB-891A-686841A11178}"/>
            </a:ext>
          </a:extLst>
        </xdr:cNvPr>
        <xdr:cNvSpPr txBox="1"/>
      </xdr:nvSpPr>
      <xdr:spPr>
        <a:xfrm>
          <a:off x="12719952" y="428625"/>
          <a:ext cx="1352550" cy="65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lumMod val="50000"/>
                </a:schemeClr>
              </a:solidFill>
              <a:latin typeface="Abadi" panose="020B0604020104020204" pitchFamily="34" charset="0"/>
            </a:rPr>
            <a:t>Top</a:t>
          </a:r>
          <a:r>
            <a:rPr lang="en-US" sz="1050" baseline="0">
              <a:solidFill>
                <a:schemeClr val="bg1">
                  <a:lumMod val="50000"/>
                </a:schemeClr>
              </a:solidFill>
              <a:latin typeface="Abadi" panose="020B0604020104020204" pitchFamily="34" charset="0"/>
            </a:rPr>
            <a:t> 5</a:t>
          </a:r>
        </a:p>
        <a:p>
          <a:r>
            <a:rPr lang="en-US" sz="1100" baseline="0">
              <a:latin typeface="Abadi" panose="020B0604020104020204" pitchFamily="34" charset="0"/>
            </a:rPr>
            <a:t>Training Levels</a:t>
          </a:r>
        </a:p>
        <a:p>
          <a:r>
            <a:rPr lang="en-US" sz="1000" baseline="0">
              <a:solidFill>
                <a:schemeClr val="bg1">
                  <a:lumMod val="50000"/>
                </a:schemeClr>
              </a:solidFill>
              <a:latin typeface="Abadi" panose="020B0604020104020204" pitchFamily="34" charset="0"/>
            </a:rPr>
            <a:t>Revenue</a:t>
          </a:r>
          <a:endParaRPr lang="en-US" sz="1000">
            <a:solidFill>
              <a:schemeClr val="bg1">
                <a:lumMod val="50000"/>
              </a:schemeClr>
            </a:solidFill>
            <a:latin typeface="Abadi" panose="020B0604020104020204" pitchFamily="34" charset="0"/>
          </a:endParaRPr>
        </a:p>
      </xdr:txBody>
    </xdr:sp>
    <xdr:clientData/>
  </xdr:twoCellAnchor>
  <xdr:twoCellAnchor editAs="absolute">
    <xdr:from>
      <xdr:col>20</xdr:col>
      <xdr:colOff>480325</xdr:colOff>
      <xdr:row>2</xdr:row>
      <xdr:rowOff>142875</xdr:rowOff>
    </xdr:from>
    <xdr:to>
      <xdr:col>20</xdr:col>
      <xdr:colOff>670826</xdr:colOff>
      <xdr:row>3</xdr:row>
      <xdr:rowOff>152399</xdr:rowOff>
    </xdr:to>
    <xdr:sp macro="" textlink="">
      <xdr:nvSpPr>
        <xdr:cNvPr id="180" name="Star: 5 Points 179">
          <a:extLst>
            <a:ext uri="{FF2B5EF4-FFF2-40B4-BE49-F238E27FC236}">
              <a16:creationId xmlns:a16="http://schemas.microsoft.com/office/drawing/2014/main" id="{4F536EEC-2E29-4B3B-8E8D-F1FA2AB955BF}"/>
            </a:ext>
          </a:extLst>
        </xdr:cNvPr>
        <xdr:cNvSpPr/>
      </xdr:nvSpPr>
      <xdr:spPr>
        <a:xfrm>
          <a:off x="14196325" y="542925"/>
          <a:ext cx="190501" cy="209549"/>
        </a:xfrm>
        <a:prstGeom prst="star5">
          <a:avLst/>
        </a:prstGeom>
        <a:solidFill>
          <a:srgbClr val="FED1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20</xdr:col>
      <xdr:colOff>242202</xdr:colOff>
      <xdr:row>5</xdr:row>
      <xdr:rowOff>104775</xdr:rowOff>
    </xdr:from>
    <xdr:to>
      <xdr:col>21</xdr:col>
      <xdr:colOff>356501</xdr:colOff>
      <xdr:row>6</xdr:row>
      <xdr:rowOff>180975</xdr:rowOff>
    </xdr:to>
    <xdr:sp macro="" textlink="'Pivot Tables'!BB5">
      <xdr:nvSpPr>
        <xdr:cNvPr id="181" name="TextBox 180">
          <a:extLst>
            <a:ext uri="{FF2B5EF4-FFF2-40B4-BE49-F238E27FC236}">
              <a16:creationId xmlns:a16="http://schemas.microsoft.com/office/drawing/2014/main" id="{B2CE9014-DF32-4B53-A64E-49118EE52174}"/>
            </a:ext>
          </a:extLst>
        </xdr:cNvPr>
        <xdr:cNvSpPr txBox="1"/>
      </xdr:nvSpPr>
      <xdr:spPr>
        <a:xfrm>
          <a:off x="13958202" y="1104900"/>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8B80AC7-C849-4BC5-A329-A6DE88939C0A}" type="TxLink">
            <a:rPr lang="en-US" sz="1100" b="0" i="0" u="none" strike="noStrike">
              <a:solidFill>
                <a:schemeClr val="tx1">
                  <a:lumMod val="50000"/>
                  <a:lumOff val="50000"/>
                </a:schemeClr>
              </a:solidFill>
              <a:latin typeface="Abadi" panose="020B0604020104020204" pitchFamily="34" charset="0"/>
              <a:cs typeface="Arial"/>
            </a:rPr>
            <a:pPr algn="l"/>
            <a:t>KJI. L4</a:t>
          </a:fld>
          <a:endParaRPr lang="en-US" sz="1100">
            <a:solidFill>
              <a:schemeClr val="tx1">
                <a:lumMod val="50000"/>
                <a:lumOff val="50000"/>
              </a:schemeClr>
            </a:solidFill>
            <a:latin typeface="Abadi" panose="020B0604020104020204" pitchFamily="34" charset="0"/>
          </a:endParaRPr>
        </a:p>
      </xdr:txBody>
    </xdr:sp>
    <xdr:clientData/>
  </xdr:twoCellAnchor>
  <xdr:twoCellAnchor editAs="absolute">
    <xdr:from>
      <xdr:col>18</xdr:col>
      <xdr:colOff>289827</xdr:colOff>
      <xdr:row>5</xdr:row>
      <xdr:rowOff>85725</xdr:rowOff>
    </xdr:from>
    <xdr:to>
      <xdr:col>20</xdr:col>
      <xdr:colOff>89801</xdr:colOff>
      <xdr:row>6</xdr:row>
      <xdr:rowOff>161925</xdr:rowOff>
    </xdr:to>
    <xdr:sp macro="" textlink="'Pivot Tables'!BG5">
      <xdr:nvSpPr>
        <xdr:cNvPr id="182" name="TextBox 181">
          <a:extLst>
            <a:ext uri="{FF2B5EF4-FFF2-40B4-BE49-F238E27FC236}">
              <a16:creationId xmlns:a16="http://schemas.microsoft.com/office/drawing/2014/main" id="{53DF0FF7-B064-4072-8433-7EECAEF2B0DC}"/>
            </a:ext>
          </a:extLst>
        </xdr:cNvPr>
        <xdr:cNvSpPr txBox="1"/>
      </xdr:nvSpPr>
      <xdr:spPr>
        <a:xfrm>
          <a:off x="12634227" y="1085850"/>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10438B7-8F07-49EF-ABE1-F955735B9CBE}" type="TxLink">
            <a:rPr lang="en-US" sz="1100" b="0" i="0" u="none" strike="noStrike">
              <a:solidFill>
                <a:schemeClr val="tx1">
                  <a:lumMod val="65000"/>
                  <a:lumOff val="35000"/>
                </a:schemeClr>
              </a:solidFill>
              <a:latin typeface="Abadi" panose="020B0604020104020204" pitchFamily="34" charset="0"/>
              <a:cs typeface="Arial"/>
            </a:rPr>
            <a:pPr algn="l"/>
            <a:t> 3.337.000.000 </a:t>
          </a:fld>
          <a:endParaRPr lang="en-US" sz="1100">
            <a:solidFill>
              <a:schemeClr val="tx1">
                <a:lumMod val="65000"/>
                <a:lumOff val="35000"/>
              </a:schemeClr>
            </a:solidFill>
            <a:latin typeface="Abadi" panose="020B0604020104020204" pitchFamily="34" charset="0"/>
          </a:endParaRPr>
        </a:p>
      </xdr:txBody>
    </xdr:sp>
    <xdr:clientData/>
  </xdr:twoCellAnchor>
  <xdr:twoCellAnchor editAs="absolute">
    <xdr:from>
      <xdr:col>18</xdr:col>
      <xdr:colOff>285751</xdr:colOff>
      <xdr:row>6</xdr:row>
      <xdr:rowOff>66675</xdr:rowOff>
    </xdr:from>
    <xdr:to>
      <xdr:col>20</xdr:col>
      <xdr:colOff>249843</xdr:colOff>
      <xdr:row>7</xdr:row>
      <xdr:rowOff>142875</xdr:rowOff>
    </xdr:to>
    <xdr:sp macro="" textlink="'Pivot Tables'!BG6">
      <xdr:nvSpPr>
        <xdr:cNvPr id="183" name="TextBox 182">
          <a:extLst>
            <a:ext uri="{FF2B5EF4-FFF2-40B4-BE49-F238E27FC236}">
              <a16:creationId xmlns:a16="http://schemas.microsoft.com/office/drawing/2014/main" id="{F1101F4C-22C9-4EA2-BBFE-4CABD5A6AD62}"/>
            </a:ext>
          </a:extLst>
        </xdr:cNvPr>
        <xdr:cNvSpPr txBox="1"/>
      </xdr:nvSpPr>
      <xdr:spPr>
        <a:xfrm>
          <a:off x="12630151" y="1266825"/>
          <a:ext cx="1335692"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08B46F1-5EDF-4DC3-AE6B-1BEF49BD1992}" type="TxLink">
            <a:rPr lang="en-US" sz="1100" b="0" i="0" u="none" strike="noStrike">
              <a:solidFill>
                <a:schemeClr val="tx1">
                  <a:lumMod val="65000"/>
                  <a:lumOff val="35000"/>
                </a:schemeClr>
              </a:solidFill>
              <a:latin typeface="Abadi" panose="020B0604020104020204" pitchFamily="34" charset="0"/>
              <a:ea typeface="+mn-ea"/>
              <a:cs typeface="Arial"/>
            </a:rPr>
            <a:pPr marL="0" indent="0" algn="l"/>
            <a:t> 2.892.000.000 </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editAs="absolute">
    <xdr:from>
      <xdr:col>20</xdr:col>
      <xdr:colOff>251727</xdr:colOff>
      <xdr:row>7</xdr:row>
      <xdr:rowOff>76201</xdr:rowOff>
    </xdr:from>
    <xdr:to>
      <xdr:col>21</xdr:col>
      <xdr:colOff>366026</xdr:colOff>
      <xdr:row>8</xdr:row>
      <xdr:rowOff>85726</xdr:rowOff>
    </xdr:to>
    <xdr:sp macro="" textlink="'Pivot Tables'!BB7">
      <xdr:nvSpPr>
        <xdr:cNvPr id="184" name="TextBox 183">
          <a:extLst>
            <a:ext uri="{FF2B5EF4-FFF2-40B4-BE49-F238E27FC236}">
              <a16:creationId xmlns:a16="http://schemas.microsoft.com/office/drawing/2014/main" id="{5B481E5D-F1FF-4EF0-87CD-C2362E456183}"/>
            </a:ext>
          </a:extLst>
        </xdr:cNvPr>
        <xdr:cNvSpPr txBox="1"/>
      </xdr:nvSpPr>
      <xdr:spPr>
        <a:xfrm>
          <a:off x="13967727" y="1476376"/>
          <a:ext cx="80009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815B7B5-6D3D-4B2F-9AAA-62222D61A49D}"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Pre. L3</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clientData/>
  </xdr:twoCellAnchor>
  <xdr:twoCellAnchor editAs="absolute">
    <xdr:from>
      <xdr:col>18</xdr:col>
      <xdr:colOff>285749</xdr:colOff>
      <xdr:row>8</xdr:row>
      <xdr:rowOff>47625</xdr:rowOff>
    </xdr:from>
    <xdr:to>
      <xdr:col>20</xdr:col>
      <xdr:colOff>85724</xdr:colOff>
      <xdr:row>9</xdr:row>
      <xdr:rowOff>76199</xdr:rowOff>
    </xdr:to>
    <xdr:sp macro="" textlink="'Pivot Tables'!BG8">
      <xdr:nvSpPr>
        <xdr:cNvPr id="185" name="TextBox 184">
          <a:extLst>
            <a:ext uri="{FF2B5EF4-FFF2-40B4-BE49-F238E27FC236}">
              <a16:creationId xmlns:a16="http://schemas.microsoft.com/office/drawing/2014/main" id="{D0BFC6DB-EDDD-4FD6-B21E-11B03941B365}"/>
            </a:ext>
          </a:extLst>
        </xdr:cNvPr>
        <xdr:cNvSpPr txBox="1"/>
      </xdr:nvSpPr>
      <xdr:spPr>
        <a:xfrm>
          <a:off x="12630149" y="1647825"/>
          <a:ext cx="117157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420CF89-3948-4063-97F2-BED7F3D64497}" type="TxLink">
            <a:rPr lang="en-US" sz="1100" b="0" i="0" u="none" strike="noStrike">
              <a:solidFill>
                <a:schemeClr val="tx1">
                  <a:lumMod val="65000"/>
                  <a:lumOff val="35000"/>
                </a:schemeClr>
              </a:solidFill>
              <a:latin typeface="Abadi" panose="020B0604020104020204" pitchFamily="34" charset="0"/>
              <a:ea typeface="+mn-ea"/>
              <a:cs typeface="Arial"/>
            </a:rPr>
            <a:pPr marL="0" indent="0" algn="l"/>
            <a:t> 2.320.000.000 </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editAs="absolute">
    <xdr:from>
      <xdr:col>20</xdr:col>
      <xdr:colOff>251727</xdr:colOff>
      <xdr:row>9</xdr:row>
      <xdr:rowOff>38101</xdr:rowOff>
    </xdr:from>
    <xdr:to>
      <xdr:col>21</xdr:col>
      <xdr:colOff>366026</xdr:colOff>
      <xdr:row>10</xdr:row>
      <xdr:rowOff>47626</xdr:rowOff>
    </xdr:to>
    <xdr:sp macro="" textlink="'Pivot Tables'!BB9">
      <xdr:nvSpPr>
        <xdr:cNvPr id="186" name="TextBox 185">
          <a:extLst>
            <a:ext uri="{FF2B5EF4-FFF2-40B4-BE49-F238E27FC236}">
              <a16:creationId xmlns:a16="http://schemas.microsoft.com/office/drawing/2014/main" id="{9E131882-C7E1-4A6C-9B16-9829BEBFE9CC}"/>
            </a:ext>
          </a:extLst>
        </xdr:cNvPr>
        <xdr:cNvSpPr txBox="1"/>
      </xdr:nvSpPr>
      <xdr:spPr>
        <a:xfrm>
          <a:off x="13967727" y="1838326"/>
          <a:ext cx="80009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3DD446F-10C0-4398-A59A-CA3A9CFDE12D}"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Pre. L2</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clientData/>
  </xdr:twoCellAnchor>
  <xdr:twoCellAnchor editAs="absolute">
    <xdr:from>
      <xdr:col>18</xdr:col>
      <xdr:colOff>308877</xdr:colOff>
      <xdr:row>9</xdr:row>
      <xdr:rowOff>38101</xdr:rowOff>
    </xdr:from>
    <xdr:to>
      <xdr:col>20</xdr:col>
      <xdr:colOff>108851</xdr:colOff>
      <xdr:row>10</xdr:row>
      <xdr:rowOff>47626</xdr:rowOff>
    </xdr:to>
    <xdr:sp macro="" textlink="'Pivot Tables'!BG9">
      <xdr:nvSpPr>
        <xdr:cNvPr id="187" name="TextBox 186">
          <a:extLst>
            <a:ext uri="{FF2B5EF4-FFF2-40B4-BE49-F238E27FC236}">
              <a16:creationId xmlns:a16="http://schemas.microsoft.com/office/drawing/2014/main" id="{FD403C13-BA86-4A76-983B-2FC5FA34AF68}"/>
            </a:ext>
          </a:extLst>
        </xdr:cNvPr>
        <xdr:cNvSpPr txBox="1"/>
      </xdr:nvSpPr>
      <xdr:spPr>
        <a:xfrm>
          <a:off x="12653277" y="1838326"/>
          <a:ext cx="1171574"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CE22CB4-80C4-4BC5-BB40-9207973717AE}" type="TxLink">
            <a:rPr lang="en-US" sz="1100" b="0" i="0" u="none" strike="noStrike">
              <a:solidFill>
                <a:schemeClr val="tx1">
                  <a:lumMod val="65000"/>
                  <a:lumOff val="35000"/>
                </a:schemeClr>
              </a:solidFill>
              <a:latin typeface="Abadi" panose="020B0604020104020204" pitchFamily="34" charset="0"/>
              <a:ea typeface="+mn-ea"/>
              <a:cs typeface="Arial"/>
            </a:rPr>
            <a:pPr marL="0" indent="0" algn="l"/>
            <a:t> 1.309.000.000 </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editAs="absolute">
    <xdr:from>
      <xdr:col>20</xdr:col>
      <xdr:colOff>242202</xdr:colOff>
      <xdr:row>6</xdr:row>
      <xdr:rowOff>76201</xdr:rowOff>
    </xdr:from>
    <xdr:to>
      <xdr:col>21</xdr:col>
      <xdr:colOff>283661</xdr:colOff>
      <xdr:row>7</xdr:row>
      <xdr:rowOff>152401</xdr:rowOff>
    </xdr:to>
    <xdr:sp macro="" textlink="'Pivot Tables'!BB6">
      <xdr:nvSpPr>
        <xdr:cNvPr id="188" name="TextBox 187">
          <a:extLst>
            <a:ext uri="{FF2B5EF4-FFF2-40B4-BE49-F238E27FC236}">
              <a16:creationId xmlns:a16="http://schemas.microsoft.com/office/drawing/2014/main" id="{483E7FAB-742E-44A7-ACAB-C4CBCADBD065}"/>
            </a:ext>
          </a:extLst>
        </xdr:cNvPr>
        <xdr:cNvSpPr txBox="1"/>
      </xdr:nvSpPr>
      <xdr:spPr>
        <a:xfrm>
          <a:off x="13958202" y="1276351"/>
          <a:ext cx="72725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E54C8AC-5CF9-47F8-8C55-320AACC207C1}"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Fndn. L5</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clientData/>
  </xdr:twoCellAnchor>
  <xdr:twoCellAnchor editAs="absolute">
    <xdr:from>
      <xdr:col>18</xdr:col>
      <xdr:colOff>285749</xdr:colOff>
      <xdr:row>7</xdr:row>
      <xdr:rowOff>66675</xdr:rowOff>
    </xdr:from>
    <xdr:to>
      <xdr:col>20</xdr:col>
      <xdr:colOff>180975</xdr:colOff>
      <xdr:row>8</xdr:row>
      <xdr:rowOff>123825</xdr:rowOff>
    </xdr:to>
    <xdr:sp macro="" textlink="'Pivot Tables'!BG7">
      <xdr:nvSpPr>
        <xdr:cNvPr id="189" name="TextBox 188">
          <a:extLst>
            <a:ext uri="{FF2B5EF4-FFF2-40B4-BE49-F238E27FC236}">
              <a16:creationId xmlns:a16="http://schemas.microsoft.com/office/drawing/2014/main" id="{F70170CE-ACC3-49D2-A0D0-B6D0B34A9459}"/>
            </a:ext>
          </a:extLst>
        </xdr:cNvPr>
        <xdr:cNvSpPr txBox="1"/>
      </xdr:nvSpPr>
      <xdr:spPr>
        <a:xfrm>
          <a:off x="12630149" y="1466850"/>
          <a:ext cx="12668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638F703-28FC-4A79-9A9F-52AC27AA8612}" type="TxLink">
            <a:rPr lang="en-US" sz="1100" b="0" i="0" u="none" strike="noStrike">
              <a:solidFill>
                <a:schemeClr val="tx1">
                  <a:lumMod val="65000"/>
                  <a:lumOff val="35000"/>
                </a:schemeClr>
              </a:solidFill>
              <a:latin typeface="Abadi" panose="020B0604020104020204" pitchFamily="34" charset="0"/>
              <a:ea typeface="+mn-ea"/>
              <a:cs typeface="Arial"/>
            </a:rPr>
            <a:pPr marL="0" indent="0" algn="l"/>
            <a:t> 2.324.000.000 </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editAs="absolute">
    <xdr:from>
      <xdr:col>20</xdr:col>
      <xdr:colOff>257175</xdr:colOff>
      <xdr:row>8</xdr:row>
      <xdr:rowOff>38100</xdr:rowOff>
    </xdr:from>
    <xdr:to>
      <xdr:col>21</xdr:col>
      <xdr:colOff>224523</xdr:colOff>
      <xdr:row>9</xdr:row>
      <xdr:rowOff>76199</xdr:rowOff>
    </xdr:to>
    <xdr:sp macro="" textlink="'Pivot Tables'!BB8">
      <xdr:nvSpPr>
        <xdr:cNvPr id="190" name="TextBox 189">
          <a:extLst>
            <a:ext uri="{FF2B5EF4-FFF2-40B4-BE49-F238E27FC236}">
              <a16:creationId xmlns:a16="http://schemas.microsoft.com/office/drawing/2014/main" id="{287B1A16-6269-4C3F-BA79-7F2B100A8DC5}"/>
            </a:ext>
          </a:extLst>
        </xdr:cNvPr>
        <xdr:cNvSpPr txBox="1"/>
      </xdr:nvSpPr>
      <xdr:spPr>
        <a:xfrm>
          <a:off x="13973175" y="1638300"/>
          <a:ext cx="653148"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612E349-7C63-438E-A636-0F3DDF97C062}"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Fndn. L1</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clientData/>
  </xdr:twoCellAnchor>
  <xdr:twoCellAnchor editAs="absolute">
    <xdr:from>
      <xdr:col>4</xdr:col>
      <xdr:colOff>390525</xdr:colOff>
      <xdr:row>3</xdr:row>
      <xdr:rowOff>142875</xdr:rowOff>
    </xdr:from>
    <xdr:to>
      <xdr:col>4</xdr:col>
      <xdr:colOff>498525</xdr:colOff>
      <xdr:row>4</xdr:row>
      <xdr:rowOff>7650</xdr:rowOff>
    </xdr:to>
    <xdr:sp macro="" textlink="">
      <xdr:nvSpPr>
        <xdr:cNvPr id="195" name="Isosceles Triangle 194">
          <a:extLst>
            <a:ext uri="{FF2B5EF4-FFF2-40B4-BE49-F238E27FC236}">
              <a16:creationId xmlns:a16="http://schemas.microsoft.com/office/drawing/2014/main" id="{9F94C055-6FFF-4C87-9EBE-C0614917D6A5}"/>
            </a:ext>
          </a:extLst>
        </xdr:cNvPr>
        <xdr:cNvSpPr/>
      </xdr:nvSpPr>
      <xdr:spPr>
        <a:xfrm>
          <a:off x="3133725" y="742950"/>
          <a:ext cx="108000" cy="64800"/>
        </a:xfrm>
        <a:prstGeom prst="triangle">
          <a:avLst/>
        </a:prstGeom>
        <a:solidFill>
          <a:srgbClr val="00B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95250</xdr:colOff>
      <xdr:row>1</xdr:row>
      <xdr:rowOff>38100</xdr:rowOff>
    </xdr:from>
    <xdr:to>
      <xdr:col>2</xdr:col>
      <xdr:colOff>76200</xdr:colOff>
      <xdr:row>36</xdr:row>
      <xdr:rowOff>114300</xdr:rowOff>
    </xdr:to>
    <xdr:sp macro="" textlink="">
      <xdr:nvSpPr>
        <xdr:cNvPr id="198" name="Rectangle: Rounded Corners 197">
          <a:extLst>
            <a:ext uri="{FF2B5EF4-FFF2-40B4-BE49-F238E27FC236}">
              <a16:creationId xmlns:a16="http://schemas.microsoft.com/office/drawing/2014/main" id="{ACE3FD07-1E63-47D7-912E-DFA12C4AC87B}"/>
            </a:ext>
          </a:extLst>
        </xdr:cNvPr>
        <xdr:cNvSpPr/>
      </xdr:nvSpPr>
      <xdr:spPr>
        <a:xfrm>
          <a:off x="95250" y="238125"/>
          <a:ext cx="1352550" cy="7077075"/>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0</xdr:col>
      <xdr:colOff>175538</xdr:colOff>
      <xdr:row>6</xdr:row>
      <xdr:rowOff>0</xdr:rowOff>
    </xdr:from>
    <xdr:to>
      <xdr:col>1</xdr:col>
      <xdr:colOff>661313</xdr:colOff>
      <xdr:row>11</xdr:row>
      <xdr:rowOff>28575</xdr:rowOff>
    </xdr:to>
    <xdr:sp macro="" textlink="">
      <xdr:nvSpPr>
        <xdr:cNvPr id="3" name="TextBox 2">
          <a:extLst>
            <a:ext uri="{FF2B5EF4-FFF2-40B4-BE49-F238E27FC236}">
              <a16:creationId xmlns:a16="http://schemas.microsoft.com/office/drawing/2014/main" id="{342D5D98-AB00-F4CD-4059-3268811E5565}"/>
            </a:ext>
          </a:extLst>
        </xdr:cNvPr>
        <xdr:cNvSpPr txBox="1"/>
      </xdr:nvSpPr>
      <xdr:spPr>
        <a:xfrm>
          <a:off x="175538" y="1200150"/>
          <a:ext cx="1171575" cy="1028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rgbClr val="FF7C80"/>
              </a:solidFill>
              <a:latin typeface="Abadi" panose="020B0604020202020204" pitchFamily="34" charset="0"/>
              <a:cs typeface="Noto Kufi Arabic" panose="020B0506030804020204" pitchFamily="34" charset="0"/>
            </a:rPr>
            <a:t>Company</a:t>
          </a:r>
          <a:r>
            <a:rPr lang="en-US" sz="1400" b="0" baseline="0">
              <a:solidFill>
                <a:srgbClr val="FF7C80"/>
              </a:solidFill>
              <a:latin typeface="Abadi" panose="020B0604020202020204" pitchFamily="34" charset="0"/>
              <a:cs typeface="Noto Kufi Arabic" panose="020B0506030804020204" pitchFamily="34" charset="0"/>
            </a:rPr>
            <a:t> X's</a:t>
          </a:r>
          <a:endParaRPr lang="en-US" sz="1100" b="0">
            <a:solidFill>
              <a:srgbClr val="FF7C80"/>
            </a:solidFill>
            <a:latin typeface="Abadi" panose="020B0604020202020204" pitchFamily="34" charset="0"/>
            <a:cs typeface="Noto Kufi Arabic" panose="020B0506030804020204" pitchFamily="34" charset="0"/>
          </a:endParaRPr>
        </a:p>
        <a:p>
          <a:pPr algn="ctr"/>
          <a:r>
            <a:rPr lang="en-US" sz="1100" b="1">
              <a:latin typeface="Abadi" panose="020B0604020202020204" pitchFamily="34" charset="0"/>
              <a:cs typeface="Noto Kufi Arabic" panose="020B0506030804020204" pitchFamily="34" charset="0"/>
            </a:rPr>
            <a:t>Sales Performance</a:t>
          </a:r>
          <a:r>
            <a:rPr lang="en-US" sz="1100" b="1" baseline="0">
              <a:latin typeface="Abadi" panose="020B0604020202020204" pitchFamily="34" charset="0"/>
              <a:cs typeface="Noto Kufi Arabic" panose="020B0506030804020204" pitchFamily="34" charset="0"/>
            </a:rPr>
            <a:t> Dashboard </a:t>
          </a:r>
        </a:p>
        <a:p>
          <a:pPr algn="ctr"/>
          <a:r>
            <a:rPr lang="en-US" sz="1000" baseline="0">
              <a:solidFill>
                <a:schemeClr val="bg1">
                  <a:lumMod val="50000"/>
                </a:schemeClr>
              </a:solidFill>
              <a:latin typeface="Abadi" panose="020B0604020202020204" pitchFamily="34" charset="0"/>
              <a:cs typeface="Noto Kufi Arabic" panose="020B0506030804020204" pitchFamily="34" charset="0"/>
            </a:rPr>
            <a:t>2022</a:t>
          </a:r>
          <a:endParaRPr lang="en-US" sz="1100">
            <a:solidFill>
              <a:schemeClr val="bg1">
                <a:lumMod val="50000"/>
              </a:schemeClr>
            </a:solidFill>
            <a:latin typeface="Abadi" panose="020B0604020202020204" pitchFamily="34" charset="0"/>
            <a:cs typeface="Noto Kufi Arabic" panose="020B0506030804020204" pitchFamily="34" charset="0"/>
          </a:endParaRPr>
        </a:p>
      </xdr:txBody>
    </xdr:sp>
    <xdr:clientData/>
  </xdr:twoCellAnchor>
  <xdr:twoCellAnchor editAs="absolute">
    <xdr:from>
      <xdr:col>0</xdr:col>
      <xdr:colOff>142875</xdr:colOff>
      <xdr:row>14</xdr:row>
      <xdr:rowOff>38100</xdr:rowOff>
    </xdr:from>
    <xdr:to>
      <xdr:col>1</xdr:col>
      <xdr:colOff>676274</xdr:colOff>
      <xdr:row>25</xdr:row>
      <xdr:rowOff>19050</xdr:rowOff>
    </xdr:to>
    <mc:AlternateContent xmlns:mc="http://schemas.openxmlformats.org/markup-compatibility/2006" xmlns:a14="http://schemas.microsoft.com/office/drawing/2010/main">
      <mc:Choice Requires="a14">
        <xdr:graphicFrame macro="">
          <xdr:nvGraphicFramePr>
            <xdr:cNvPr id="175" name=" ">
              <a:extLst>
                <a:ext uri="{FF2B5EF4-FFF2-40B4-BE49-F238E27FC236}">
                  <a16:creationId xmlns:a16="http://schemas.microsoft.com/office/drawing/2014/main" id="{2D52237E-FC7A-468F-AB0B-5050DC3A288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 "/>
            </a:graphicData>
          </a:graphic>
        </xdr:graphicFrame>
      </mc:Choice>
      <mc:Fallback xmlns="">
        <xdr:sp macro="" textlink="">
          <xdr:nvSpPr>
            <xdr:cNvPr id="0" name=""/>
            <xdr:cNvSpPr>
              <a:spLocks noTextEdit="1"/>
            </xdr:cNvSpPr>
          </xdr:nvSpPr>
          <xdr:spPr>
            <a:xfrm>
              <a:off x="142875" y="2838450"/>
              <a:ext cx="1219199" cy="218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209550</xdr:colOff>
      <xdr:row>3</xdr:row>
      <xdr:rowOff>1</xdr:rowOff>
    </xdr:from>
    <xdr:to>
      <xdr:col>1</xdr:col>
      <xdr:colOff>678435</xdr:colOff>
      <xdr:row>6</xdr:row>
      <xdr:rowOff>19050</xdr:rowOff>
    </xdr:to>
    <xdr:pic>
      <xdr:nvPicPr>
        <xdr:cNvPr id="5" name="Picture 4">
          <a:extLst>
            <a:ext uri="{FF2B5EF4-FFF2-40B4-BE49-F238E27FC236}">
              <a16:creationId xmlns:a16="http://schemas.microsoft.com/office/drawing/2014/main" id="{5E418829-C955-ED98-C13E-2BBABCFA515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209550" y="600076"/>
          <a:ext cx="1154685" cy="619124"/>
        </a:xfrm>
        <a:prstGeom prst="rect">
          <a:avLst/>
        </a:prstGeom>
        <a:solidFill>
          <a:sysClr val="window" lastClr="FFFFFF"/>
        </a:solidFill>
      </xdr:spPr>
    </xdr:pic>
    <xdr:clientData/>
  </xdr:twoCellAnchor>
  <xdr:twoCellAnchor editAs="absolute">
    <xdr:from>
      <xdr:col>0</xdr:col>
      <xdr:colOff>112939</xdr:colOff>
      <xdr:row>14</xdr:row>
      <xdr:rowOff>19050</xdr:rowOff>
    </xdr:from>
    <xdr:to>
      <xdr:col>1</xdr:col>
      <xdr:colOff>342901</xdr:colOff>
      <xdr:row>15</xdr:row>
      <xdr:rowOff>180975</xdr:rowOff>
    </xdr:to>
    <xdr:sp macro="" textlink="">
      <xdr:nvSpPr>
        <xdr:cNvPr id="176" name="TextBox 175">
          <a:extLst>
            <a:ext uri="{FF2B5EF4-FFF2-40B4-BE49-F238E27FC236}">
              <a16:creationId xmlns:a16="http://schemas.microsoft.com/office/drawing/2014/main" id="{4AD73D09-F0A0-4576-BB29-05511F49B2EE}"/>
            </a:ext>
          </a:extLst>
        </xdr:cNvPr>
        <xdr:cNvSpPr txBox="1"/>
      </xdr:nvSpPr>
      <xdr:spPr>
        <a:xfrm>
          <a:off x="112939" y="2819400"/>
          <a:ext cx="915762"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7030A0"/>
              </a:solidFill>
              <a:latin typeface="Abadi" panose="020B0604020104020204" pitchFamily="34" charset="0"/>
            </a:rPr>
            <a:t>Months</a:t>
          </a:r>
        </a:p>
      </xdr:txBody>
    </xdr:sp>
    <xdr:clientData/>
  </xdr:twoCellAnchor>
  <xdr:twoCellAnchor editAs="absolute">
    <xdr:from>
      <xdr:col>1</xdr:col>
      <xdr:colOff>474888</xdr:colOff>
      <xdr:row>12</xdr:row>
      <xdr:rowOff>57150</xdr:rowOff>
    </xdr:from>
    <xdr:to>
      <xdr:col>2</xdr:col>
      <xdr:colOff>57150</xdr:colOff>
      <xdr:row>13</xdr:row>
      <xdr:rowOff>142875</xdr:rowOff>
    </xdr:to>
    <xdr:sp macro="" textlink="">
      <xdr:nvSpPr>
        <xdr:cNvPr id="177" name="TextBox 176">
          <a:hlinkClick xmlns:r="http://schemas.openxmlformats.org/officeDocument/2006/relationships" r:id="rId28" tooltip="Go to Database"/>
          <a:extLst>
            <a:ext uri="{FF2B5EF4-FFF2-40B4-BE49-F238E27FC236}">
              <a16:creationId xmlns:a16="http://schemas.microsoft.com/office/drawing/2014/main" id="{F9E8395E-8AFB-4668-9DA6-8BA1E897FF45}"/>
            </a:ext>
          </a:extLst>
        </xdr:cNvPr>
        <xdr:cNvSpPr txBox="1"/>
      </xdr:nvSpPr>
      <xdr:spPr>
        <a:xfrm>
          <a:off x="1160688" y="2457450"/>
          <a:ext cx="26806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a:t>
          </a:r>
          <a:endParaRPr lang="en-US" sz="1100">
            <a:solidFill>
              <a:schemeClr val="tx1">
                <a:lumMod val="65000"/>
                <a:lumOff val="35000"/>
              </a:schemeClr>
            </a:solidFill>
          </a:endParaRPr>
        </a:p>
      </xdr:txBody>
    </xdr:sp>
    <xdr:clientData/>
  </xdr:twoCellAnchor>
  <xdr:twoCellAnchor editAs="absolute">
    <xdr:from>
      <xdr:col>1</xdr:col>
      <xdr:colOff>474888</xdr:colOff>
      <xdr:row>26</xdr:row>
      <xdr:rowOff>9525</xdr:rowOff>
    </xdr:from>
    <xdr:to>
      <xdr:col>2</xdr:col>
      <xdr:colOff>114300</xdr:colOff>
      <xdr:row>27</xdr:row>
      <xdr:rowOff>104775</xdr:rowOff>
    </xdr:to>
    <xdr:sp macro="" textlink="">
      <xdr:nvSpPr>
        <xdr:cNvPr id="193" name="TextBox 192">
          <a:hlinkClick xmlns:r="http://schemas.openxmlformats.org/officeDocument/2006/relationships" r:id="rId28" tooltip="Go to Database"/>
          <a:extLst>
            <a:ext uri="{FF2B5EF4-FFF2-40B4-BE49-F238E27FC236}">
              <a16:creationId xmlns:a16="http://schemas.microsoft.com/office/drawing/2014/main" id="{2A745130-34A7-47F8-AF89-77121D2948A0}"/>
            </a:ext>
          </a:extLst>
        </xdr:cNvPr>
        <xdr:cNvSpPr txBox="1"/>
      </xdr:nvSpPr>
      <xdr:spPr>
        <a:xfrm>
          <a:off x="1160688" y="5210175"/>
          <a:ext cx="325212"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a:t>
          </a:r>
          <a:endParaRPr lang="en-US" sz="1100">
            <a:solidFill>
              <a:schemeClr val="tx1">
                <a:lumMod val="65000"/>
                <a:lumOff val="35000"/>
              </a:schemeClr>
            </a:solidFill>
          </a:endParaRPr>
        </a:p>
      </xdr:txBody>
    </xdr:sp>
    <xdr:clientData/>
  </xdr:twoCellAnchor>
  <xdr:twoCellAnchor editAs="absolute">
    <xdr:from>
      <xdr:col>0</xdr:col>
      <xdr:colOff>114301</xdr:colOff>
      <xdr:row>27</xdr:row>
      <xdr:rowOff>123825</xdr:rowOff>
    </xdr:from>
    <xdr:to>
      <xdr:col>2</xdr:col>
      <xdr:colOff>38100</xdr:colOff>
      <xdr:row>35</xdr:row>
      <xdr:rowOff>171450</xdr:rowOff>
    </xdr:to>
    <mc:AlternateContent xmlns:mc="http://schemas.openxmlformats.org/markup-compatibility/2006" xmlns:a14="http://schemas.microsoft.com/office/drawing/2010/main">
      <mc:Choice Requires="a14">
        <xdr:graphicFrame macro="">
          <xdr:nvGraphicFramePr>
            <xdr:cNvPr id="194" name="Sale Team">
              <a:extLst>
                <a:ext uri="{FF2B5EF4-FFF2-40B4-BE49-F238E27FC236}">
                  <a16:creationId xmlns:a16="http://schemas.microsoft.com/office/drawing/2014/main" id="{B3BE089D-FD7A-4714-BE9B-6AC7562553C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 Team"/>
            </a:graphicData>
          </a:graphic>
        </xdr:graphicFrame>
      </mc:Choice>
      <mc:Fallback xmlns="">
        <xdr:sp macro="" textlink="">
          <xdr:nvSpPr>
            <xdr:cNvPr id="0" name=""/>
            <xdr:cNvSpPr>
              <a:spLocks noTextEdit="1"/>
            </xdr:cNvSpPr>
          </xdr:nvSpPr>
          <xdr:spPr>
            <a:xfrm>
              <a:off x="114301" y="5524500"/>
              <a:ext cx="1295399"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171451</xdr:colOff>
      <xdr:row>26</xdr:row>
      <xdr:rowOff>161926</xdr:rowOff>
    </xdr:from>
    <xdr:to>
      <xdr:col>1</xdr:col>
      <xdr:colOff>171451</xdr:colOff>
      <xdr:row>29</xdr:row>
      <xdr:rowOff>95251</xdr:rowOff>
    </xdr:to>
    <xdr:sp macro="" textlink="">
      <xdr:nvSpPr>
        <xdr:cNvPr id="192" name="TextBox 191">
          <a:extLst>
            <a:ext uri="{FF2B5EF4-FFF2-40B4-BE49-F238E27FC236}">
              <a16:creationId xmlns:a16="http://schemas.microsoft.com/office/drawing/2014/main" id="{07B22B3D-FC62-45C4-99EA-6AC4D5559875}"/>
            </a:ext>
          </a:extLst>
        </xdr:cNvPr>
        <xdr:cNvSpPr txBox="1"/>
      </xdr:nvSpPr>
      <xdr:spPr>
        <a:xfrm>
          <a:off x="171451" y="5362576"/>
          <a:ext cx="6858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7030A0"/>
              </a:solidFill>
              <a:latin typeface="Abadi" panose="020B0604020104020204" pitchFamily="34" charset="0"/>
            </a:rPr>
            <a:t>Sales</a:t>
          </a:r>
        </a:p>
      </xdr:txBody>
    </xdr:sp>
    <xdr:clientData/>
  </xdr:twoCellAnchor>
  <xdr:twoCellAnchor editAs="absolute">
    <xdr:from>
      <xdr:col>22</xdr:col>
      <xdr:colOff>257175</xdr:colOff>
      <xdr:row>12</xdr:row>
      <xdr:rowOff>47625</xdr:rowOff>
    </xdr:from>
    <xdr:to>
      <xdr:col>26</xdr:col>
      <xdr:colOff>45000</xdr:colOff>
      <xdr:row>24</xdr:row>
      <xdr:rowOff>28575</xdr:rowOff>
    </xdr:to>
    <xdr:sp macro="" textlink="">
      <xdr:nvSpPr>
        <xdr:cNvPr id="64" name="Rectangle: Rounded Corners 63">
          <a:extLst>
            <a:ext uri="{FF2B5EF4-FFF2-40B4-BE49-F238E27FC236}">
              <a16:creationId xmlns:a16="http://schemas.microsoft.com/office/drawing/2014/main" id="{1D6095A3-FFAF-4B63-9702-B0B1949096F4}"/>
            </a:ext>
          </a:extLst>
        </xdr:cNvPr>
        <xdr:cNvSpPr/>
      </xdr:nvSpPr>
      <xdr:spPr>
        <a:xfrm>
          <a:off x="15344775" y="2447925"/>
          <a:ext cx="2531025" cy="2381250"/>
        </a:xfrm>
        <a:prstGeom prst="roundRect">
          <a:avLst>
            <a:gd name="adj" fmla="val 11829"/>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editAs="absolute">
    <xdr:from>
      <xdr:col>22</xdr:col>
      <xdr:colOff>292650</xdr:colOff>
      <xdr:row>12</xdr:row>
      <xdr:rowOff>161924</xdr:rowOff>
    </xdr:from>
    <xdr:to>
      <xdr:col>26</xdr:col>
      <xdr:colOff>35475</xdr:colOff>
      <xdr:row>23</xdr:row>
      <xdr:rowOff>66674</xdr:rowOff>
    </xdr:to>
    <xdr:graphicFrame macro="">
      <xdr:nvGraphicFramePr>
        <xdr:cNvPr id="65" name="Chart 64">
          <a:extLst>
            <a:ext uri="{FF2B5EF4-FFF2-40B4-BE49-F238E27FC236}">
              <a16:creationId xmlns:a16="http://schemas.microsoft.com/office/drawing/2014/main" id="{687370FA-0876-4682-9918-0FF91CDCB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absolute">
    <xdr:from>
      <xdr:col>23</xdr:col>
      <xdr:colOff>426000</xdr:colOff>
      <xdr:row>15</xdr:row>
      <xdr:rowOff>38099</xdr:rowOff>
    </xdr:from>
    <xdr:to>
      <xdr:col>24</xdr:col>
      <xdr:colOff>616500</xdr:colOff>
      <xdr:row>19</xdr:row>
      <xdr:rowOff>104775</xdr:rowOff>
    </xdr:to>
    <xdr:sp macro="" textlink="">
      <xdr:nvSpPr>
        <xdr:cNvPr id="72" name="Flowchart: Connector 71">
          <a:extLst>
            <a:ext uri="{FF2B5EF4-FFF2-40B4-BE49-F238E27FC236}">
              <a16:creationId xmlns:a16="http://schemas.microsoft.com/office/drawing/2014/main" id="{7074DD34-1C81-49AE-AC0B-65068C379C4A}"/>
            </a:ext>
          </a:extLst>
        </xdr:cNvPr>
        <xdr:cNvSpPr/>
      </xdr:nvSpPr>
      <xdr:spPr>
        <a:xfrm>
          <a:off x="16199400" y="3038474"/>
          <a:ext cx="876300" cy="866776"/>
        </a:xfrm>
        <a:prstGeom prst="flowChartConnector">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23</xdr:col>
      <xdr:colOff>445050</xdr:colOff>
      <xdr:row>16</xdr:row>
      <xdr:rowOff>85723</xdr:rowOff>
    </xdr:from>
    <xdr:to>
      <xdr:col>24</xdr:col>
      <xdr:colOff>540300</xdr:colOff>
      <xdr:row>19</xdr:row>
      <xdr:rowOff>9524</xdr:rowOff>
    </xdr:to>
    <xdr:sp macro="" textlink="">
      <xdr:nvSpPr>
        <xdr:cNvPr id="73" name="TextBox 72">
          <a:extLst>
            <a:ext uri="{FF2B5EF4-FFF2-40B4-BE49-F238E27FC236}">
              <a16:creationId xmlns:a16="http://schemas.microsoft.com/office/drawing/2014/main" id="{40D30459-B21E-458D-8278-79DBFCC078B9}"/>
            </a:ext>
          </a:extLst>
        </xdr:cNvPr>
        <xdr:cNvSpPr txBox="1"/>
      </xdr:nvSpPr>
      <xdr:spPr>
        <a:xfrm>
          <a:off x="16218450" y="3286123"/>
          <a:ext cx="781050" cy="52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u="none" strike="noStrike">
              <a:solidFill>
                <a:srgbClr val="000000"/>
              </a:solidFill>
              <a:latin typeface="Abadi" panose="020B0604020104020204" pitchFamily="34" charset="0"/>
              <a:ea typeface="+mn-ea"/>
              <a:cs typeface="Arial"/>
            </a:rPr>
            <a:t>Training Models</a:t>
          </a:r>
        </a:p>
      </xdr:txBody>
    </xdr:sp>
    <xdr:clientData/>
  </xdr:twoCellAnchor>
  <xdr:twoCellAnchor editAs="absolute">
    <xdr:from>
      <xdr:col>22</xdr:col>
      <xdr:colOff>495299</xdr:colOff>
      <xdr:row>5</xdr:row>
      <xdr:rowOff>180975</xdr:rowOff>
    </xdr:from>
    <xdr:to>
      <xdr:col>23</xdr:col>
      <xdr:colOff>47624</xdr:colOff>
      <xdr:row>7</xdr:row>
      <xdr:rowOff>19050</xdr:rowOff>
    </xdr:to>
    <xdr:pic>
      <xdr:nvPicPr>
        <xdr:cNvPr id="92" name="Graphic 91" descr="Normal Distribution with solid fill">
          <a:extLst>
            <a:ext uri="{FF2B5EF4-FFF2-40B4-BE49-F238E27FC236}">
              <a16:creationId xmlns:a16="http://schemas.microsoft.com/office/drawing/2014/main" id="{F5610086-EEFD-4829-9684-25C64DE85D0C}"/>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5582899" y="1181100"/>
          <a:ext cx="238125" cy="238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76200</xdr:rowOff>
    </xdr:from>
    <xdr:to>
      <xdr:col>1</xdr:col>
      <xdr:colOff>513000</xdr:colOff>
      <xdr:row>10</xdr:row>
      <xdr:rowOff>88350</xdr:rowOff>
    </xdr:to>
    <xdr:sp macro="" textlink="">
      <xdr:nvSpPr>
        <xdr:cNvPr id="2" name="Rectangle: Rounded Corners 1">
          <a:extLst>
            <a:ext uri="{FF2B5EF4-FFF2-40B4-BE49-F238E27FC236}">
              <a16:creationId xmlns:a16="http://schemas.microsoft.com/office/drawing/2014/main" id="{C58A89DE-6ABE-45E3-83DF-16C171E01FA8}"/>
            </a:ext>
          </a:extLst>
        </xdr:cNvPr>
        <xdr:cNvSpPr/>
      </xdr:nvSpPr>
      <xdr:spPr>
        <a:xfrm>
          <a:off x="0" y="76200"/>
          <a:ext cx="1198800" cy="20124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0</xdr:col>
      <xdr:colOff>13613</xdr:colOff>
      <xdr:row>4</xdr:row>
      <xdr:rowOff>133350</xdr:rowOff>
    </xdr:from>
    <xdr:to>
      <xdr:col>1</xdr:col>
      <xdr:colOff>499388</xdr:colOff>
      <xdr:row>9</xdr:row>
      <xdr:rowOff>161925</xdr:rowOff>
    </xdr:to>
    <xdr:sp macro="" textlink="">
      <xdr:nvSpPr>
        <xdr:cNvPr id="3" name="TextBox 2">
          <a:extLst>
            <a:ext uri="{FF2B5EF4-FFF2-40B4-BE49-F238E27FC236}">
              <a16:creationId xmlns:a16="http://schemas.microsoft.com/office/drawing/2014/main" id="{B67860AE-10FC-4E86-A886-81E9DB31360D}"/>
            </a:ext>
          </a:extLst>
        </xdr:cNvPr>
        <xdr:cNvSpPr txBox="1"/>
      </xdr:nvSpPr>
      <xdr:spPr>
        <a:xfrm>
          <a:off x="13613" y="933450"/>
          <a:ext cx="1171575" cy="1028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rgbClr val="FF7C80"/>
              </a:solidFill>
              <a:latin typeface="Abadi" panose="020B0604020202020204" pitchFamily="34" charset="0"/>
              <a:cs typeface="Noto Kufi Arabic" panose="020B0506030804020204" pitchFamily="34" charset="0"/>
            </a:rPr>
            <a:t>Purpleshop's</a:t>
          </a:r>
          <a:endParaRPr lang="en-US" sz="1100" b="0">
            <a:solidFill>
              <a:srgbClr val="FF7C80"/>
            </a:solidFill>
            <a:latin typeface="Abadi" panose="020B0604020202020204" pitchFamily="34" charset="0"/>
            <a:cs typeface="Noto Kufi Arabic" panose="020B0506030804020204" pitchFamily="34" charset="0"/>
          </a:endParaRPr>
        </a:p>
        <a:p>
          <a:pPr algn="ctr"/>
          <a:r>
            <a:rPr lang="en-US" sz="1100" b="1">
              <a:latin typeface="Abadi" panose="020B0604020202020204" pitchFamily="34" charset="0"/>
              <a:cs typeface="Noto Kufi Arabic" panose="020B0506030804020204" pitchFamily="34" charset="0"/>
            </a:rPr>
            <a:t>Sales Performance</a:t>
          </a:r>
          <a:r>
            <a:rPr lang="en-US" sz="1100" b="1" baseline="0">
              <a:latin typeface="Abadi" panose="020B0604020202020204" pitchFamily="34" charset="0"/>
              <a:cs typeface="Noto Kufi Arabic" panose="020B0506030804020204" pitchFamily="34" charset="0"/>
            </a:rPr>
            <a:t> Metrics </a:t>
          </a:r>
        </a:p>
        <a:p>
          <a:pPr algn="ctr"/>
          <a:r>
            <a:rPr lang="en-US" sz="1000" baseline="0">
              <a:solidFill>
                <a:schemeClr val="bg1">
                  <a:lumMod val="50000"/>
                </a:schemeClr>
              </a:solidFill>
              <a:latin typeface="Abadi" panose="020B0604020202020204" pitchFamily="34" charset="0"/>
              <a:cs typeface="Noto Kufi Arabic" panose="020B0506030804020204" pitchFamily="34" charset="0"/>
            </a:rPr>
            <a:t>2022</a:t>
          </a:r>
          <a:endParaRPr lang="en-US" sz="1100">
            <a:solidFill>
              <a:schemeClr val="bg1">
                <a:lumMod val="50000"/>
              </a:schemeClr>
            </a:solidFill>
            <a:latin typeface="Abadi" panose="020B0604020202020204" pitchFamily="34" charset="0"/>
            <a:cs typeface="Noto Kufi Arabic" panose="020B0506030804020204" pitchFamily="34" charset="0"/>
          </a:endParaRPr>
        </a:p>
      </xdr:txBody>
    </xdr:sp>
    <xdr:clientData/>
  </xdr:twoCellAnchor>
  <xdr:twoCellAnchor editAs="oneCell">
    <xdr:from>
      <xdr:col>0</xdr:col>
      <xdr:colOff>38100</xdr:colOff>
      <xdr:row>1</xdr:row>
      <xdr:rowOff>133351</xdr:rowOff>
    </xdr:from>
    <xdr:to>
      <xdr:col>1</xdr:col>
      <xdr:colOff>506985</xdr:colOff>
      <xdr:row>4</xdr:row>
      <xdr:rowOff>152400</xdr:rowOff>
    </xdr:to>
    <xdr:pic>
      <xdr:nvPicPr>
        <xdr:cNvPr id="4" name="Picture 3">
          <a:extLst>
            <a:ext uri="{FF2B5EF4-FFF2-40B4-BE49-F238E27FC236}">
              <a16:creationId xmlns:a16="http://schemas.microsoft.com/office/drawing/2014/main" id="{ECAAF0D1-E01A-45C3-B3B3-D767D65D34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333376"/>
          <a:ext cx="1154685" cy="619124"/>
        </a:xfrm>
        <a:prstGeom prst="rect">
          <a:avLst/>
        </a:prstGeom>
      </xdr:spPr>
    </xdr:pic>
    <xdr:clientData/>
  </xdr:twoCellAnchor>
  <xdr:twoCellAnchor>
    <xdr:from>
      <xdr:col>2</xdr:col>
      <xdr:colOff>397337</xdr:colOff>
      <xdr:row>0</xdr:row>
      <xdr:rowOff>76199</xdr:rowOff>
    </xdr:from>
    <xdr:to>
      <xdr:col>5</xdr:col>
      <xdr:colOff>200025</xdr:colOff>
      <xdr:row>10</xdr:row>
      <xdr:rowOff>104774</xdr:rowOff>
    </xdr:to>
    <xdr:sp macro="" textlink="">
      <xdr:nvSpPr>
        <xdr:cNvPr id="5" name="Rectangle: Rounded Corners 4">
          <a:extLst>
            <a:ext uri="{FF2B5EF4-FFF2-40B4-BE49-F238E27FC236}">
              <a16:creationId xmlns:a16="http://schemas.microsoft.com/office/drawing/2014/main" id="{BB271592-96EC-426D-877F-497D3AD51541}"/>
            </a:ext>
          </a:extLst>
        </xdr:cNvPr>
        <xdr:cNvSpPr/>
      </xdr:nvSpPr>
      <xdr:spPr>
        <a:xfrm>
          <a:off x="1768937" y="76199"/>
          <a:ext cx="1860088" cy="2028825"/>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2</xdr:col>
      <xdr:colOff>647700</xdr:colOff>
      <xdr:row>0</xdr:row>
      <xdr:rowOff>180975</xdr:rowOff>
    </xdr:from>
    <xdr:to>
      <xdr:col>5</xdr:col>
      <xdr:colOff>209550</xdr:colOff>
      <xdr:row>2</xdr:row>
      <xdr:rowOff>161925</xdr:rowOff>
    </xdr:to>
    <xdr:sp macro="" textlink="">
      <xdr:nvSpPr>
        <xdr:cNvPr id="6" name="TextBox 5">
          <a:extLst>
            <a:ext uri="{FF2B5EF4-FFF2-40B4-BE49-F238E27FC236}">
              <a16:creationId xmlns:a16="http://schemas.microsoft.com/office/drawing/2014/main" id="{4947885F-6330-4E86-AD53-0B96BB28E3B7}"/>
            </a:ext>
          </a:extLst>
        </xdr:cNvPr>
        <xdr:cNvSpPr txBox="1"/>
      </xdr:nvSpPr>
      <xdr:spPr>
        <a:xfrm>
          <a:off x="2019300" y="180975"/>
          <a:ext cx="1619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rgbClr val="FF7C80"/>
              </a:solidFill>
              <a:latin typeface="Abadi" panose="020B0604020202020204" pitchFamily="34" charset="0"/>
              <a:cs typeface="Noto Kufi Arabic" panose="020B0506030804020204" pitchFamily="34" charset="0"/>
            </a:rPr>
            <a:t>Total Earnings</a:t>
          </a:r>
        </a:p>
      </xdr:txBody>
    </xdr:sp>
    <xdr:clientData/>
  </xdr:twoCellAnchor>
  <xdr:twoCellAnchor>
    <xdr:from>
      <xdr:col>2</xdr:col>
      <xdr:colOff>419100</xdr:colOff>
      <xdr:row>2</xdr:row>
      <xdr:rowOff>152400</xdr:rowOff>
    </xdr:from>
    <xdr:to>
      <xdr:col>4</xdr:col>
      <xdr:colOff>666750</xdr:colOff>
      <xdr:row>4</xdr:row>
      <xdr:rowOff>133350</xdr:rowOff>
    </xdr:to>
    <xdr:sp macro="" textlink="'Pivot Tables'!B5">
      <xdr:nvSpPr>
        <xdr:cNvPr id="7" name="TextBox 6">
          <a:extLst>
            <a:ext uri="{FF2B5EF4-FFF2-40B4-BE49-F238E27FC236}">
              <a16:creationId xmlns:a16="http://schemas.microsoft.com/office/drawing/2014/main" id="{677E48AA-B321-4597-A3A1-9001E920E043}"/>
            </a:ext>
          </a:extLst>
        </xdr:cNvPr>
        <xdr:cNvSpPr txBox="1"/>
      </xdr:nvSpPr>
      <xdr:spPr>
        <a:xfrm>
          <a:off x="1790700" y="552450"/>
          <a:ext cx="1619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68CE77-72F6-4D39-8924-82340F6F7501}" type="TxLink">
            <a:rPr lang="en-US" sz="1600" b="0" i="0" u="none" strike="noStrike">
              <a:solidFill>
                <a:srgbClr val="000000"/>
              </a:solidFill>
              <a:latin typeface="Abadi" panose="020B0604020104020204" pitchFamily="34" charset="0"/>
              <a:ea typeface="Calibri"/>
              <a:cs typeface="Calibri"/>
            </a:rPr>
            <a:pPr algn="ctr"/>
            <a:t>15.990.000.000</a:t>
          </a:fld>
          <a:endParaRPr lang="en-US" sz="1600" b="0">
            <a:solidFill>
              <a:srgbClr val="FF7C80"/>
            </a:solidFill>
            <a:latin typeface="Abadi" panose="020B0604020104020204" pitchFamily="34" charset="0"/>
            <a:cs typeface="Noto Kufi Arabic" panose="020B0506030804020204" pitchFamily="34" charset="0"/>
          </a:endParaRPr>
        </a:p>
      </xdr:txBody>
    </xdr:sp>
    <xdr:clientData/>
  </xdr:twoCellAnchor>
  <xdr:twoCellAnchor>
    <xdr:from>
      <xdr:col>2</xdr:col>
      <xdr:colOff>419100</xdr:colOff>
      <xdr:row>3</xdr:row>
      <xdr:rowOff>171449</xdr:rowOff>
    </xdr:from>
    <xdr:to>
      <xdr:col>4</xdr:col>
      <xdr:colOff>238125</xdr:colOff>
      <xdr:row>5</xdr:row>
      <xdr:rowOff>161925</xdr:rowOff>
    </xdr:to>
    <xdr:sp macro="" textlink="">
      <xdr:nvSpPr>
        <xdr:cNvPr id="8" name="TextBox 7">
          <a:extLst>
            <a:ext uri="{FF2B5EF4-FFF2-40B4-BE49-F238E27FC236}">
              <a16:creationId xmlns:a16="http://schemas.microsoft.com/office/drawing/2014/main" id="{B6832735-4961-4674-B9C8-2B079E47FEE1}"/>
            </a:ext>
          </a:extLst>
        </xdr:cNvPr>
        <xdr:cNvSpPr txBox="1"/>
      </xdr:nvSpPr>
      <xdr:spPr>
        <a:xfrm>
          <a:off x="1790700" y="771524"/>
          <a:ext cx="119062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solidFill>
                <a:schemeClr val="bg1">
                  <a:lumMod val="50000"/>
                </a:schemeClr>
              </a:solidFill>
              <a:latin typeface="Abadi" panose="020B0604020202020204" pitchFamily="34" charset="0"/>
              <a:cs typeface="Noto Kufi Arabic" panose="020B0506030804020204" pitchFamily="34" charset="0"/>
            </a:rPr>
            <a:t>Dollars</a:t>
          </a:r>
          <a:endParaRPr lang="en-US" sz="700" b="0">
            <a:solidFill>
              <a:schemeClr val="bg1">
                <a:lumMod val="50000"/>
              </a:schemeClr>
            </a:solidFill>
            <a:latin typeface="Abadi" panose="020B0604020202020204" pitchFamily="34" charset="0"/>
            <a:cs typeface="Noto Kufi Arabic" panose="020B0506030804020204" pitchFamily="34" charset="0"/>
          </a:endParaRPr>
        </a:p>
      </xdr:txBody>
    </xdr:sp>
    <xdr:clientData/>
  </xdr:twoCellAnchor>
  <xdr:twoCellAnchor editAs="oneCell">
    <xdr:from>
      <xdr:col>2</xdr:col>
      <xdr:colOff>521701</xdr:colOff>
      <xdr:row>1</xdr:row>
      <xdr:rowOff>28575</xdr:rowOff>
    </xdr:from>
    <xdr:to>
      <xdr:col>3</xdr:col>
      <xdr:colOff>116474</xdr:colOff>
      <xdr:row>2</xdr:row>
      <xdr:rowOff>188163</xdr:rowOff>
    </xdr:to>
    <xdr:pic>
      <xdr:nvPicPr>
        <xdr:cNvPr id="9" name="Picture 8">
          <a:extLst>
            <a:ext uri="{FF2B5EF4-FFF2-40B4-BE49-F238E27FC236}">
              <a16:creationId xmlns:a16="http://schemas.microsoft.com/office/drawing/2014/main" id="{63B8CB8E-B177-413E-81B5-9FBFB5E96F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rcRect/>
        <a:stretch/>
      </xdr:blipFill>
      <xdr:spPr>
        <a:xfrm>
          <a:off x="1893301" y="228600"/>
          <a:ext cx="280573" cy="359613"/>
        </a:xfrm>
        <a:prstGeom prst="rect">
          <a:avLst/>
        </a:prstGeom>
      </xdr:spPr>
    </xdr:pic>
    <xdr:clientData/>
  </xdr:twoCellAnchor>
  <xdr:twoCellAnchor>
    <xdr:from>
      <xdr:col>2</xdr:col>
      <xdr:colOff>466725</xdr:colOff>
      <xdr:row>5</xdr:row>
      <xdr:rowOff>133350</xdr:rowOff>
    </xdr:from>
    <xdr:to>
      <xdr:col>5</xdr:col>
      <xdr:colOff>114300</xdr:colOff>
      <xdr:row>5</xdr:row>
      <xdr:rowOff>142875</xdr:rowOff>
    </xdr:to>
    <xdr:cxnSp macro="">
      <xdr:nvCxnSpPr>
        <xdr:cNvPr id="10" name="Straight Connector 9">
          <a:extLst>
            <a:ext uri="{FF2B5EF4-FFF2-40B4-BE49-F238E27FC236}">
              <a16:creationId xmlns:a16="http://schemas.microsoft.com/office/drawing/2014/main" id="{578251E7-FEF9-4F4E-8C14-7A3B7453AF71}"/>
            </a:ext>
          </a:extLst>
        </xdr:cNvPr>
        <xdr:cNvCxnSpPr/>
      </xdr:nvCxnSpPr>
      <xdr:spPr>
        <a:xfrm flipV="1">
          <a:off x="1838325" y="1133475"/>
          <a:ext cx="1704975" cy="9525"/>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6</xdr:row>
      <xdr:rowOff>180975</xdr:rowOff>
    </xdr:from>
    <xdr:to>
      <xdr:col>3</xdr:col>
      <xdr:colOff>152400</xdr:colOff>
      <xdr:row>8</xdr:row>
      <xdr:rowOff>161925</xdr:rowOff>
    </xdr:to>
    <xdr:sp macro="" textlink="'Pivot Tables'!I6">
      <xdr:nvSpPr>
        <xdr:cNvPr id="11" name="TextBox 10">
          <a:extLst>
            <a:ext uri="{FF2B5EF4-FFF2-40B4-BE49-F238E27FC236}">
              <a16:creationId xmlns:a16="http://schemas.microsoft.com/office/drawing/2014/main" id="{4ABB5451-28BC-444B-B9D2-056FD8DA05AE}"/>
            </a:ext>
          </a:extLst>
        </xdr:cNvPr>
        <xdr:cNvSpPr txBox="1"/>
      </xdr:nvSpPr>
      <xdr:spPr>
        <a:xfrm>
          <a:off x="1790700" y="1381125"/>
          <a:ext cx="4191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9798F3-C6C4-4211-8490-E7A10CEB5F90}" type="TxLink">
            <a:rPr lang="en-US" sz="1100" b="0" i="0" u="none" strike="noStrike">
              <a:solidFill>
                <a:srgbClr val="000000"/>
              </a:solidFill>
              <a:latin typeface="Arial"/>
              <a:ea typeface="Calibri"/>
              <a:cs typeface="Arial"/>
            </a:rPr>
            <a:pPr algn="ctr"/>
            <a:t>926</a:t>
          </a:fld>
          <a:endParaRPr lang="en-US" sz="1600" b="0">
            <a:solidFill>
              <a:srgbClr val="FF7C80"/>
            </a:solidFill>
            <a:latin typeface="Abadi" panose="020B0604020104020204" pitchFamily="34" charset="0"/>
            <a:cs typeface="Noto Kufi Arabic" panose="020B0506030804020204" pitchFamily="34" charset="0"/>
          </a:endParaRPr>
        </a:p>
      </xdr:txBody>
    </xdr:sp>
    <xdr:clientData/>
  </xdr:twoCellAnchor>
  <xdr:twoCellAnchor>
    <xdr:from>
      <xdr:col>2</xdr:col>
      <xdr:colOff>419100</xdr:colOff>
      <xdr:row>8</xdr:row>
      <xdr:rowOff>9524</xdr:rowOff>
    </xdr:from>
    <xdr:to>
      <xdr:col>3</xdr:col>
      <xdr:colOff>200025</xdr:colOff>
      <xdr:row>10</xdr:row>
      <xdr:rowOff>0</xdr:rowOff>
    </xdr:to>
    <xdr:sp macro="" textlink="">
      <xdr:nvSpPr>
        <xdr:cNvPr id="12" name="TextBox 11">
          <a:extLst>
            <a:ext uri="{FF2B5EF4-FFF2-40B4-BE49-F238E27FC236}">
              <a16:creationId xmlns:a16="http://schemas.microsoft.com/office/drawing/2014/main" id="{633FCA1F-AC5E-4F52-8774-D86B3371F428}"/>
            </a:ext>
          </a:extLst>
        </xdr:cNvPr>
        <xdr:cNvSpPr txBox="1"/>
      </xdr:nvSpPr>
      <xdr:spPr>
        <a:xfrm>
          <a:off x="1790700" y="1609724"/>
          <a:ext cx="46672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solidFill>
                <a:schemeClr val="bg1">
                  <a:lumMod val="50000"/>
                </a:schemeClr>
              </a:solidFill>
              <a:latin typeface="Abadi" panose="020B0604020202020204" pitchFamily="34" charset="0"/>
              <a:cs typeface="Noto Kufi Arabic" panose="020B0506030804020204" pitchFamily="34" charset="0"/>
            </a:rPr>
            <a:t>Call</a:t>
          </a:r>
          <a:endParaRPr lang="en-US" sz="700" b="0">
            <a:solidFill>
              <a:schemeClr val="bg1">
                <a:lumMod val="50000"/>
              </a:schemeClr>
            </a:solidFill>
            <a:latin typeface="Abadi" panose="020B0604020202020204" pitchFamily="34" charset="0"/>
            <a:cs typeface="Noto Kufi Arabic" panose="020B0506030804020204" pitchFamily="34" charset="0"/>
          </a:endParaRPr>
        </a:p>
      </xdr:txBody>
    </xdr:sp>
    <xdr:clientData/>
  </xdr:twoCellAnchor>
  <xdr:twoCellAnchor>
    <xdr:from>
      <xdr:col>2</xdr:col>
      <xdr:colOff>419100</xdr:colOff>
      <xdr:row>5</xdr:row>
      <xdr:rowOff>180975</xdr:rowOff>
    </xdr:from>
    <xdr:to>
      <xdr:col>4</xdr:col>
      <xdr:colOff>238125</xdr:colOff>
      <xdr:row>7</xdr:row>
      <xdr:rowOff>85725</xdr:rowOff>
    </xdr:to>
    <xdr:sp macro="" textlink="">
      <xdr:nvSpPr>
        <xdr:cNvPr id="13" name="TextBox 12">
          <a:extLst>
            <a:ext uri="{FF2B5EF4-FFF2-40B4-BE49-F238E27FC236}">
              <a16:creationId xmlns:a16="http://schemas.microsoft.com/office/drawing/2014/main" id="{64AC6091-749B-4753-A127-075934473E23}"/>
            </a:ext>
          </a:extLst>
        </xdr:cNvPr>
        <xdr:cNvSpPr txBox="1"/>
      </xdr:nvSpPr>
      <xdr:spPr>
        <a:xfrm>
          <a:off x="1790700" y="1181100"/>
          <a:ext cx="1190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lumMod val="50000"/>
                </a:schemeClr>
              </a:solidFill>
              <a:latin typeface="Abadi" panose="020B0604020202020204" pitchFamily="34" charset="0"/>
              <a:cs typeface="Noto Kufi Arabic" panose="020B0506030804020204" pitchFamily="34" charset="0"/>
            </a:rPr>
            <a:t>Total Paid Calls</a:t>
          </a:r>
          <a:endParaRPr lang="en-US" sz="1050" b="0">
            <a:solidFill>
              <a:schemeClr val="bg1">
                <a:lumMod val="50000"/>
              </a:schemeClr>
            </a:solidFill>
            <a:latin typeface="Abadi" panose="020B0604020202020204" pitchFamily="34" charset="0"/>
            <a:cs typeface="Noto Kufi Arabic" panose="020B0506030804020204" pitchFamily="34" charset="0"/>
          </a:endParaRPr>
        </a:p>
      </xdr:txBody>
    </xdr:sp>
    <xdr:clientData/>
  </xdr:twoCellAnchor>
  <xdr:twoCellAnchor editAs="oneCell">
    <xdr:from>
      <xdr:col>4</xdr:col>
      <xdr:colOff>314325</xdr:colOff>
      <xdr:row>6</xdr:row>
      <xdr:rowOff>171450</xdr:rowOff>
    </xdr:from>
    <xdr:to>
      <xdr:col>5</xdr:col>
      <xdr:colOff>152400</xdr:colOff>
      <xdr:row>9</xdr:row>
      <xdr:rowOff>95250</xdr:rowOff>
    </xdr:to>
    <xdr:pic>
      <xdr:nvPicPr>
        <xdr:cNvPr id="14" name="Graphic 13" descr="Speaker phone with solid fill">
          <a:extLst>
            <a:ext uri="{FF2B5EF4-FFF2-40B4-BE49-F238E27FC236}">
              <a16:creationId xmlns:a16="http://schemas.microsoft.com/office/drawing/2014/main" id="{A4EDC5C9-6085-42E8-9944-B47EF364B18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057525" y="1371600"/>
          <a:ext cx="523875" cy="523875"/>
        </a:xfrm>
        <a:prstGeom prst="rect">
          <a:avLst/>
        </a:prstGeom>
      </xdr:spPr>
    </xdr:pic>
    <xdr:clientData/>
  </xdr:twoCellAnchor>
  <xdr:twoCellAnchor>
    <xdr:from>
      <xdr:col>5</xdr:col>
      <xdr:colOff>253099</xdr:colOff>
      <xdr:row>0</xdr:row>
      <xdr:rowOff>95250</xdr:rowOff>
    </xdr:from>
    <xdr:to>
      <xdr:col>8</xdr:col>
      <xdr:colOff>348349</xdr:colOff>
      <xdr:row>10</xdr:row>
      <xdr:rowOff>107400</xdr:rowOff>
    </xdr:to>
    <xdr:sp macro="" textlink="">
      <xdr:nvSpPr>
        <xdr:cNvPr id="15" name="Rectangle: Rounded Corners 14">
          <a:extLst>
            <a:ext uri="{FF2B5EF4-FFF2-40B4-BE49-F238E27FC236}">
              <a16:creationId xmlns:a16="http://schemas.microsoft.com/office/drawing/2014/main" id="{E6DE4B0E-21A5-4F43-8141-1A6A18FC542C}"/>
            </a:ext>
          </a:extLst>
        </xdr:cNvPr>
        <xdr:cNvSpPr/>
      </xdr:nvSpPr>
      <xdr:spPr>
        <a:xfrm>
          <a:off x="3682099" y="95250"/>
          <a:ext cx="2152650" cy="20124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5</xdr:col>
      <xdr:colOff>323851</xdr:colOff>
      <xdr:row>1</xdr:row>
      <xdr:rowOff>47625</xdr:rowOff>
    </xdr:from>
    <xdr:to>
      <xdr:col>7</xdr:col>
      <xdr:colOff>304801</xdr:colOff>
      <xdr:row>4</xdr:row>
      <xdr:rowOff>104776</xdr:rowOff>
    </xdr:to>
    <xdr:sp macro="" textlink="">
      <xdr:nvSpPr>
        <xdr:cNvPr id="16" name="TextBox 15">
          <a:extLst>
            <a:ext uri="{FF2B5EF4-FFF2-40B4-BE49-F238E27FC236}">
              <a16:creationId xmlns:a16="http://schemas.microsoft.com/office/drawing/2014/main" id="{1F24893C-C067-4161-A18E-AAB5F4110C23}"/>
            </a:ext>
          </a:extLst>
        </xdr:cNvPr>
        <xdr:cNvSpPr txBox="1"/>
      </xdr:nvSpPr>
      <xdr:spPr>
        <a:xfrm>
          <a:off x="3752851" y="247650"/>
          <a:ext cx="1352550" cy="65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lumMod val="50000"/>
                </a:schemeClr>
              </a:solidFill>
              <a:latin typeface="Abadi" panose="020B0604020104020204" pitchFamily="34" charset="0"/>
            </a:rPr>
            <a:t>Top</a:t>
          </a:r>
          <a:r>
            <a:rPr lang="en-US" sz="1050" baseline="0">
              <a:solidFill>
                <a:schemeClr val="bg1">
                  <a:lumMod val="50000"/>
                </a:schemeClr>
              </a:solidFill>
              <a:latin typeface="Abadi" panose="020B0604020104020204" pitchFamily="34" charset="0"/>
            </a:rPr>
            <a:t> 5</a:t>
          </a:r>
        </a:p>
        <a:p>
          <a:r>
            <a:rPr lang="en-US" sz="1100" baseline="0">
              <a:latin typeface="Abadi" panose="020B0604020104020204" pitchFamily="34" charset="0"/>
            </a:rPr>
            <a:t>Consultants</a:t>
          </a:r>
        </a:p>
        <a:p>
          <a:r>
            <a:rPr lang="en-US" sz="1000" baseline="0">
              <a:solidFill>
                <a:schemeClr val="bg1">
                  <a:lumMod val="50000"/>
                </a:schemeClr>
              </a:solidFill>
              <a:latin typeface="Abadi" panose="020B0604020104020204" pitchFamily="34" charset="0"/>
            </a:rPr>
            <a:t>Sales Revenue</a:t>
          </a:r>
          <a:endParaRPr lang="en-US" sz="1000">
            <a:solidFill>
              <a:schemeClr val="bg1">
                <a:lumMod val="50000"/>
              </a:schemeClr>
            </a:solidFill>
            <a:latin typeface="Abadi" panose="020B0604020104020204" pitchFamily="34" charset="0"/>
          </a:endParaRPr>
        </a:p>
      </xdr:txBody>
    </xdr:sp>
    <xdr:clientData/>
  </xdr:twoCellAnchor>
  <xdr:twoCellAnchor>
    <xdr:from>
      <xdr:col>7</xdr:col>
      <xdr:colOff>447674</xdr:colOff>
      <xdr:row>1</xdr:row>
      <xdr:rowOff>38100</xdr:rowOff>
    </xdr:from>
    <xdr:to>
      <xdr:col>7</xdr:col>
      <xdr:colOff>638175</xdr:colOff>
      <xdr:row>2</xdr:row>
      <xdr:rowOff>47624</xdr:rowOff>
    </xdr:to>
    <xdr:sp macro="" textlink="">
      <xdr:nvSpPr>
        <xdr:cNvPr id="17" name="Star: 5 Points 16">
          <a:extLst>
            <a:ext uri="{FF2B5EF4-FFF2-40B4-BE49-F238E27FC236}">
              <a16:creationId xmlns:a16="http://schemas.microsoft.com/office/drawing/2014/main" id="{FD3C0BB8-F40C-4FAD-9A36-037EC60F1DE6}"/>
            </a:ext>
          </a:extLst>
        </xdr:cNvPr>
        <xdr:cNvSpPr/>
      </xdr:nvSpPr>
      <xdr:spPr>
        <a:xfrm>
          <a:off x="5248274" y="238125"/>
          <a:ext cx="190501" cy="209549"/>
        </a:xfrm>
        <a:prstGeom prst="star5">
          <a:avLst/>
        </a:prstGeom>
        <a:solidFill>
          <a:srgbClr val="FED1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285751</xdr:colOff>
      <xdr:row>3</xdr:row>
      <xdr:rowOff>190500</xdr:rowOff>
    </xdr:from>
    <xdr:to>
      <xdr:col>8</xdr:col>
      <xdr:colOff>171450</xdr:colOff>
      <xdr:row>5</xdr:row>
      <xdr:rowOff>66675</xdr:rowOff>
    </xdr:to>
    <xdr:grpSp>
      <xdr:nvGrpSpPr>
        <xdr:cNvPr id="18" name="Group 17">
          <a:extLst>
            <a:ext uri="{FF2B5EF4-FFF2-40B4-BE49-F238E27FC236}">
              <a16:creationId xmlns:a16="http://schemas.microsoft.com/office/drawing/2014/main" id="{ADF7AC19-BF17-4769-8CE3-7F356C298DC0}"/>
            </a:ext>
          </a:extLst>
        </xdr:cNvPr>
        <xdr:cNvGrpSpPr/>
      </xdr:nvGrpSpPr>
      <xdr:grpSpPr>
        <a:xfrm>
          <a:off x="3714751" y="784860"/>
          <a:ext cx="1943099" cy="272415"/>
          <a:chOff x="3800476" y="790575"/>
          <a:chExt cx="1943099" cy="276225"/>
        </a:xfrm>
      </xdr:grpSpPr>
      <xdr:sp macro="" textlink="'Pivot Tables'!P5">
        <xdr:nvSpPr>
          <xdr:cNvPr id="19" name="TextBox 18">
            <a:extLst>
              <a:ext uri="{FF2B5EF4-FFF2-40B4-BE49-F238E27FC236}">
                <a16:creationId xmlns:a16="http://schemas.microsoft.com/office/drawing/2014/main" id="{5BC714F9-68F8-4919-7F32-B39672288237}"/>
              </a:ext>
            </a:extLst>
          </xdr:cNvPr>
          <xdr:cNvSpPr txBox="1"/>
        </xdr:nvSpPr>
        <xdr:spPr>
          <a:xfrm>
            <a:off x="4943476" y="7905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76C31A2-70D4-475A-BF73-314352B7C016}" type="TxLink">
              <a:rPr lang="en-US" sz="1100" b="0" i="0" u="none" strike="noStrike">
                <a:solidFill>
                  <a:schemeClr val="tx1">
                    <a:lumMod val="50000"/>
                    <a:lumOff val="50000"/>
                  </a:schemeClr>
                </a:solidFill>
                <a:latin typeface="Abadi" panose="020B0604020104020204" pitchFamily="34" charset="0"/>
                <a:cs typeface="Arial"/>
              </a:rPr>
              <a:pPr algn="l"/>
              <a:t>Mohmed</a:t>
            </a:fld>
            <a:endParaRPr lang="en-US" sz="1100">
              <a:solidFill>
                <a:schemeClr val="tx1">
                  <a:lumMod val="50000"/>
                  <a:lumOff val="50000"/>
                </a:schemeClr>
              </a:solidFill>
              <a:latin typeface="Abadi" panose="020B0604020104020204" pitchFamily="34" charset="0"/>
            </a:endParaRPr>
          </a:p>
        </xdr:txBody>
      </xdr:sp>
      <xdr:sp macro="" textlink="'Pivot Tables'!Q5">
        <xdr:nvSpPr>
          <xdr:cNvPr id="20" name="TextBox 19">
            <a:extLst>
              <a:ext uri="{FF2B5EF4-FFF2-40B4-BE49-F238E27FC236}">
                <a16:creationId xmlns:a16="http://schemas.microsoft.com/office/drawing/2014/main" id="{A601183D-3550-9DD3-8513-484CD4F9911A}"/>
              </a:ext>
            </a:extLst>
          </xdr:cNvPr>
          <xdr:cNvSpPr txBox="1"/>
        </xdr:nvSpPr>
        <xdr:spPr>
          <a:xfrm>
            <a:off x="3800476" y="7905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0134C7C-B0B4-4CC7-ACAC-54492F0A99DA}" type="TxLink">
              <a:rPr lang="en-US" sz="1100" b="0" i="0" u="none" strike="noStrike">
                <a:solidFill>
                  <a:schemeClr val="tx1">
                    <a:lumMod val="65000"/>
                    <a:lumOff val="35000"/>
                  </a:schemeClr>
                </a:solidFill>
                <a:latin typeface="Abadi" panose="020B0604020104020204" pitchFamily="34" charset="0"/>
                <a:cs typeface="Arial"/>
              </a:rPr>
              <a:pPr algn="l"/>
              <a:t> 1.727.000.000 </a:t>
            </a:fld>
            <a:endParaRPr lang="en-US" sz="1100">
              <a:solidFill>
                <a:schemeClr val="tx1">
                  <a:lumMod val="65000"/>
                  <a:lumOff val="35000"/>
                </a:schemeClr>
              </a:solidFill>
              <a:latin typeface="Abadi" panose="020B0604020104020204" pitchFamily="34" charset="0"/>
            </a:endParaRPr>
          </a:p>
        </xdr:txBody>
      </xdr:sp>
    </xdr:grpSp>
    <xdr:clientData/>
  </xdr:twoCellAnchor>
  <xdr:twoCellAnchor>
    <xdr:from>
      <xdr:col>5</xdr:col>
      <xdr:colOff>295276</xdr:colOff>
      <xdr:row>4</xdr:row>
      <xdr:rowOff>190500</xdr:rowOff>
    </xdr:from>
    <xdr:to>
      <xdr:col>8</xdr:col>
      <xdr:colOff>180975</xdr:colOff>
      <xdr:row>6</xdr:row>
      <xdr:rowOff>66675</xdr:rowOff>
    </xdr:to>
    <xdr:grpSp>
      <xdr:nvGrpSpPr>
        <xdr:cNvPr id="21" name="Group 20">
          <a:extLst>
            <a:ext uri="{FF2B5EF4-FFF2-40B4-BE49-F238E27FC236}">
              <a16:creationId xmlns:a16="http://schemas.microsoft.com/office/drawing/2014/main" id="{F268F65C-75CF-4E7A-95B9-65C9162D50C1}"/>
            </a:ext>
          </a:extLst>
        </xdr:cNvPr>
        <xdr:cNvGrpSpPr/>
      </xdr:nvGrpSpPr>
      <xdr:grpSpPr>
        <a:xfrm>
          <a:off x="3724276" y="982980"/>
          <a:ext cx="1943099" cy="272415"/>
          <a:chOff x="3800476" y="790575"/>
          <a:chExt cx="1943099" cy="276225"/>
        </a:xfrm>
      </xdr:grpSpPr>
      <xdr:sp macro="" textlink="'Pivot Tables'!P6">
        <xdr:nvSpPr>
          <xdr:cNvPr id="22" name="TextBox 21">
            <a:extLst>
              <a:ext uri="{FF2B5EF4-FFF2-40B4-BE49-F238E27FC236}">
                <a16:creationId xmlns:a16="http://schemas.microsoft.com/office/drawing/2014/main" id="{790336A2-525C-1B36-C815-1DF4CF5598D4}"/>
              </a:ext>
            </a:extLst>
          </xdr:cNvPr>
          <xdr:cNvSpPr txBox="1"/>
        </xdr:nvSpPr>
        <xdr:spPr>
          <a:xfrm>
            <a:off x="4943476" y="7905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3970EAE-CABA-4E84-AB97-46B40A389752}" type="TxLink">
              <a:rPr lang="en-US" sz="1100" b="0" i="0" u="none" strike="noStrike">
                <a:solidFill>
                  <a:schemeClr val="tx1">
                    <a:lumMod val="50000"/>
                    <a:lumOff val="50000"/>
                  </a:schemeClr>
                </a:solidFill>
                <a:latin typeface="Abadi" panose="020B0604020104020204" pitchFamily="34" charset="0"/>
                <a:cs typeface="Arial"/>
              </a:rPr>
              <a:pPr algn="l"/>
              <a:t>Rony</a:t>
            </a:fld>
            <a:endParaRPr lang="en-US" sz="1100">
              <a:solidFill>
                <a:schemeClr val="tx1">
                  <a:lumMod val="50000"/>
                  <a:lumOff val="50000"/>
                </a:schemeClr>
              </a:solidFill>
              <a:latin typeface="Abadi" panose="020B0604020104020204" pitchFamily="34" charset="0"/>
            </a:endParaRPr>
          </a:p>
        </xdr:txBody>
      </xdr:sp>
      <xdr:sp macro="" textlink="'Pivot Tables'!Q6">
        <xdr:nvSpPr>
          <xdr:cNvPr id="23" name="TextBox 22">
            <a:extLst>
              <a:ext uri="{FF2B5EF4-FFF2-40B4-BE49-F238E27FC236}">
                <a16:creationId xmlns:a16="http://schemas.microsoft.com/office/drawing/2014/main" id="{06506AEB-1EA7-1981-C559-12236E9C5D82}"/>
              </a:ext>
            </a:extLst>
          </xdr:cNvPr>
          <xdr:cNvSpPr txBox="1"/>
        </xdr:nvSpPr>
        <xdr:spPr>
          <a:xfrm>
            <a:off x="3800476" y="7905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3B9ACF1-57B7-4CC8-A7DF-34A84BF74B2D}" type="TxLink">
              <a:rPr lang="en-US" sz="1100" b="0" i="0" u="none" strike="noStrike">
                <a:solidFill>
                  <a:schemeClr val="tx1">
                    <a:lumMod val="65000"/>
                    <a:lumOff val="35000"/>
                  </a:schemeClr>
                </a:solidFill>
                <a:latin typeface="Abadi" panose="020B0604020104020204" pitchFamily="34" charset="0"/>
                <a:cs typeface="Arial"/>
              </a:rPr>
              <a:pPr algn="l"/>
              <a:t> 1.638.000.000 </a:t>
            </a:fld>
            <a:endParaRPr lang="en-US" sz="1100">
              <a:solidFill>
                <a:schemeClr val="tx1">
                  <a:lumMod val="65000"/>
                  <a:lumOff val="35000"/>
                </a:schemeClr>
              </a:solidFill>
              <a:latin typeface="Abadi" panose="020B0604020104020204" pitchFamily="34" charset="0"/>
            </a:endParaRPr>
          </a:p>
        </xdr:txBody>
      </xdr:sp>
    </xdr:grpSp>
    <xdr:clientData/>
  </xdr:twoCellAnchor>
  <xdr:twoCellAnchor>
    <xdr:from>
      <xdr:col>5</xdr:col>
      <xdr:colOff>285751</xdr:colOff>
      <xdr:row>5</xdr:row>
      <xdr:rowOff>180975</xdr:rowOff>
    </xdr:from>
    <xdr:to>
      <xdr:col>8</xdr:col>
      <xdr:colOff>171450</xdr:colOff>
      <xdr:row>7</xdr:row>
      <xdr:rowOff>57150</xdr:rowOff>
    </xdr:to>
    <xdr:grpSp>
      <xdr:nvGrpSpPr>
        <xdr:cNvPr id="24" name="Group 23">
          <a:extLst>
            <a:ext uri="{FF2B5EF4-FFF2-40B4-BE49-F238E27FC236}">
              <a16:creationId xmlns:a16="http://schemas.microsoft.com/office/drawing/2014/main" id="{5F42DD7A-74ED-46D6-AB13-76F82BC679B5}"/>
            </a:ext>
          </a:extLst>
        </xdr:cNvPr>
        <xdr:cNvGrpSpPr/>
      </xdr:nvGrpSpPr>
      <xdr:grpSpPr>
        <a:xfrm>
          <a:off x="3714751" y="1171575"/>
          <a:ext cx="1943099" cy="272415"/>
          <a:chOff x="3800476" y="790575"/>
          <a:chExt cx="1943099" cy="276225"/>
        </a:xfrm>
      </xdr:grpSpPr>
      <xdr:sp macro="" textlink="'Pivot Tables'!P7">
        <xdr:nvSpPr>
          <xdr:cNvPr id="25" name="TextBox 24">
            <a:extLst>
              <a:ext uri="{FF2B5EF4-FFF2-40B4-BE49-F238E27FC236}">
                <a16:creationId xmlns:a16="http://schemas.microsoft.com/office/drawing/2014/main" id="{53FD2E89-389C-FEA2-6564-9BF0A9AB1A7A}"/>
              </a:ext>
            </a:extLst>
          </xdr:cNvPr>
          <xdr:cNvSpPr txBox="1"/>
        </xdr:nvSpPr>
        <xdr:spPr>
          <a:xfrm>
            <a:off x="4943476" y="7905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06C395D-C108-46C0-B3BC-AE8CFEABA9F1}"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Hany</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sp macro="" textlink="'Pivot Tables'!Q7">
        <xdr:nvSpPr>
          <xdr:cNvPr id="26" name="TextBox 25">
            <a:extLst>
              <a:ext uri="{FF2B5EF4-FFF2-40B4-BE49-F238E27FC236}">
                <a16:creationId xmlns:a16="http://schemas.microsoft.com/office/drawing/2014/main" id="{5845BB57-4494-7BAC-B8E3-1332DBBFC2EC}"/>
              </a:ext>
            </a:extLst>
          </xdr:cNvPr>
          <xdr:cNvSpPr txBox="1"/>
        </xdr:nvSpPr>
        <xdr:spPr>
          <a:xfrm>
            <a:off x="3800476" y="7905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6088189-F4BA-4C80-98F8-96732A8BA08A}" type="TxLink">
              <a:rPr lang="en-US" sz="1100" b="0" i="0" u="none" strike="noStrike">
                <a:solidFill>
                  <a:schemeClr val="tx1">
                    <a:lumMod val="65000"/>
                    <a:lumOff val="35000"/>
                  </a:schemeClr>
                </a:solidFill>
                <a:latin typeface="Abadi" panose="020B0604020104020204" pitchFamily="34" charset="0"/>
                <a:ea typeface="+mn-ea"/>
                <a:cs typeface="Arial"/>
              </a:rPr>
              <a:pPr marL="0" indent="0" algn="l"/>
              <a:t> 1.534.000.000 </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grpSp>
    <xdr:clientData/>
  </xdr:twoCellAnchor>
  <xdr:twoCellAnchor>
    <xdr:from>
      <xdr:col>5</xdr:col>
      <xdr:colOff>285751</xdr:colOff>
      <xdr:row>6</xdr:row>
      <xdr:rowOff>180975</xdr:rowOff>
    </xdr:from>
    <xdr:to>
      <xdr:col>8</xdr:col>
      <xdr:colOff>171450</xdr:colOff>
      <xdr:row>8</xdr:row>
      <xdr:rowOff>57150</xdr:rowOff>
    </xdr:to>
    <xdr:grpSp>
      <xdr:nvGrpSpPr>
        <xdr:cNvPr id="27" name="Group 26">
          <a:extLst>
            <a:ext uri="{FF2B5EF4-FFF2-40B4-BE49-F238E27FC236}">
              <a16:creationId xmlns:a16="http://schemas.microsoft.com/office/drawing/2014/main" id="{36DD68EE-CF80-4256-ACBB-61BA7081BB8A}"/>
            </a:ext>
          </a:extLst>
        </xdr:cNvPr>
        <xdr:cNvGrpSpPr/>
      </xdr:nvGrpSpPr>
      <xdr:grpSpPr>
        <a:xfrm>
          <a:off x="3714751" y="1369695"/>
          <a:ext cx="1943099" cy="272415"/>
          <a:chOff x="3800476" y="790575"/>
          <a:chExt cx="1943099" cy="276225"/>
        </a:xfrm>
      </xdr:grpSpPr>
      <xdr:sp macro="" textlink="'Pivot Tables'!P8">
        <xdr:nvSpPr>
          <xdr:cNvPr id="28" name="TextBox 27">
            <a:extLst>
              <a:ext uri="{FF2B5EF4-FFF2-40B4-BE49-F238E27FC236}">
                <a16:creationId xmlns:a16="http://schemas.microsoft.com/office/drawing/2014/main" id="{CFBF3C56-732D-076C-B1E4-D188C4D1AC4F}"/>
              </a:ext>
            </a:extLst>
          </xdr:cNvPr>
          <xdr:cNvSpPr txBox="1"/>
        </xdr:nvSpPr>
        <xdr:spPr>
          <a:xfrm>
            <a:off x="4943476" y="7905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A01CAFA-40CB-4348-81D6-DE0D6C138A12}" type="TxLink">
              <a:rPr lang="en-US" sz="1100" b="0" i="0" u="none" strike="noStrike">
                <a:solidFill>
                  <a:schemeClr val="tx1">
                    <a:lumMod val="50000"/>
                    <a:lumOff val="50000"/>
                  </a:schemeClr>
                </a:solidFill>
                <a:latin typeface="Abadi" panose="020B0604020104020204" pitchFamily="34" charset="0"/>
                <a:cs typeface="Arial"/>
              </a:rPr>
              <a:pPr algn="l"/>
              <a:t>Dary</a:t>
            </a:fld>
            <a:endParaRPr lang="en-US" sz="1100">
              <a:solidFill>
                <a:schemeClr val="tx1">
                  <a:lumMod val="50000"/>
                  <a:lumOff val="50000"/>
                </a:schemeClr>
              </a:solidFill>
              <a:latin typeface="Abadi" panose="020B0604020104020204" pitchFamily="34" charset="0"/>
            </a:endParaRPr>
          </a:p>
        </xdr:txBody>
      </xdr:sp>
      <xdr:sp macro="" textlink="'Pivot Tables'!Q8">
        <xdr:nvSpPr>
          <xdr:cNvPr id="29" name="TextBox 28">
            <a:extLst>
              <a:ext uri="{FF2B5EF4-FFF2-40B4-BE49-F238E27FC236}">
                <a16:creationId xmlns:a16="http://schemas.microsoft.com/office/drawing/2014/main" id="{3EA9AB9F-A336-6344-4290-0AE460208B4D}"/>
              </a:ext>
            </a:extLst>
          </xdr:cNvPr>
          <xdr:cNvSpPr txBox="1"/>
        </xdr:nvSpPr>
        <xdr:spPr>
          <a:xfrm>
            <a:off x="3800476" y="7905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65046B6-EDAF-4AD4-8F6F-F5FF1E370B3A}" type="TxLink">
              <a:rPr lang="en-US" sz="1100" b="0" i="0" u="none" strike="noStrike">
                <a:solidFill>
                  <a:schemeClr val="tx1">
                    <a:lumMod val="65000"/>
                    <a:lumOff val="35000"/>
                  </a:schemeClr>
                </a:solidFill>
                <a:latin typeface="Abadi" panose="020B0604020104020204" pitchFamily="34" charset="0"/>
                <a:cs typeface="Arial"/>
              </a:rPr>
              <a:pPr algn="l"/>
              <a:t> 1.360.000.000 </a:t>
            </a:fld>
            <a:endParaRPr lang="en-US" sz="1100">
              <a:solidFill>
                <a:schemeClr val="tx1">
                  <a:lumMod val="65000"/>
                  <a:lumOff val="35000"/>
                </a:schemeClr>
              </a:solidFill>
              <a:latin typeface="Abadi" panose="020B0604020104020204" pitchFamily="34" charset="0"/>
            </a:endParaRPr>
          </a:p>
        </xdr:txBody>
      </xdr:sp>
    </xdr:grpSp>
    <xdr:clientData/>
  </xdr:twoCellAnchor>
  <xdr:twoCellAnchor>
    <xdr:from>
      <xdr:col>5</xdr:col>
      <xdr:colOff>276226</xdr:colOff>
      <xdr:row>7</xdr:row>
      <xdr:rowOff>180975</xdr:rowOff>
    </xdr:from>
    <xdr:to>
      <xdr:col>8</xdr:col>
      <xdr:colOff>161925</xdr:colOff>
      <xdr:row>9</xdr:row>
      <xdr:rowOff>57150</xdr:rowOff>
    </xdr:to>
    <xdr:grpSp>
      <xdr:nvGrpSpPr>
        <xdr:cNvPr id="30" name="Group 29">
          <a:extLst>
            <a:ext uri="{FF2B5EF4-FFF2-40B4-BE49-F238E27FC236}">
              <a16:creationId xmlns:a16="http://schemas.microsoft.com/office/drawing/2014/main" id="{55938B85-FF35-423F-BBF4-DAB51AAB1A91}"/>
            </a:ext>
          </a:extLst>
        </xdr:cNvPr>
        <xdr:cNvGrpSpPr/>
      </xdr:nvGrpSpPr>
      <xdr:grpSpPr>
        <a:xfrm>
          <a:off x="3705226" y="1567815"/>
          <a:ext cx="1943099" cy="272415"/>
          <a:chOff x="3800476" y="790575"/>
          <a:chExt cx="1943099" cy="276225"/>
        </a:xfrm>
      </xdr:grpSpPr>
      <xdr:sp macro="" textlink="'Pivot Tables'!P9">
        <xdr:nvSpPr>
          <xdr:cNvPr id="31" name="TextBox 30">
            <a:extLst>
              <a:ext uri="{FF2B5EF4-FFF2-40B4-BE49-F238E27FC236}">
                <a16:creationId xmlns:a16="http://schemas.microsoft.com/office/drawing/2014/main" id="{5730984B-FD19-89EB-26B7-9E1859E29774}"/>
              </a:ext>
            </a:extLst>
          </xdr:cNvPr>
          <xdr:cNvSpPr txBox="1"/>
        </xdr:nvSpPr>
        <xdr:spPr>
          <a:xfrm>
            <a:off x="4943476" y="7905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20B1130-8D05-459A-B2B1-33A6F87D8047}"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Kisho</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sp macro="" textlink="'Pivot Tables'!Q9">
        <xdr:nvSpPr>
          <xdr:cNvPr id="32" name="TextBox 31">
            <a:extLst>
              <a:ext uri="{FF2B5EF4-FFF2-40B4-BE49-F238E27FC236}">
                <a16:creationId xmlns:a16="http://schemas.microsoft.com/office/drawing/2014/main" id="{47D5477D-82E5-5E44-F322-F5F91F9F4295}"/>
              </a:ext>
            </a:extLst>
          </xdr:cNvPr>
          <xdr:cNvSpPr txBox="1"/>
        </xdr:nvSpPr>
        <xdr:spPr>
          <a:xfrm>
            <a:off x="3800476" y="7905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20F940B-7901-4443-8E03-508D7ADF57F1}" type="TxLink">
              <a:rPr lang="en-US" sz="1100" b="0" i="0" u="none" strike="noStrike">
                <a:solidFill>
                  <a:schemeClr val="tx1">
                    <a:lumMod val="65000"/>
                    <a:lumOff val="35000"/>
                  </a:schemeClr>
                </a:solidFill>
                <a:latin typeface="Abadi" panose="020B0604020104020204" pitchFamily="34" charset="0"/>
                <a:ea typeface="+mn-ea"/>
                <a:cs typeface="Arial"/>
              </a:rPr>
              <a:pPr marL="0" indent="0" algn="l"/>
              <a:t> 1.288.000.000 </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grpSp>
    <xdr:clientData/>
  </xdr:twoCellAnchor>
  <xdr:twoCellAnchor>
    <xdr:from>
      <xdr:col>8</xdr:col>
      <xdr:colOff>404136</xdr:colOff>
      <xdr:row>0</xdr:row>
      <xdr:rowOff>104775</xdr:rowOff>
    </xdr:from>
    <xdr:to>
      <xdr:col>15</xdr:col>
      <xdr:colOff>308887</xdr:colOff>
      <xdr:row>10</xdr:row>
      <xdr:rowOff>116925</xdr:rowOff>
    </xdr:to>
    <xdr:sp macro="" textlink="">
      <xdr:nvSpPr>
        <xdr:cNvPr id="33" name="Rectangle: Rounded Corners 32">
          <a:extLst>
            <a:ext uri="{FF2B5EF4-FFF2-40B4-BE49-F238E27FC236}">
              <a16:creationId xmlns:a16="http://schemas.microsoft.com/office/drawing/2014/main" id="{B3A3064E-0F04-4B48-A52C-605A4089D655}"/>
            </a:ext>
          </a:extLst>
        </xdr:cNvPr>
        <xdr:cNvSpPr/>
      </xdr:nvSpPr>
      <xdr:spPr>
        <a:xfrm>
          <a:off x="5890536" y="104775"/>
          <a:ext cx="4705351" cy="20124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10</xdr:col>
      <xdr:colOff>619125</xdr:colOff>
      <xdr:row>1</xdr:row>
      <xdr:rowOff>66675</xdr:rowOff>
    </xdr:from>
    <xdr:to>
      <xdr:col>13</xdr:col>
      <xdr:colOff>457200</xdr:colOff>
      <xdr:row>3</xdr:row>
      <xdr:rowOff>0</xdr:rowOff>
    </xdr:to>
    <xdr:sp macro="" textlink="">
      <xdr:nvSpPr>
        <xdr:cNvPr id="34" name="TextBox 33">
          <a:extLst>
            <a:ext uri="{FF2B5EF4-FFF2-40B4-BE49-F238E27FC236}">
              <a16:creationId xmlns:a16="http://schemas.microsoft.com/office/drawing/2014/main" id="{629E2624-A659-419A-885B-722694173628}"/>
            </a:ext>
          </a:extLst>
        </xdr:cNvPr>
        <xdr:cNvSpPr txBox="1"/>
      </xdr:nvSpPr>
      <xdr:spPr>
        <a:xfrm>
          <a:off x="7477125" y="266700"/>
          <a:ext cx="18954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badi" panose="020B0604020104020204" pitchFamily="34" charset="0"/>
            </a:rPr>
            <a:t>Total</a:t>
          </a:r>
          <a:r>
            <a:rPr lang="en-US" sz="1200" baseline="0">
              <a:latin typeface="Abadi" panose="020B0604020104020204" pitchFamily="34" charset="0"/>
            </a:rPr>
            <a:t> Earnings by Month</a:t>
          </a:r>
          <a:endParaRPr lang="en-US" sz="1200">
            <a:latin typeface="Abadi" panose="020B0604020104020204" pitchFamily="34" charset="0"/>
          </a:endParaRPr>
        </a:p>
      </xdr:txBody>
    </xdr:sp>
    <xdr:clientData/>
  </xdr:twoCellAnchor>
  <xdr:twoCellAnchor>
    <xdr:from>
      <xdr:col>8</xdr:col>
      <xdr:colOff>419100</xdr:colOff>
      <xdr:row>1</xdr:row>
      <xdr:rowOff>95250</xdr:rowOff>
    </xdr:from>
    <xdr:to>
      <xdr:col>15</xdr:col>
      <xdr:colOff>180975</xdr:colOff>
      <xdr:row>6</xdr:row>
      <xdr:rowOff>66675</xdr:rowOff>
    </xdr:to>
    <xdr:graphicFrame macro="">
      <xdr:nvGraphicFramePr>
        <xdr:cNvPr id="35" name="Chart 1">
          <a:extLst>
            <a:ext uri="{FF2B5EF4-FFF2-40B4-BE49-F238E27FC236}">
              <a16:creationId xmlns:a16="http://schemas.microsoft.com/office/drawing/2014/main" id="{8B218284-12F6-4792-9395-1B43C6E61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190500</xdr:colOff>
      <xdr:row>5</xdr:row>
      <xdr:rowOff>190500</xdr:rowOff>
    </xdr:from>
    <xdr:to>
      <xdr:col>10</xdr:col>
      <xdr:colOff>457200</xdr:colOff>
      <xdr:row>9</xdr:row>
      <xdr:rowOff>133349</xdr:rowOff>
    </xdr:to>
    <xdr:grpSp>
      <xdr:nvGrpSpPr>
        <xdr:cNvPr id="36" name="Group 35">
          <a:extLst>
            <a:ext uri="{FF2B5EF4-FFF2-40B4-BE49-F238E27FC236}">
              <a16:creationId xmlns:a16="http://schemas.microsoft.com/office/drawing/2014/main" id="{75935DAF-8557-4B5C-8D5C-C24791543479}"/>
            </a:ext>
          </a:extLst>
        </xdr:cNvPr>
        <xdr:cNvGrpSpPr/>
      </xdr:nvGrpSpPr>
      <xdr:grpSpPr>
        <a:xfrm>
          <a:off x="5676900" y="1181100"/>
          <a:ext cx="1638300" cy="735329"/>
          <a:chOff x="5743575" y="1190625"/>
          <a:chExt cx="1638300" cy="742949"/>
        </a:xfrm>
      </xdr:grpSpPr>
      <xdr:sp macro="" textlink="">
        <xdr:nvSpPr>
          <xdr:cNvPr id="37" name="TextBox 36">
            <a:extLst>
              <a:ext uri="{FF2B5EF4-FFF2-40B4-BE49-F238E27FC236}">
                <a16:creationId xmlns:a16="http://schemas.microsoft.com/office/drawing/2014/main" id="{DDA31846-02C5-FF71-F608-E028FB09CD9C}"/>
              </a:ext>
            </a:extLst>
          </xdr:cNvPr>
          <xdr:cNvSpPr txBox="1"/>
        </xdr:nvSpPr>
        <xdr:spPr>
          <a:xfrm>
            <a:off x="5743575" y="1190625"/>
            <a:ext cx="1638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solidFill>
                <a:latin typeface="Abadi" panose="020B0604020202020204" pitchFamily="34" charset="0"/>
                <a:cs typeface="Noto Kufi Arabic" panose="020B0506030804020204" pitchFamily="34" charset="0"/>
              </a:rPr>
              <a:t>Highest </a:t>
            </a:r>
          </a:p>
          <a:p>
            <a:pPr algn="ctr"/>
            <a:r>
              <a:rPr lang="en-US" sz="800" b="0">
                <a:solidFill>
                  <a:schemeClr val="bg1">
                    <a:lumMod val="50000"/>
                  </a:schemeClr>
                </a:solidFill>
                <a:latin typeface="Abadi" panose="020B0604020202020204" pitchFamily="34" charset="0"/>
                <a:cs typeface="Noto Kufi Arabic" panose="020B0506030804020204" pitchFamily="34" charset="0"/>
              </a:rPr>
              <a:t>Monthly</a:t>
            </a:r>
            <a:r>
              <a:rPr lang="en-US" sz="800" b="0" baseline="0">
                <a:solidFill>
                  <a:schemeClr val="bg1">
                    <a:lumMod val="50000"/>
                  </a:schemeClr>
                </a:solidFill>
                <a:latin typeface="Abadi" panose="020B0604020202020204" pitchFamily="34" charset="0"/>
                <a:cs typeface="Noto Kufi Arabic" panose="020B0506030804020204" pitchFamily="34" charset="0"/>
              </a:rPr>
              <a:t> Revenue</a:t>
            </a:r>
            <a:endParaRPr lang="en-US" sz="600" b="0">
              <a:solidFill>
                <a:schemeClr val="bg1">
                  <a:lumMod val="50000"/>
                </a:schemeClr>
              </a:solidFill>
              <a:latin typeface="Abadi" panose="020B0604020202020204" pitchFamily="34" charset="0"/>
              <a:cs typeface="Noto Kufi Arabic" panose="020B0506030804020204" pitchFamily="34" charset="0"/>
            </a:endParaRPr>
          </a:p>
        </xdr:txBody>
      </xdr:sp>
      <xdr:sp macro="" textlink="'Pivot Tables'!Z5">
        <xdr:nvSpPr>
          <xdr:cNvPr id="38" name="TextBox 37">
            <a:extLst>
              <a:ext uri="{FF2B5EF4-FFF2-40B4-BE49-F238E27FC236}">
                <a16:creationId xmlns:a16="http://schemas.microsoft.com/office/drawing/2014/main" id="{DEE3283C-37FB-6B87-287D-57E37510324D}"/>
              </a:ext>
            </a:extLst>
          </xdr:cNvPr>
          <xdr:cNvSpPr txBox="1"/>
        </xdr:nvSpPr>
        <xdr:spPr>
          <a:xfrm>
            <a:off x="6000750" y="1619249"/>
            <a:ext cx="13144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68347D-D900-4244-BF16-B82C3DDAB038}" type="TxLink">
              <a:rPr lang="en-US" sz="1100" b="0" i="0" u="none" strike="noStrike">
                <a:solidFill>
                  <a:schemeClr val="tx1">
                    <a:lumMod val="65000"/>
                    <a:lumOff val="35000"/>
                  </a:schemeClr>
                </a:solidFill>
                <a:latin typeface="Abadi" panose="020B0604020104020204" pitchFamily="34" charset="0"/>
                <a:cs typeface="Arial"/>
              </a:rPr>
              <a:pPr algn="ctr"/>
              <a:t> 3.809.000.000 </a:t>
            </a:fld>
            <a:endParaRPr lang="en-US" sz="800" b="0">
              <a:solidFill>
                <a:schemeClr val="tx1">
                  <a:lumMod val="65000"/>
                  <a:lumOff val="35000"/>
                </a:schemeClr>
              </a:solidFill>
              <a:latin typeface="Abadi" panose="020B0604020104020204" pitchFamily="34" charset="0"/>
              <a:cs typeface="Noto Kufi Arabic" panose="020B0506030804020204" pitchFamily="34" charset="0"/>
            </a:endParaRPr>
          </a:p>
        </xdr:txBody>
      </xdr:sp>
    </xdr:grpSp>
    <xdr:clientData/>
  </xdr:twoCellAnchor>
  <xdr:twoCellAnchor>
    <xdr:from>
      <xdr:col>10</xdr:col>
      <xdr:colOff>328613</xdr:colOff>
      <xdr:row>5</xdr:row>
      <xdr:rowOff>190500</xdr:rowOff>
    </xdr:from>
    <xdr:to>
      <xdr:col>12</xdr:col>
      <xdr:colOff>595313</xdr:colOff>
      <xdr:row>9</xdr:row>
      <xdr:rowOff>133349</xdr:rowOff>
    </xdr:to>
    <xdr:grpSp>
      <xdr:nvGrpSpPr>
        <xdr:cNvPr id="39" name="Group 38">
          <a:extLst>
            <a:ext uri="{FF2B5EF4-FFF2-40B4-BE49-F238E27FC236}">
              <a16:creationId xmlns:a16="http://schemas.microsoft.com/office/drawing/2014/main" id="{8A345FD9-313A-4868-A4CE-C448E6E989FC}"/>
            </a:ext>
          </a:extLst>
        </xdr:cNvPr>
        <xdr:cNvGrpSpPr/>
      </xdr:nvGrpSpPr>
      <xdr:grpSpPr>
        <a:xfrm>
          <a:off x="7186613" y="1181100"/>
          <a:ext cx="1638300" cy="735329"/>
          <a:chOff x="5743575" y="1190625"/>
          <a:chExt cx="1638300" cy="742949"/>
        </a:xfrm>
      </xdr:grpSpPr>
      <xdr:sp macro="" textlink="">
        <xdr:nvSpPr>
          <xdr:cNvPr id="40" name="TextBox 39">
            <a:extLst>
              <a:ext uri="{FF2B5EF4-FFF2-40B4-BE49-F238E27FC236}">
                <a16:creationId xmlns:a16="http://schemas.microsoft.com/office/drawing/2014/main" id="{A25FF313-CDDA-D22A-6CB0-D5AA298E0F43}"/>
              </a:ext>
            </a:extLst>
          </xdr:cNvPr>
          <xdr:cNvSpPr txBox="1"/>
        </xdr:nvSpPr>
        <xdr:spPr>
          <a:xfrm>
            <a:off x="5743575" y="1190625"/>
            <a:ext cx="1638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solidFill>
                <a:latin typeface="Abadi" panose="020B0604020202020204" pitchFamily="34" charset="0"/>
                <a:cs typeface="Noto Kufi Arabic" panose="020B0506030804020204" pitchFamily="34" charset="0"/>
              </a:rPr>
              <a:t>Average </a:t>
            </a:r>
          </a:p>
          <a:p>
            <a:pPr algn="ctr"/>
            <a:r>
              <a:rPr lang="en-US" sz="800" b="0">
                <a:solidFill>
                  <a:schemeClr val="bg1">
                    <a:lumMod val="50000"/>
                  </a:schemeClr>
                </a:solidFill>
                <a:latin typeface="Abadi" panose="020B0604020202020204" pitchFamily="34" charset="0"/>
                <a:cs typeface="Noto Kufi Arabic" panose="020B0506030804020204" pitchFamily="34" charset="0"/>
              </a:rPr>
              <a:t>Monthly</a:t>
            </a:r>
            <a:r>
              <a:rPr lang="en-US" sz="800" b="0" baseline="0">
                <a:solidFill>
                  <a:schemeClr val="bg1">
                    <a:lumMod val="50000"/>
                  </a:schemeClr>
                </a:solidFill>
                <a:latin typeface="Abadi" panose="020B0604020202020204" pitchFamily="34" charset="0"/>
                <a:cs typeface="Noto Kufi Arabic" panose="020B0506030804020204" pitchFamily="34" charset="0"/>
              </a:rPr>
              <a:t> Revenue</a:t>
            </a:r>
            <a:endParaRPr lang="en-US" sz="600" b="0">
              <a:solidFill>
                <a:schemeClr val="bg1">
                  <a:lumMod val="50000"/>
                </a:schemeClr>
              </a:solidFill>
              <a:latin typeface="Abadi" panose="020B0604020202020204" pitchFamily="34" charset="0"/>
              <a:cs typeface="Noto Kufi Arabic" panose="020B0506030804020204" pitchFamily="34" charset="0"/>
            </a:endParaRPr>
          </a:p>
        </xdr:txBody>
      </xdr:sp>
      <xdr:sp macro="" textlink="'Pivot Tables'!Z6">
        <xdr:nvSpPr>
          <xdr:cNvPr id="41" name="TextBox 40">
            <a:extLst>
              <a:ext uri="{FF2B5EF4-FFF2-40B4-BE49-F238E27FC236}">
                <a16:creationId xmlns:a16="http://schemas.microsoft.com/office/drawing/2014/main" id="{C8D4512A-F013-FCB2-18EF-76453FB108C1}"/>
              </a:ext>
            </a:extLst>
          </xdr:cNvPr>
          <xdr:cNvSpPr txBox="1"/>
        </xdr:nvSpPr>
        <xdr:spPr>
          <a:xfrm>
            <a:off x="6000750" y="1619249"/>
            <a:ext cx="13144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1BEA8B-CA4F-4102-BB92-AB6F2D0DEA0C}" type="TxLink">
              <a:rPr lang="en-US" sz="1100" b="0" i="0" u="none" strike="noStrike">
                <a:solidFill>
                  <a:schemeClr val="tx1">
                    <a:lumMod val="65000"/>
                    <a:lumOff val="35000"/>
                  </a:schemeClr>
                </a:solidFill>
                <a:latin typeface="Abadi" panose="020B0604020104020204" pitchFamily="34" charset="0"/>
                <a:cs typeface="Arial"/>
              </a:rPr>
              <a:pPr algn="ctr"/>
              <a:t> 1.332.500.000 </a:t>
            </a:fld>
            <a:endParaRPr lang="en-US" sz="800" b="0">
              <a:solidFill>
                <a:schemeClr val="tx1">
                  <a:lumMod val="65000"/>
                  <a:lumOff val="35000"/>
                </a:schemeClr>
              </a:solidFill>
              <a:latin typeface="Abadi" panose="020B0604020104020204" pitchFamily="34" charset="0"/>
              <a:cs typeface="Noto Kufi Arabic" panose="020B0506030804020204" pitchFamily="34" charset="0"/>
            </a:endParaRPr>
          </a:p>
        </xdr:txBody>
      </xdr:sp>
    </xdr:grpSp>
    <xdr:clientData/>
  </xdr:twoCellAnchor>
  <xdr:twoCellAnchor>
    <xdr:from>
      <xdr:col>12</xdr:col>
      <xdr:colOff>466725</xdr:colOff>
      <xdr:row>6</xdr:row>
      <xdr:rowOff>0</xdr:rowOff>
    </xdr:from>
    <xdr:to>
      <xdr:col>15</xdr:col>
      <xdr:colOff>47625</xdr:colOff>
      <xdr:row>9</xdr:row>
      <xdr:rowOff>142874</xdr:rowOff>
    </xdr:to>
    <xdr:grpSp>
      <xdr:nvGrpSpPr>
        <xdr:cNvPr id="42" name="Group 41">
          <a:extLst>
            <a:ext uri="{FF2B5EF4-FFF2-40B4-BE49-F238E27FC236}">
              <a16:creationId xmlns:a16="http://schemas.microsoft.com/office/drawing/2014/main" id="{E1E428A5-1E9D-4255-9FD6-2C05EC1EB516}"/>
            </a:ext>
          </a:extLst>
        </xdr:cNvPr>
        <xdr:cNvGrpSpPr/>
      </xdr:nvGrpSpPr>
      <xdr:grpSpPr>
        <a:xfrm>
          <a:off x="8696325" y="1188720"/>
          <a:ext cx="1638300" cy="737234"/>
          <a:chOff x="5743575" y="1190625"/>
          <a:chExt cx="1638300" cy="742949"/>
        </a:xfrm>
      </xdr:grpSpPr>
      <xdr:sp macro="" textlink="">
        <xdr:nvSpPr>
          <xdr:cNvPr id="43" name="TextBox 42">
            <a:extLst>
              <a:ext uri="{FF2B5EF4-FFF2-40B4-BE49-F238E27FC236}">
                <a16:creationId xmlns:a16="http://schemas.microsoft.com/office/drawing/2014/main" id="{13DD957E-B558-E46F-8568-CB85801E18B2}"/>
              </a:ext>
            </a:extLst>
          </xdr:cNvPr>
          <xdr:cNvSpPr txBox="1"/>
        </xdr:nvSpPr>
        <xdr:spPr>
          <a:xfrm>
            <a:off x="5743575" y="1190625"/>
            <a:ext cx="1638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solidFill>
                <a:latin typeface="Abadi" panose="020B0604020202020204" pitchFamily="34" charset="0"/>
                <a:cs typeface="Noto Kufi Arabic" panose="020B0506030804020204" pitchFamily="34" charset="0"/>
              </a:rPr>
              <a:t>Lowest </a:t>
            </a:r>
          </a:p>
          <a:p>
            <a:pPr algn="ctr"/>
            <a:r>
              <a:rPr lang="en-US" sz="800" b="0">
                <a:solidFill>
                  <a:schemeClr val="bg1">
                    <a:lumMod val="50000"/>
                  </a:schemeClr>
                </a:solidFill>
                <a:latin typeface="Abadi" panose="020B0604020202020204" pitchFamily="34" charset="0"/>
                <a:cs typeface="Noto Kufi Arabic" panose="020B0506030804020204" pitchFamily="34" charset="0"/>
              </a:rPr>
              <a:t>Monthly</a:t>
            </a:r>
            <a:r>
              <a:rPr lang="en-US" sz="800" b="0" baseline="0">
                <a:solidFill>
                  <a:schemeClr val="bg1">
                    <a:lumMod val="50000"/>
                  </a:schemeClr>
                </a:solidFill>
                <a:latin typeface="Abadi" panose="020B0604020202020204" pitchFamily="34" charset="0"/>
                <a:cs typeface="Noto Kufi Arabic" panose="020B0506030804020204" pitchFamily="34" charset="0"/>
              </a:rPr>
              <a:t> Revenue</a:t>
            </a:r>
            <a:endParaRPr lang="en-US" sz="600" b="0">
              <a:solidFill>
                <a:schemeClr val="bg1">
                  <a:lumMod val="50000"/>
                </a:schemeClr>
              </a:solidFill>
              <a:latin typeface="Abadi" panose="020B0604020202020204" pitchFamily="34" charset="0"/>
              <a:cs typeface="Noto Kufi Arabic" panose="020B0506030804020204" pitchFamily="34" charset="0"/>
            </a:endParaRPr>
          </a:p>
        </xdr:txBody>
      </xdr:sp>
      <xdr:sp macro="" textlink="'Pivot Tables'!Z7">
        <xdr:nvSpPr>
          <xdr:cNvPr id="44" name="TextBox 43">
            <a:extLst>
              <a:ext uri="{FF2B5EF4-FFF2-40B4-BE49-F238E27FC236}">
                <a16:creationId xmlns:a16="http://schemas.microsoft.com/office/drawing/2014/main" id="{CF29B24B-8112-D5BC-995E-8882FC2D3633}"/>
              </a:ext>
            </a:extLst>
          </xdr:cNvPr>
          <xdr:cNvSpPr txBox="1"/>
        </xdr:nvSpPr>
        <xdr:spPr>
          <a:xfrm>
            <a:off x="6000750" y="1619249"/>
            <a:ext cx="13144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2B1261-66D1-4DB4-8D64-9E0BBC367099}" type="TxLink">
              <a:rPr lang="en-US" sz="1100" b="0" i="0" u="none" strike="noStrike">
                <a:solidFill>
                  <a:schemeClr val="tx1">
                    <a:lumMod val="65000"/>
                    <a:lumOff val="35000"/>
                  </a:schemeClr>
                </a:solidFill>
                <a:latin typeface="Abadi" panose="020B0604020104020204" pitchFamily="34" charset="0"/>
                <a:cs typeface="Arial"/>
              </a:rPr>
              <a:pPr algn="ctr"/>
              <a:t> 116.000.000 </a:t>
            </a:fld>
            <a:endParaRPr lang="en-US" sz="800" b="0">
              <a:solidFill>
                <a:schemeClr val="tx1">
                  <a:lumMod val="65000"/>
                  <a:lumOff val="35000"/>
                </a:schemeClr>
              </a:solidFill>
              <a:latin typeface="Abadi" panose="020B0604020104020204" pitchFamily="34" charset="0"/>
              <a:cs typeface="Noto Kufi Arabic" panose="020B0506030804020204" pitchFamily="34" charset="0"/>
            </a:endParaRPr>
          </a:p>
        </xdr:txBody>
      </xdr:sp>
    </xdr:grpSp>
    <xdr:clientData/>
  </xdr:twoCellAnchor>
  <xdr:twoCellAnchor editAs="oneCell">
    <xdr:from>
      <xdr:col>8</xdr:col>
      <xdr:colOff>581025</xdr:colOff>
      <xdr:row>6</xdr:row>
      <xdr:rowOff>95250</xdr:rowOff>
    </xdr:from>
    <xdr:to>
      <xdr:col>9</xdr:col>
      <xdr:colOff>47625</xdr:colOff>
      <xdr:row>7</xdr:row>
      <xdr:rowOff>47625</xdr:rowOff>
    </xdr:to>
    <xdr:pic>
      <xdr:nvPicPr>
        <xdr:cNvPr id="45" name="Graphic 44" descr="Caret Up with solid fill">
          <a:extLst>
            <a:ext uri="{FF2B5EF4-FFF2-40B4-BE49-F238E27FC236}">
              <a16:creationId xmlns:a16="http://schemas.microsoft.com/office/drawing/2014/main" id="{CE091E6D-C5AB-49E6-AEF9-D6F77ABD8F8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067425" y="1295400"/>
          <a:ext cx="152400" cy="152400"/>
        </a:xfrm>
        <a:prstGeom prst="rect">
          <a:avLst/>
        </a:prstGeom>
      </xdr:spPr>
    </xdr:pic>
    <xdr:clientData/>
  </xdr:twoCellAnchor>
  <xdr:twoCellAnchor editAs="oneCell">
    <xdr:from>
      <xdr:col>12</xdr:col>
      <xdr:colOff>171449</xdr:colOff>
      <xdr:row>6</xdr:row>
      <xdr:rowOff>133350</xdr:rowOff>
    </xdr:from>
    <xdr:to>
      <xdr:col>12</xdr:col>
      <xdr:colOff>409574</xdr:colOff>
      <xdr:row>7</xdr:row>
      <xdr:rowOff>171450</xdr:rowOff>
    </xdr:to>
    <xdr:pic>
      <xdr:nvPicPr>
        <xdr:cNvPr id="46" name="Graphic 45" descr="Normal Distribution with solid fill">
          <a:extLst>
            <a:ext uri="{FF2B5EF4-FFF2-40B4-BE49-F238E27FC236}">
              <a16:creationId xmlns:a16="http://schemas.microsoft.com/office/drawing/2014/main" id="{44A93A00-C79A-4682-A913-3D8D00C77BD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401049" y="1333500"/>
          <a:ext cx="238125" cy="238125"/>
        </a:xfrm>
        <a:prstGeom prst="rect">
          <a:avLst/>
        </a:prstGeom>
      </xdr:spPr>
    </xdr:pic>
    <xdr:clientData/>
  </xdr:twoCellAnchor>
  <xdr:twoCellAnchor editAs="oneCell">
    <xdr:from>
      <xdr:col>13</xdr:col>
      <xdr:colOff>161925</xdr:colOff>
      <xdr:row>6</xdr:row>
      <xdr:rowOff>123825</xdr:rowOff>
    </xdr:from>
    <xdr:to>
      <xdr:col>13</xdr:col>
      <xdr:colOff>333374</xdr:colOff>
      <xdr:row>7</xdr:row>
      <xdr:rowOff>95249</xdr:rowOff>
    </xdr:to>
    <xdr:pic>
      <xdr:nvPicPr>
        <xdr:cNvPr id="47" name="Graphic 46" descr="Caret Up with solid fill">
          <a:extLst>
            <a:ext uri="{FF2B5EF4-FFF2-40B4-BE49-F238E27FC236}">
              <a16:creationId xmlns:a16="http://schemas.microsoft.com/office/drawing/2014/main" id="{89A9CBBF-E0CD-43F0-A3E4-D3339EADFDE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flipV="1">
          <a:off x="9077325" y="1323975"/>
          <a:ext cx="171449" cy="171449"/>
        </a:xfrm>
        <a:prstGeom prst="rect">
          <a:avLst/>
        </a:prstGeom>
      </xdr:spPr>
    </xdr:pic>
    <xdr:clientData/>
  </xdr:twoCellAnchor>
  <xdr:twoCellAnchor>
    <xdr:from>
      <xdr:col>15</xdr:col>
      <xdr:colOff>364674</xdr:colOff>
      <xdr:row>0</xdr:row>
      <xdr:rowOff>95250</xdr:rowOff>
    </xdr:from>
    <xdr:to>
      <xdr:col>18</xdr:col>
      <xdr:colOff>307525</xdr:colOff>
      <xdr:row>10</xdr:row>
      <xdr:rowOff>107400</xdr:rowOff>
    </xdr:to>
    <xdr:sp macro="" textlink="">
      <xdr:nvSpPr>
        <xdr:cNvPr id="48" name="Rectangle: Rounded Corners 47">
          <a:extLst>
            <a:ext uri="{FF2B5EF4-FFF2-40B4-BE49-F238E27FC236}">
              <a16:creationId xmlns:a16="http://schemas.microsoft.com/office/drawing/2014/main" id="{1A02D0D5-8EED-4BAF-B79F-DE06D42C5387}"/>
            </a:ext>
          </a:extLst>
        </xdr:cNvPr>
        <xdr:cNvSpPr/>
      </xdr:nvSpPr>
      <xdr:spPr>
        <a:xfrm>
          <a:off x="10651674" y="95250"/>
          <a:ext cx="2000251" cy="20124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16</xdr:col>
      <xdr:colOff>400050</xdr:colOff>
      <xdr:row>1</xdr:row>
      <xdr:rowOff>38100</xdr:rowOff>
    </xdr:from>
    <xdr:to>
      <xdr:col>18</xdr:col>
      <xdr:colOff>104775</xdr:colOff>
      <xdr:row>2</xdr:row>
      <xdr:rowOff>142875</xdr:rowOff>
    </xdr:to>
    <xdr:sp macro="" textlink="">
      <xdr:nvSpPr>
        <xdr:cNvPr id="49" name="TextBox 48">
          <a:extLst>
            <a:ext uri="{FF2B5EF4-FFF2-40B4-BE49-F238E27FC236}">
              <a16:creationId xmlns:a16="http://schemas.microsoft.com/office/drawing/2014/main" id="{C1943807-8FDF-4B7C-9DAA-F3CE74FD4D83}"/>
            </a:ext>
          </a:extLst>
        </xdr:cNvPr>
        <xdr:cNvSpPr txBox="1"/>
      </xdr:nvSpPr>
      <xdr:spPr>
        <a:xfrm>
          <a:off x="11372850" y="238125"/>
          <a:ext cx="107632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latin typeface="Abadi" panose="020B0604020104020204" pitchFamily="34" charset="0"/>
            </a:rPr>
            <a:t>Total Paid</a:t>
          </a:r>
        </a:p>
      </xdr:txBody>
    </xdr:sp>
    <xdr:clientData/>
  </xdr:twoCellAnchor>
  <xdr:twoCellAnchor>
    <xdr:from>
      <xdr:col>15</xdr:col>
      <xdr:colOff>235632</xdr:colOff>
      <xdr:row>0</xdr:row>
      <xdr:rowOff>123824</xdr:rowOff>
    </xdr:from>
    <xdr:to>
      <xdr:col>16</xdr:col>
      <xdr:colOff>435657</xdr:colOff>
      <xdr:row>5</xdr:row>
      <xdr:rowOff>85724</xdr:rowOff>
    </xdr:to>
    <xdr:graphicFrame macro="">
      <xdr:nvGraphicFramePr>
        <xdr:cNvPr id="50" name="Chart 49">
          <a:extLst>
            <a:ext uri="{FF2B5EF4-FFF2-40B4-BE49-F238E27FC236}">
              <a16:creationId xmlns:a16="http://schemas.microsoft.com/office/drawing/2014/main" id="{E86BB0CF-6C2F-491B-9C27-D0DF22A2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235744</xdr:colOff>
      <xdr:row>5</xdr:row>
      <xdr:rowOff>104775</xdr:rowOff>
    </xdr:from>
    <xdr:to>
      <xdr:col>16</xdr:col>
      <xdr:colOff>435544</xdr:colOff>
      <xdr:row>10</xdr:row>
      <xdr:rowOff>65850</xdr:rowOff>
    </xdr:to>
    <xdr:graphicFrame macro="">
      <xdr:nvGraphicFramePr>
        <xdr:cNvPr id="51" name="Chart 50">
          <a:extLst>
            <a:ext uri="{FF2B5EF4-FFF2-40B4-BE49-F238E27FC236}">
              <a16:creationId xmlns:a16="http://schemas.microsoft.com/office/drawing/2014/main" id="{5A629C18-32F8-43CD-8CD7-5CD68C442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419100</xdr:colOff>
      <xdr:row>5</xdr:row>
      <xdr:rowOff>104775</xdr:rowOff>
    </xdr:from>
    <xdr:to>
      <xdr:col>18</xdr:col>
      <xdr:colOff>190500</xdr:colOff>
      <xdr:row>5</xdr:row>
      <xdr:rowOff>114300</xdr:rowOff>
    </xdr:to>
    <xdr:cxnSp macro="">
      <xdr:nvCxnSpPr>
        <xdr:cNvPr id="52" name="Straight Connector 51">
          <a:extLst>
            <a:ext uri="{FF2B5EF4-FFF2-40B4-BE49-F238E27FC236}">
              <a16:creationId xmlns:a16="http://schemas.microsoft.com/office/drawing/2014/main" id="{A84609EC-C4B7-4DB4-94DB-71293956A8E0}"/>
            </a:ext>
          </a:extLst>
        </xdr:cNvPr>
        <xdr:cNvCxnSpPr/>
      </xdr:nvCxnSpPr>
      <xdr:spPr>
        <a:xfrm flipV="1">
          <a:off x="10706100" y="1104900"/>
          <a:ext cx="1828800" cy="9525"/>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400050</xdr:colOff>
      <xdr:row>2</xdr:row>
      <xdr:rowOff>180975</xdr:rowOff>
    </xdr:from>
    <xdr:to>
      <xdr:col>17</xdr:col>
      <xdr:colOff>600075</xdr:colOff>
      <xdr:row>4</xdr:row>
      <xdr:rowOff>85725</xdr:rowOff>
    </xdr:to>
    <xdr:sp macro="" textlink="'Pivot Tables'!AD11">
      <xdr:nvSpPr>
        <xdr:cNvPr id="53" name="TextBox 52">
          <a:extLst>
            <a:ext uri="{FF2B5EF4-FFF2-40B4-BE49-F238E27FC236}">
              <a16:creationId xmlns:a16="http://schemas.microsoft.com/office/drawing/2014/main" id="{EC888CF7-2E44-4D03-B1BC-00504CA22418}"/>
            </a:ext>
          </a:extLst>
        </xdr:cNvPr>
        <xdr:cNvSpPr txBox="1"/>
      </xdr:nvSpPr>
      <xdr:spPr>
        <a:xfrm>
          <a:off x="11372850" y="581025"/>
          <a:ext cx="8858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6A61AF7-3FE5-4DCD-AF15-5E6DAA08203F}" type="TxLink">
            <a:rPr lang="en-US" sz="1200" b="0" i="0" u="none" strike="noStrike">
              <a:solidFill>
                <a:srgbClr val="000000"/>
              </a:solidFill>
              <a:latin typeface="Abadi" panose="020B0604020104020204" pitchFamily="34" charset="0"/>
              <a:cs typeface="Arial"/>
            </a:rPr>
            <a:pPr algn="l"/>
            <a:t>926</a:t>
          </a:fld>
          <a:endParaRPr lang="en-US" sz="1200">
            <a:latin typeface="Abadi" panose="020B0604020104020204" pitchFamily="34" charset="0"/>
          </a:endParaRPr>
        </a:p>
      </xdr:txBody>
    </xdr:sp>
    <xdr:clientData/>
  </xdr:twoCellAnchor>
  <xdr:twoCellAnchor>
    <xdr:from>
      <xdr:col>16</xdr:col>
      <xdr:colOff>400050</xdr:colOff>
      <xdr:row>4</xdr:row>
      <xdr:rowOff>47625</xdr:rowOff>
    </xdr:from>
    <xdr:to>
      <xdr:col>18</xdr:col>
      <xdr:colOff>104775</xdr:colOff>
      <xdr:row>5</xdr:row>
      <xdr:rowOff>152400</xdr:rowOff>
    </xdr:to>
    <xdr:sp macro="" textlink="">
      <xdr:nvSpPr>
        <xdr:cNvPr id="54" name="TextBox 53">
          <a:extLst>
            <a:ext uri="{FF2B5EF4-FFF2-40B4-BE49-F238E27FC236}">
              <a16:creationId xmlns:a16="http://schemas.microsoft.com/office/drawing/2014/main" id="{FDE192F9-B97E-4217-9FE7-D68119850E8A}"/>
            </a:ext>
          </a:extLst>
        </xdr:cNvPr>
        <xdr:cNvSpPr txBox="1"/>
      </xdr:nvSpPr>
      <xdr:spPr>
        <a:xfrm>
          <a:off x="11372850" y="847725"/>
          <a:ext cx="1076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a:solidFill>
                <a:schemeClr val="bg2">
                  <a:lumMod val="50000"/>
                </a:schemeClr>
              </a:solidFill>
              <a:latin typeface="Abadi" panose="020B0604020104020204" pitchFamily="34" charset="0"/>
            </a:rPr>
            <a:t>Calls</a:t>
          </a:r>
          <a:endParaRPr lang="en-US" sz="1100">
            <a:solidFill>
              <a:schemeClr val="bg2">
                <a:lumMod val="50000"/>
              </a:schemeClr>
            </a:solidFill>
            <a:latin typeface="Abadi" panose="020B0604020104020204" pitchFamily="34" charset="0"/>
          </a:endParaRPr>
        </a:p>
      </xdr:txBody>
    </xdr:sp>
    <xdr:clientData/>
  </xdr:twoCellAnchor>
  <xdr:twoCellAnchor>
    <xdr:from>
      <xdr:col>15</xdr:col>
      <xdr:colOff>400050</xdr:colOff>
      <xdr:row>2</xdr:row>
      <xdr:rowOff>76200</xdr:rowOff>
    </xdr:from>
    <xdr:to>
      <xdr:col>16</xdr:col>
      <xdr:colOff>266699</xdr:colOff>
      <xdr:row>3</xdr:row>
      <xdr:rowOff>66675</xdr:rowOff>
    </xdr:to>
    <xdr:sp macro="" textlink="'Pivot Tables'!AE11">
      <xdr:nvSpPr>
        <xdr:cNvPr id="55" name="TextBox 54">
          <a:extLst>
            <a:ext uri="{FF2B5EF4-FFF2-40B4-BE49-F238E27FC236}">
              <a16:creationId xmlns:a16="http://schemas.microsoft.com/office/drawing/2014/main" id="{524081EE-6CC4-4E9D-9BE4-47835CCD661D}"/>
            </a:ext>
          </a:extLst>
        </xdr:cNvPr>
        <xdr:cNvSpPr txBox="1"/>
      </xdr:nvSpPr>
      <xdr:spPr>
        <a:xfrm>
          <a:off x="10687050" y="476250"/>
          <a:ext cx="55244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FCAA88-E540-496D-9DEE-21B22DC098D7}" type="TxLink">
            <a:rPr lang="en-US" sz="1100" b="0" i="0" u="none" strike="noStrike">
              <a:solidFill>
                <a:srgbClr val="000000"/>
              </a:solidFill>
              <a:latin typeface="Arial"/>
              <a:cs typeface="Arial"/>
            </a:rPr>
            <a:pPr algn="ctr"/>
            <a:t>75%</a:t>
          </a:fld>
          <a:endParaRPr lang="en-US" sz="1100">
            <a:latin typeface="Abadi" panose="020B0604020104020204" pitchFamily="34" charset="0"/>
          </a:endParaRPr>
        </a:p>
      </xdr:txBody>
    </xdr:sp>
    <xdr:clientData/>
  </xdr:twoCellAnchor>
  <xdr:twoCellAnchor>
    <xdr:from>
      <xdr:col>16</xdr:col>
      <xdr:colOff>409575</xdr:colOff>
      <xdr:row>5</xdr:row>
      <xdr:rowOff>161925</xdr:rowOff>
    </xdr:from>
    <xdr:to>
      <xdr:col>18</xdr:col>
      <xdr:colOff>114300</xdr:colOff>
      <xdr:row>7</xdr:row>
      <xdr:rowOff>66675</xdr:rowOff>
    </xdr:to>
    <xdr:sp macro="" textlink="">
      <xdr:nvSpPr>
        <xdr:cNvPr id="56" name="TextBox 55">
          <a:extLst>
            <a:ext uri="{FF2B5EF4-FFF2-40B4-BE49-F238E27FC236}">
              <a16:creationId xmlns:a16="http://schemas.microsoft.com/office/drawing/2014/main" id="{74B86FBB-CBA1-4579-A2EC-742492438B3F}"/>
            </a:ext>
          </a:extLst>
        </xdr:cNvPr>
        <xdr:cNvSpPr txBox="1"/>
      </xdr:nvSpPr>
      <xdr:spPr>
        <a:xfrm>
          <a:off x="11382375" y="1162050"/>
          <a:ext cx="107632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latin typeface="Abadi" panose="020B0604020104020204" pitchFamily="34" charset="0"/>
            </a:rPr>
            <a:t>Total Unpaid</a:t>
          </a:r>
        </a:p>
      </xdr:txBody>
    </xdr:sp>
    <xdr:clientData/>
  </xdr:twoCellAnchor>
  <xdr:twoCellAnchor>
    <xdr:from>
      <xdr:col>16</xdr:col>
      <xdr:colOff>409575</xdr:colOff>
      <xdr:row>7</xdr:row>
      <xdr:rowOff>95250</xdr:rowOff>
    </xdr:from>
    <xdr:to>
      <xdr:col>18</xdr:col>
      <xdr:colOff>114300</xdr:colOff>
      <xdr:row>9</xdr:row>
      <xdr:rowOff>0</xdr:rowOff>
    </xdr:to>
    <xdr:sp macro="" textlink="'Pivot Tables'!AD10">
      <xdr:nvSpPr>
        <xdr:cNvPr id="57" name="TextBox 56">
          <a:extLst>
            <a:ext uri="{FF2B5EF4-FFF2-40B4-BE49-F238E27FC236}">
              <a16:creationId xmlns:a16="http://schemas.microsoft.com/office/drawing/2014/main" id="{097EFDA3-9566-40A1-B073-4524DA284F70}"/>
            </a:ext>
          </a:extLst>
        </xdr:cNvPr>
        <xdr:cNvSpPr txBox="1"/>
      </xdr:nvSpPr>
      <xdr:spPr>
        <a:xfrm>
          <a:off x="11382375" y="1495425"/>
          <a:ext cx="1076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FF40272-C42C-433D-A473-1425E2ADA097}" type="TxLink">
            <a:rPr lang="en-US" sz="1200" b="0" i="0" u="none" strike="noStrike">
              <a:solidFill>
                <a:srgbClr val="000000"/>
              </a:solidFill>
              <a:latin typeface="Abadi" panose="020B0604020104020204" pitchFamily="34" charset="0"/>
              <a:cs typeface="Arial"/>
            </a:rPr>
            <a:pPr algn="l"/>
            <a:t>311</a:t>
          </a:fld>
          <a:endParaRPr lang="en-US" sz="1200">
            <a:latin typeface="Abadi" panose="020B0604020104020204" pitchFamily="34" charset="0"/>
          </a:endParaRPr>
        </a:p>
      </xdr:txBody>
    </xdr:sp>
    <xdr:clientData/>
  </xdr:twoCellAnchor>
  <xdr:twoCellAnchor>
    <xdr:from>
      <xdr:col>16</xdr:col>
      <xdr:colOff>409575</xdr:colOff>
      <xdr:row>8</xdr:row>
      <xdr:rowOff>171450</xdr:rowOff>
    </xdr:from>
    <xdr:to>
      <xdr:col>18</xdr:col>
      <xdr:colOff>114300</xdr:colOff>
      <xdr:row>10</xdr:row>
      <xdr:rowOff>76200</xdr:rowOff>
    </xdr:to>
    <xdr:sp macro="" textlink="">
      <xdr:nvSpPr>
        <xdr:cNvPr id="58" name="TextBox 57">
          <a:extLst>
            <a:ext uri="{FF2B5EF4-FFF2-40B4-BE49-F238E27FC236}">
              <a16:creationId xmlns:a16="http://schemas.microsoft.com/office/drawing/2014/main" id="{C76B35BE-5650-46ED-85A9-0B0E9841EE48}"/>
            </a:ext>
          </a:extLst>
        </xdr:cNvPr>
        <xdr:cNvSpPr txBox="1"/>
      </xdr:nvSpPr>
      <xdr:spPr>
        <a:xfrm>
          <a:off x="11382375" y="1771650"/>
          <a:ext cx="1076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a:solidFill>
                <a:schemeClr val="bg2">
                  <a:lumMod val="50000"/>
                </a:schemeClr>
              </a:solidFill>
              <a:latin typeface="Abadi" panose="020B0604020104020204" pitchFamily="34" charset="0"/>
            </a:rPr>
            <a:t>Calls</a:t>
          </a:r>
          <a:endParaRPr lang="en-US" sz="1100">
            <a:solidFill>
              <a:schemeClr val="bg2">
                <a:lumMod val="50000"/>
              </a:schemeClr>
            </a:solidFill>
            <a:latin typeface="Abadi" panose="020B0604020104020204" pitchFamily="34" charset="0"/>
          </a:endParaRPr>
        </a:p>
      </xdr:txBody>
    </xdr:sp>
    <xdr:clientData/>
  </xdr:twoCellAnchor>
  <xdr:twoCellAnchor>
    <xdr:from>
      <xdr:col>15</xdr:col>
      <xdr:colOff>400050</xdr:colOff>
      <xdr:row>7</xdr:row>
      <xdr:rowOff>38100</xdr:rowOff>
    </xdr:from>
    <xdr:to>
      <xdr:col>16</xdr:col>
      <xdr:colOff>266699</xdr:colOff>
      <xdr:row>8</xdr:row>
      <xdr:rowOff>28575</xdr:rowOff>
    </xdr:to>
    <xdr:sp macro="" textlink="'Pivot Tables'!AE10">
      <xdr:nvSpPr>
        <xdr:cNvPr id="59" name="TextBox 58">
          <a:extLst>
            <a:ext uri="{FF2B5EF4-FFF2-40B4-BE49-F238E27FC236}">
              <a16:creationId xmlns:a16="http://schemas.microsoft.com/office/drawing/2014/main" id="{45F0AB1E-B671-4564-B3EC-BA7C0B88E4AB}"/>
            </a:ext>
          </a:extLst>
        </xdr:cNvPr>
        <xdr:cNvSpPr txBox="1"/>
      </xdr:nvSpPr>
      <xdr:spPr>
        <a:xfrm>
          <a:off x="10687050" y="1438275"/>
          <a:ext cx="55244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D10C4D-1F04-4055-8822-E24867A0B9E5}" type="TxLink">
            <a:rPr lang="en-US" sz="1100" b="0" i="0" u="none" strike="noStrike">
              <a:solidFill>
                <a:srgbClr val="000000"/>
              </a:solidFill>
              <a:latin typeface="Arial"/>
              <a:cs typeface="Arial"/>
            </a:rPr>
            <a:pPr algn="ctr"/>
            <a:t>25%</a:t>
          </a:fld>
          <a:endParaRPr lang="en-US" sz="1100">
            <a:latin typeface="Abadi" panose="020B0604020104020204" pitchFamily="34" charset="0"/>
          </a:endParaRPr>
        </a:p>
      </xdr:txBody>
    </xdr:sp>
    <xdr:clientData/>
  </xdr:twoCellAnchor>
  <xdr:twoCellAnchor>
    <xdr:from>
      <xdr:col>21</xdr:col>
      <xdr:colOff>66675</xdr:colOff>
      <xdr:row>2</xdr:row>
      <xdr:rowOff>152400</xdr:rowOff>
    </xdr:from>
    <xdr:to>
      <xdr:col>23</xdr:col>
      <xdr:colOff>19050</xdr:colOff>
      <xdr:row>2</xdr:row>
      <xdr:rowOff>161925</xdr:rowOff>
    </xdr:to>
    <xdr:cxnSp macro="">
      <xdr:nvCxnSpPr>
        <xdr:cNvPr id="60" name="Straight Connector 59">
          <a:extLst>
            <a:ext uri="{FF2B5EF4-FFF2-40B4-BE49-F238E27FC236}">
              <a16:creationId xmlns:a16="http://schemas.microsoft.com/office/drawing/2014/main" id="{2CF28EE0-CD4E-4698-8FFC-BD87270051F5}"/>
            </a:ext>
          </a:extLst>
        </xdr:cNvPr>
        <xdr:cNvCxnSpPr/>
      </xdr:nvCxnSpPr>
      <xdr:spPr>
        <a:xfrm flipV="1">
          <a:off x="14468475" y="552450"/>
          <a:ext cx="1323975" cy="952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21</xdr:col>
      <xdr:colOff>47624</xdr:colOff>
      <xdr:row>0</xdr:row>
      <xdr:rowOff>95250</xdr:rowOff>
    </xdr:from>
    <xdr:to>
      <xdr:col>23</xdr:col>
      <xdr:colOff>676275</xdr:colOff>
      <xdr:row>10</xdr:row>
      <xdr:rowOff>107400</xdr:rowOff>
    </xdr:to>
    <xdr:sp macro="" textlink="">
      <xdr:nvSpPr>
        <xdr:cNvPr id="61" name="Rectangle: Rounded Corners 60">
          <a:extLst>
            <a:ext uri="{FF2B5EF4-FFF2-40B4-BE49-F238E27FC236}">
              <a16:creationId xmlns:a16="http://schemas.microsoft.com/office/drawing/2014/main" id="{CFF53957-C8CD-4BB5-A2A0-CBDF62B57EC2}"/>
            </a:ext>
          </a:extLst>
        </xdr:cNvPr>
        <xdr:cNvSpPr/>
      </xdr:nvSpPr>
      <xdr:spPr>
        <a:xfrm>
          <a:off x="14449424" y="95250"/>
          <a:ext cx="2000251" cy="20124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21</xdr:col>
      <xdr:colOff>19049</xdr:colOff>
      <xdr:row>4</xdr:row>
      <xdr:rowOff>114299</xdr:rowOff>
    </xdr:from>
    <xdr:to>
      <xdr:col>23</xdr:col>
      <xdr:colOff>409574</xdr:colOff>
      <xdr:row>10</xdr:row>
      <xdr:rowOff>9525</xdr:rowOff>
    </xdr:to>
    <xdr:graphicFrame macro="">
      <xdr:nvGraphicFramePr>
        <xdr:cNvPr id="62" name="Chart 61">
          <a:extLst>
            <a:ext uri="{FF2B5EF4-FFF2-40B4-BE49-F238E27FC236}">
              <a16:creationId xmlns:a16="http://schemas.microsoft.com/office/drawing/2014/main" id="{F8AD3557-B5D5-4262-A25D-48C8BF476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57149</xdr:colOff>
      <xdr:row>1</xdr:row>
      <xdr:rowOff>19050</xdr:rowOff>
    </xdr:from>
    <xdr:to>
      <xdr:col>23</xdr:col>
      <xdr:colOff>180974</xdr:colOff>
      <xdr:row>2</xdr:row>
      <xdr:rowOff>123825</xdr:rowOff>
    </xdr:to>
    <xdr:sp macro="" textlink="">
      <xdr:nvSpPr>
        <xdr:cNvPr id="63" name="TextBox 62">
          <a:extLst>
            <a:ext uri="{FF2B5EF4-FFF2-40B4-BE49-F238E27FC236}">
              <a16:creationId xmlns:a16="http://schemas.microsoft.com/office/drawing/2014/main" id="{AC99AF7E-5AD6-4DA2-97FD-96869605611A}"/>
            </a:ext>
          </a:extLst>
        </xdr:cNvPr>
        <xdr:cNvSpPr txBox="1"/>
      </xdr:nvSpPr>
      <xdr:spPr>
        <a:xfrm>
          <a:off x="14458949" y="219075"/>
          <a:ext cx="14954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1" i="0" u="none" strike="noStrike">
              <a:solidFill>
                <a:srgbClr val="000000"/>
              </a:solidFill>
              <a:latin typeface="Abadi" panose="020B0604020104020204" pitchFamily="34" charset="0"/>
              <a:ea typeface="+mn-ea"/>
              <a:cs typeface="Arial"/>
            </a:rPr>
            <a:t>Enrolled Courses</a:t>
          </a:r>
        </a:p>
      </xdr:txBody>
    </xdr:sp>
    <xdr:clientData/>
  </xdr:twoCellAnchor>
  <xdr:twoCellAnchor>
    <xdr:from>
      <xdr:col>21</xdr:col>
      <xdr:colOff>57149</xdr:colOff>
      <xdr:row>2</xdr:row>
      <xdr:rowOff>28575</xdr:rowOff>
    </xdr:from>
    <xdr:to>
      <xdr:col>22</xdr:col>
      <xdr:colOff>561974</xdr:colOff>
      <xdr:row>3</xdr:row>
      <xdr:rowOff>133350</xdr:rowOff>
    </xdr:to>
    <xdr:sp macro="" textlink="'Pivot Tables'!AH24">
      <xdr:nvSpPr>
        <xdr:cNvPr id="64" name="TextBox 63">
          <a:extLst>
            <a:ext uri="{FF2B5EF4-FFF2-40B4-BE49-F238E27FC236}">
              <a16:creationId xmlns:a16="http://schemas.microsoft.com/office/drawing/2014/main" id="{944017A0-C824-495B-A45F-0F7500C252B6}"/>
            </a:ext>
          </a:extLst>
        </xdr:cNvPr>
        <xdr:cNvSpPr txBox="1"/>
      </xdr:nvSpPr>
      <xdr:spPr>
        <a:xfrm>
          <a:off x="14458949" y="428625"/>
          <a:ext cx="1190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95C65C2-7048-4027-938E-03847982EC61}" type="TxLink">
            <a:rPr lang="en-US" sz="1600" b="0" i="0" u="none" strike="noStrike">
              <a:solidFill>
                <a:srgbClr val="00B050"/>
              </a:solidFill>
              <a:latin typeface="Abadi" panose="020B0604020104020204" pitchFamily="34" charset="0"/>
              <a:ea typeface="+mn-ea"/>
              <a:cs typeface="Arial"/>
            </a:rPr>
            <a:pPr marL="0" indent="0" algn="l"/>
            <a:t>2643</a:t>
          </a:fld>
          <a:r>
            <a:rPr lang="en-US" sz="1600" b="0" i="0" u="none" strike="noStrike">
              <a:solidFill>
                <a:srgbClr val="00B050"/>
              </a:solidFill>
              <a:latin typeface="Abadi" panose="020B0604020104020204" pitchFamily="34" charset="0"/>
              <a:ea typeface="+mn-ea"/>
              <a:cs typeface="Arial"/>
            </a:rPr>
            <a:t> </a:t>
          </a:r>
          <a:r>
            <a:rPr lang="en-US" sz="900" b="0" i="0" u="none" strike="noStrike">
              <a:solidFill>
                <a:schemeClr val="tx1">
                  <a:lumMod val="65000"/>
                  <a:lumOff val="35000"/>
                </a:schemeClr>
              </a:solidFill>
              <a:latin typeface="Abadi" panose="020B0604020104020204" pitchFamily="34" charset="0"/>
              <a:ea typeface="+mn-ea"/>
              <a:cs typeface="Arial"/>
            </a:rPr>
            <a:t>courses</a:t>
          </a:r>
          <a:endParaRPr lang="en-US" sz="16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xdr:from>
      <xdr:col>21</xdr:col>
      <xdr:colOff>28575</xdr:colOff>
      <xdr:row>3</xdr:row>
      <xdr:rowOff>142875</xdr:rowOff>
    </xdr:from>
    <xdr:to>
      <xdr:col>22</xdr:col>
      <xdr:colOff>133350</xdr:colOff>
      <xdr:row>5</xdr:row>
      <xdr:rowOff>47625</xdr:rowOff>
    </xdr:to>
    <xdr:sp macro="" textlink="'Pivot Tables'!AH24">
      <xdr:nvSpPr>
        <xdr:cNvPr id="65" name="TextBox 64">
          <a:extLst>
            <a:ext uri="{FF2B5EF4-FFF2-40B4-BE49-F238E27FC236}">
              <a16:creationId xmlns:a16="http://schemas.microsoft.com/office/drawing/2014/main" id="{4ABAE70D-FC48-4201-93E3-03F856BA0C8C}"/>
            </a:ext>
          </a:extLst>
        </xdr:cNvPr>
        <xdr:cNvSpPr txBox="1"/>
      </xdr:nvSpPr>
      <xdr:spPr>
        <a:xfrm>
          <a:off x="14430375" y="742950"/>
          <a:ext cx="7905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rgbClr val="000000"/>
              </a:solidFill>
              <a:latin typeface="Abadi" panose="020B0604020104020204" pitchFamily="34" charset="0"/>
              <a:ea typeface="+mn-ea"/>
              <a:cs typeface="Arial"/>
            </a:rPr>
            <a:t>Average</a:t>
          </a:r>
        </a:p>
      </xdr:txBody>
    </xdr:sp>
    <xdr:clientData/>
  </xdr:twoCellAnchor>
  <xdr:twoCellAnchor>
    <xdr:from>
      <xdr:col>21</xdr:col>
      <xdr:colOff>76200</xdr:colOff>
      <xdr:row>4</xdr:row>
      <xdr:rowOff>142875</xdr:rowOff>
    </xdr:from>
    <xdr:to>
      <xdr:col>22</xdr:col>
      <xdr:colOff>152400</xdr:colOff>
      <xdr:row>6</xdr:row>
      <xdr:rowOff>47625</xdr:rowOff>
    </xdr:to>
    <xdr:sp macro="" textlink="'Pivot Tables'!AH21">
      <xdr:nvSpPr>
        <xdr:cNvPr id="66" name="TextBox 65">
          <a:extLst>
            <a:ext uri="{FF2B5EF4-FFF2-40B4-BE49-F238E27FC236}">
              <a16:creationId xmlns:a16="http://schemas.microsoft.com/office/drawing/2014/main" id="{1F6C61B0-0818-4C50-949D-0BB5FF582FB3}"/>
            </a:ext>
          </a:extLst>
        </xdr:cNvPr>
        <xdr:cNvSpPr txBox="1"/>
      </xdr:nvSpPr>
      <xdr:spPr>
        <a:xfrm>
          <a:off x="14478000" y="942975"/>
          <a:ext cx="762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93BCA33-3BA7-44CF-B916-A33E2776030C}" type="TxLink">
            <a:rPr lang="en-US" sz="1600" b="0" i="0" u="none" strike="noStrike">
              <a:solidFill>
                <a:srgbClr val="FFC000"/>
              </a:solidFill>
              <a:latin typeface="Abadi" panose="020B0604020104020204" pitchFamily="34" charset="0"/>
              <a:ea typeface="+mn-ea"/>
              <a:cs typeface="Arial"/>
            </a:rPr>
            <a:pPr marL="0" indent="0" algn="l"/>
            <a:t>2,14</a:t>
          </a:fld>
          <a:endParaRPr lang="en-US" sz="1600" b="0" i="0" u="none" strike="noStrike">
            <a:solidFill>
              <a:srgbClr val="FFC000"/>
            </a:solidFill>
            <a:latin typeface="Abadi" panose="020B0604020104020204" pitchFamily="34" charset="0"/>
            <a:ea typeface="+mn-ea"/>
            <a:cs typeface="Arial"/>
          </a:endParaRPr>
        </a:p>
      </xdr:txBody>
    </xdr:sp>
    <xdr:clientData/>
  </xdr:twoCellAnchor>
  <xdr:twoCellAnchor>
    <xdr:from>
      <xdr:col>22</xdr:col>
      <xdr:colOff>450300</xdr:colOff>
      <xdr:row>11</xdr:row>
      <xdr:rowOff>9525</xdr:rowOff>
    </xdr:from>
    <xdr:to>
      <xdr:col>26</xdr:col>
      <xdr:colOff>266700</xdr:colOff>
      <xdr:row>22</xdr:row>
      <xdr:rowOff>95250</xdr:rowOff>
    </xdr:to>
    <xdr:sp macro="" textlink="">
      <xdr:nvSpPr>
        <xdr:cNvPr id="67" name="Rectangle: Rounded Corners 66">
          <a:extLst>
            <a:ext uri="{FF2B5EF4-FFF2-40B4-BE49-F238E27FC236}">
              <a16:creationId xmlns:a16="http://schemas.microsoft.com/office/drawing/2014/main" id="{41628DBD-C9A0-49B9-B6EF-577FEA025E51}"/>
            </a:ext>
          </a:extLst>
        </xdr:cNvPr>
        <xdr:cNvSpPr/>
      </xdr:nvSpPr>
      <xdr:spPr>
        <a:xfrm>
          <a:off x="15537900" y="2209800"/>
          <a:ext cx="2559600" cy="22860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23</xdr:col>
      <xdr:colOff>257174</xdr:colOff>
      <xdr:row>12</xdr:row>
      <xdr:rowOff>19050</xdr:rowOff>
    </xdr:from>
    <xdr:to>
      <xdr:col>25</xdr:col>
      <xdr:colOff>380999</xdr:colOff>
      <xdr:row>13</xdr:row>
      <xdr:rowOff>123825</xdr:rowOff>
    </xdr:to>
    <xdr:sp macro="" textlink="">
      <xdr:nvSpPr>
        <xdr:cNvPr id="68" name="TextBox 67">
          <a:extLst>
            <a:ext uri="{FF2B5EF4-FFF2-40B4-BE49-F238E27FC236}">
              <a16:creationId xmlns:a16="http://schemas.microsoft.com/office/drawing/2014/main" id="{6760B87F-DA75-442D-93E2-593EFA185EF3}"/>
            </a:ext>
          </a:extLst>
        </xdr:cNvPr>
        <xdr:cNvSpPr txBox="1"/>
      </xdr:nvSpPr>
      <xdr:spPr>
        <a:xfrm>
          <a:off x="16030574" y="2419350"/>
          <a:ext cx="14954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a:solidFill>
                <a:srgbClr val="000000"/>
              </a:solidFill>
              <a:latin typeface="Abadi" panose="020B0604020104020204" pitchFamily="34" charset="0"/>
              <a:ea typeface="+mn-ea"/>
              <a:cs typeface="Arial"/>
            </a:rPr>
            <a:t>Area</a:t>
          </a:r>
          <a:r>
            <a:rPr lang="en-US" sz="1200" b="1" i="0" u="none" strike="noStrike" baseline="0">
              <a:solidFill>
                <a:srgbClr val="000000"/>
              </a:solidFill>
              <a:latin typeface="Abadi" panose="020B0604020104020204" pitchFamily="34" charset="0"/>
              <a:ea typeface="+mn-ea"/>
              <a:cs typeface="Arial"/>
            </a:rPr>
            <a:t> Code</a:t>
          </a:r>
          <a:endParaRPr lang="en-US" sz="1200" b="1" i="0" u="none" strike="noStrike">
            <a:solidFill>
              <a:srgbClr val="000000"/>
            </a:solidFill>
            <a:latin typeface="Abadi" panose="020B0604020104020204" pitchFamily="34" charset="0"/>
            <a:ea typeface="+mn-ea"/>
            <a:cs typeface="Arial"/>
          </a:endParaRPr>
        </a:p>
      </xdr:txBody>
    </xdr:sp>
    <xdr:clientData/>
  </xdr:twoCellAnchor>
  <xdr:twoCellAnchor>
    <xdr:from>
      <xdr:col>22</xdr:col>
      <xdr:colOff>647700</xdr:colOff>
      <xdr:row>13</xdr:row>
      <xdr:rowOff>28575</xdr:rowOff>
    </xdr:from>
    <xdr:to>
      <xdr:col>25</xdr:col>
      <xdr:colOff>571500</xdr:colOff>
      <xdr:row>21</xdr:row>
      <xdr:rowOff>161925</xdr:rowOff>
    </xdr:to>
    <xdr:graphicFrame macro="">
      <xdr:nvGraphicFramePr>
        <xdr:cNvPr id="69" name="Chart 68">
          <a:extLst>
            <a:ext uri="{FF2B5EF4-FFF2-40B4-BE49-F238E27FC236}">
              <a16:creationId xmlns:a16="http://schemas.microsoft.com/office/drawing/2014/main" id="{25335AC8-D5F7-4F0A-B4E9-72CC6A63A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450300</xdr:colOff>
      <xdr:row>23</xdr:row>
      <xdr:rowOff>9525</xdr:rowOff>
    </xdr:from>
    <xdr:to>
      <xdr:col>26</xdr:col>
      <xdr:colOff>266700</xdr:colOff>
      <xdr:row>35</xdr:row>
      <xdr:rowOff>85725</xdr:rowOff>
    </xdr:to>
    <xdr:sp macro="" textlink="">
      <xdr:nvSpPr>
        <xdr:cNvPr id="70" name="Rectangle: Rounded Corners 69">
          <a:extLst>
            <a:ext uri="{FF2B5EF4-FFF2-40B4-BE49-F238E27FC236}">
              <a16:creationId xmlns:a16="http://schemas.microsoft.com/office/drawing/2014/main" id="{0D441D33-16C3-4A29-82DC-EB00B5981A2B}"/>
            </a:ext>
          </a:extLst>
        </xdr:cNvPr>
        <xdr:cNvSpPr/>
      </xdr:nvSpPr>
      <xdr:spPr>
        <a:xfrm>
          <a:off x="15537900" y="4610100"/>
          <a:ext cx="2559600" cy="24765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22</xdr:col>
      <xdr:colOff>485775</xdr:colOff>
      <xdr:row>23</xdr:row>
      <xdr:rowOff>76200</xdr:rowOff>
    </xdr:from>
    <xdr:to>
      <xdr:col>26</xdr:col>
      <xdr:colOff>228600</xdr:colOff>
      <xdr:row>33</xdr:row>
      <xdr:rowOff>180975</xdr:rowOff>
    </xdr:to>
    <xdr:graphicFrame macro="">
      <xdr:nvGraphicFramePr>
        <xdr:cNvPr id="71" name="Chart 70">
          <a:extLst>
            <a:ext uri="{FF2B5EF4-FFF2-40B4-BE49-F238E27FC236}">
              <a16:creationId xmlns:a16="http://schemas.microsoft.com/office/drawing/2014/main" id="{CEE06332-CEAE-4FAC-B9DD-D91C93929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619125</xdr:colOff>
      <xdr:row>25</xdr:row>
      <xdr:rowOff>152400</xdr:rowOff>
    </xdr:from>
    <xdr:to>
      <xdr:col>25</xdr:col>
      <xdr:colOff>123825</xdr:colOff>
      <xdr:row>30</xdr:row>
      <xdr:rowOff>19051</xdr:rowOff>
    </xdr:to>
    <xdr:sp macro="" textlink="">
      <xdr:nvSpPr>
        <xdr:cNvPr id="72" name="Flowchart: Connector 71">
          <a:extLst>
            <a:ext uri="{FF2B5EF4-FFF2-40B4-BE49-F238E27FC236}">
              <a16:creationId xmlns:a16="http://schemas.microsoft.com/office/drawing/2014/main" id="{3436E1E1-323F-45F3-B66A-5E534457AC71}"/>
            </a:ext>
          </a:extLst>
        </xdr:cNvPr>
        <xdr:cNvSpPr/>
      </xdr:nvSpPr>
      <xdr:spPr>
        <a:xfrm>
          <a:off x="16392525" y="5153025"/>
          <a:ext cx="876300" cy="866776"/>
        </a:xfrm>
        <a:prstGeom prst="flowChartConnector">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638175</xdr:colOff>
      <xdr:row>26</xdr:row>
      <xdr:rowOff>200024</xdr:rowOff>
    </xdr:from>
    <xdr:to>
      <xdr:col>25</xdr:col>
      <xdr:colOff>47625</xdr:colOff>
      <xdr:row>29</xdr:row>
      <xdr:rowOff>123825</xdr:rowOff>
    </xdr:to>
    <xdr:sp macro="" textlink="">
      <xdr:nvSpPr>
        <xdr:cNvPr id="73" name="TextBox 72">
          <a:extLst>
            <a:ext uri="{FF2B5EF4-FFF2-40B4-BE49-F238E27FC236}">
              <a16:creationId xmlns:a16="http://schemas.microsoft.com/office/drawing/2014/main" id="{C1980F12-53C2-4115-AFA4-51D31D533614}"/>
            </a:ext>
          </a:extLst>
        </xdr:cNvPr>
        <xdr:cNvSpPr txBox="1"/>
      </xdr:nvSpPr>
      <xdr:spPr>
        <a:xfrm>
          <a:off x="16411575" y="5400674"/>
          <a:ext cx="781050" cy="52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u="none" strike="noStrike">
              <a:solidFill>
                <a:srgbClr val="000000"/>
              </a:solidFill>
              <a:latin typeface="Abadi" panose="020B0604020104020204" pitchFamily="34" charset="0"/>
              <a:ea typeface="+mn-ea"/>
              <a:cs typeface="Arial"/>
            </a:rPr>
            <a:t>Training Models</a:t>
          </a:r>
        </a:p>
      </xdr:txBody>
    </xdr:sp>
    <xdr:clientData/>
  </xdr:twoCellAnchor>
  <xdr:twoCellAnchor>
    <xdr:from>
      <xdr:col>18</xdr:col>
      <xdr:colOff>421725</xdr:colOff>
      <xdr:row>11</xdr:row>
      <xdr:rowOff>47624</xdr:rowOff>
    </xdr:from>
    <xdr:to>
      <xdr:col>22</xdr:col>
      <xdr:colOff>428625</xdr:colOff>
      <xdr:row>35</xdr:row>
      <xdr:rowOff>133350</xdr:rowOff>
    </xdr:to>
    <xdr:sp macro="" textlink="">
      <xdr:nvSpPr>
        <xdr:cNvPr id="74" name="Rectangle: Rounded Corners 73">
          <a:extLst>
            <a:ext uri="{FF2B5EF4-FFF2-40B4-BE49-F238E27FC236}">
              <a16:creationId xmlns:a16="http://schemas.microsoft.com/office/drawing/2014/main" id="{F0CF82AE-091A-47E6-B212-7AA558041A36}"/>
            </a:ext>
          </a:extLst>
        </xdr:cNvPr>
        <xdr:cNvSpPr/>
      </xdr:nvSpPr>
      <xdr:spPr>
        <a:xfrm>
          <a:off x="12766125" y="2247899"/>
          <a:ext cx="2750100" cy="4886326"/>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18</xdr:col>
      <xdr:colOff>461962</xdr:colOff>
      <xdr:row>12</xdr:row>
      <xdr:rowOff>123825</xdr:rowOff>
    </xdr:from>
    <xdr:to>
      <xdr:col>22</xdr:col>
      <xdr:colOff>214312</xdr:colOff>
      <xdr:row>14</xdr:row>
      <xdr:rowOff>28575</xdr:rowOff>
    </xdr:to>
    <xdr:sp macro="" textlink="">
      <xdr:nvSpPr>
        <xdr:cNvPr id="75" name="TextBox 74">
          <a:extLst>
            <a:ext uri="{FF2B5EF4-FFF2-40B4-BE49-F238E27FC236}">
              <a16:creationId xmlns:a16="http://schemas.microsoft.com/office/drawing/2014/main" id="{A3A7C4F3-FBD4-4681-8377-A05798A3046F}"/>
            </a:ext>
          </a:extLst>
        </xdr:cNvPr>
        <xdr:cNvSpPr txBox="1"/>
      </xdr:nvSpPr>
      <xdr:spPr>
        <a:xfrm>
          <a:off x="12806362" y="2524125"/>
          <a:ext cx="2495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a:solidFill>
                <a:srgbClr val="000000"/>
              </a:solidFill>
              <a:latin typeface="Abadi" panose="020B0604020104020204" pitchFamily="34" charset="0"/>
              <a:ea typeface="+mn-ea"/>
              <a:cs typeface="Arial"/>
            </a:rPr>
            <a:t>Training</a:t>
          </a:r>
          <a:r>
            <a:rPr lang="en-US" sz="1200" b="1" i="0" u="none" strike="noStrike" baseline="0">
              <a:solidFill>
                <a:srgbClr val="000000"/>
              </a:solidFill>
              <a:latin typeface="Abadi" panose="020B0604020104020204" pitchFamily="34" charset="0"/>
              <a:ea typeface="+mn-ea"/>
              <a:cs typeface="Arial"/>
            </a:rPr>
            <a:t> Level's Fees</a:t>
          </a:r>
          <a:r>
            <a:rPr lang="en-US" sz="1200" b="0" i="0" u="none" strike="noStrike" baseline="0">
              <a:solidFill>
                <a:srgbClr val="000000"/>
              </a:solidFill>
              <a:latin typeface="Abadi" panose="020B0604020104020204" pitchFamily="34" charset="0"/>
              <a:ea typeface="+mn-ea"/>
              <a:cs typeface="Arial"/>
            </a:rPr>
            <a:t> by Sales Team</a:t>
          </a:r>
          <a:endParaRPr lang="en-US" sz="1200" b="1" i="0" u="none" strike="noStrike">
            <a:solidFill>
              <a:srgbClr val="000000"/>
            </a:solidFill>
            <a:latin typeface="Abadi" panose="020B0604020104020204" pitchFamily="34" charset="0"/>
            <a:ea typeface="+mn-ea"/>
            <a:cs typeface="Arial"/>
          </a:endParaRPr>
        </a:p>
      </xdr:txBody>
    </xdr:sp>
    <xdr:clientData/>
  </xdr:twoCellAnchor>
  <xdr:twoCellAnchor>
    <xdr:from>
      <xdr:col>18</xdr:col>
      <xdr:colOff>523875</xdr:colOff>
      <xdr:row>13</xdr:row>
      <xdr:rowOff>152401</xdr:rowOff>
    </xdr:from>
    <xdr:to>
      <xdr:col>22</xdr:col>
      <xdr:colOff>285751</xdr:colOff>
      <xdr:row>22</xdr:row>
      <xdr:rowOff>95250</xdr:rowOff>
    </xdr:to>
    <xdr:graphicFrame macro="">
      <xdr:nvGraphicFramePr>
        <xdr:cNvPr id="76" name="Chart 75">
          <a:extLst>
            <a:ext uri="{FF2B5EF4-FFF2-40B4-BE49-F238E27FC236}">
              <a16:creationId xmlns:a16="http://schemas.microsoft.com/office/drawing/2014/main" id="{F5E73A01-B1AF-4C34-9181-55988E0F7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471487</xdr:colOff>
      <xdr:row>22</xdr:row>
      <xdr:rowOff>152399</xdr:rowOff>
    </xdr:from>
    <xdr:to>
      <xdr:col>20</xdr:col>
      <xdr:colOff>590550</xdr:colOff>
      <xdr:row>25</xdr:row>
      <xdr:rowOff>114299</xdr:rowOff>
    </xdr:to>
    <xdr:sp macro="" textlink="">
      <xdr:nvSpPr>
        <xdr:cNvPr id="77" name="TextBox 76">
          <a:extLst>
            <a:ext uri="{FF2B5EF4-FFF2-40B4-BE49-F238E27FC236}">
              <a16:creationId xmlns:a16="http://schemas.microsoft.com/office/drawing/2014/main" id="{B54BDA07-00D9-4344-B7ED-AB8788CE6E47}"/>
            </a:ext>
          </a:extLst>
        </xdr:cNvPr>
        <xdr:cNvSpPr txBox="1"/>
      </xdr:nvSpPr>
      <xdr:spPr>
        <a:xfrm>
          <a:off x="12815887" y="4552949"/>
          <a:ext cx="1490663"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a:solidFill>
                <a:srgbClr val="000000"/>
              </a:solidFill>
              <a:latin typeface="Abadi" panose="020B0604020104020204" pitchFamily="34" charset="0"/>
              <a:ea typeface="+mn-ea"/>
              <a:cs typeface="Arial"/>
            </a:rPr>
            <a:t>Enrolled Courses</a:t>
          </a:r>
          <a:r>
            <a:rPr lang="en-US" sz="1200" b="0" i="0" u="none" strike="noStrike" baseline="0">
              <a:solidFill>
                <a:srgbClr val="000000"/>
              </a:solidFill>
              <a:latin typeface="Abadi" panose="020B0604020104020204" pitchFamily="34" charset="0"/>
              <a:ea typeface="+mn-ea"/>
              <a:cs typeface="Arial"/>
            </a:rPr>
            <a:t> on Training Levels</a:t>
          </a:r>
          <a:endParaRPr lang="en-US" sz="1200" b="1" i="0" u="none" strike="noStrike">
            <a:solidFill>
              <a:srgbClr val="000000"/>
            </a:solidFill>
            <a:latin typeface="Abadi" panose="020B0604020104020204" pitchFamily="34" charset="0"/>
            <a:ea typeface="+mn-ea"/>
            <a:cs typeface="Arial"/>
          </a:endParaRPr>
        </a:p>
      </xdr:txBody>
    </xdr:sp>
    <xdr:clientData/>
  </xdr:twoCellAnchor>
  <xdr:twoCellAnchor>
    <xdr:from>
      <xdr:col>18</xdr:col>
      <xdr:colOff>447674</xdr:colOff>
      <xdr:row>23</xdr:row>
      <xdr:rowOff>123825</xdr:rowOff>
    </xdr:from>
    <xdr:to>
      <xdr:col>22</xdr:col>
      <xdr:colOff>514349</xdr:colOff>
      <xdr:row>33</xdr:row>
      <xdr:rowOff>66675</xdr:rowOff>
    </xdr:to>
    <xdr:graphicFrame macro="">
      <xdr:nvGraphicFramePr>
        <xdr:cNvPr id="78" name="Chart 77">
          <a:extLst>
            <a:ext uri="{FF2B5EF4-FFF2-40B4-BE49-F238E27FC236}">
              <a16:creationId xmlns:a16="http://schemas.microsoft.com/office/drawing/2014/main" id="{39E4A341-B417-4D56-A1B4-DBB0A5766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31</xdr:col>
      <xdr:colOff>61226</xdr:colOff>
      <xdr:row>14</xdr:row>
      <xdr:rowOff>142875</xdr:rowOff>
    </xdr:from>
    <xdr:to>
      <xdr:col>32</xdr:col>
      <xdr:colOff>166001</xdr:colOff>
      <xdr:row>16</xdr:row>
      <xdr:rowOff>47625</xdr:rowOff>
    </xdr:to>
    <xdr:sp macro="" textlink="'Pivot Tables'!AH24">
      <xdr:nvSpPr>
        <xdr:cNvPr id="79" name="TextBox 78">
          <a:extLst>
            <a:ext uri="{FF2B5EF4-FFF2-40B4-BE49-F238E27FC236}">
              <a16:creationId xmlns:a16="http://schemas.microsoft.com/office/drawing/2014/main" id="{B10E7F20-1171-4618-8791-E44C7B8D886C}"/>
            </a:ext>
          </a:extLst>
        </xdr:cNvPr>
        <xdr:cNvSpPr txBox="1"/>
      </xdr:nvSpPr>
      <xdr:spPr>
        <a:xfrm>
          <a:off x="21321026" y="2943225"/>
          <a:ext cx="7905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rgbClr val="000000"/>
              </a:solidFill>
              <a:latin typeface="Abadi" panose="020B0604020104020204" pitchFamily="34" charset="0"/>
              <a:ea typeface="+mn-ea"/>
              <a:cs typeface="Arial"/>
            </a:rPr>
            <a:t>Average</a:t>
          </a:r>
        </a:p>
      </xdr:txBody>
    </xdr:sp>
    <xdr:clientData/>
  </xdr:twoCellAnchor>
  <xdr:twoCellAnchor>
    <xdr:from>
      <xdr:col>6</xdr:col>
      <xdr:colOff>390525</xdr:colOff>
      <xdr:row>11</xdr:row>
      <xdr:rowOff>66675</xdr:rowOff>
    </xdr:from>
    <xdr:to>
      <xdr:col>13</xdr:col>
      <xdr:colOff>628650</xdr:colOff>
      <xdr:row>22</xdr:row>
      <xdr:rowOff>76200</xdr:rowOff>
    </xdr:to>
    <xdr:sp macro="" textlink="">
      <xdr:nvSpPr>
        <xdr:cNvPr id="80" name="Rectangle: Rounded Corners 79">
          <a:extLst>
            <a:ext uri="{FF2B5EF4-FFF2-40B4-BE49-F238E27FC236}">
              <a16:creationId xmlns:a16="http://schemas.microsoft.com/office/drawing/2014/main" id="{186BDC75-4E38-4940-B072-E846730CE851}"/>
            </a:ext>
          </a:extLst>
        </xdr:cNvPr>
        <xdr:cNvSpPr/>
      </xdr:nvSpPr>
      <xdr:spPr>
        <a:xfrm>
          <a:off x="4505325" y="2266950"/>
          <a:ext cx="5038725" cy="22098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6</xdr:col>
      <xdr:colOff>447674</xdr:colOff>
      <xdr:row>11</xdr:row>
      <xdr:rowOff>161925</xdr:rowOff>
    </xdr:from>
    <xdr:to>
      <xdr:col>9</xdr:col>
      <xdr:colOff>257175</xdr:colOff>
      <xdr:row>15</xdr:row>
      <xdr:rowOff>123825</xdr:rowOff>
    </xdr:to>
    <xdr:sp macro="" textlink="">
      <xdr:nvSpPr>
        <xdr:cNvPr id="81" name="TextBox 80">
          <a:extLst>
            <a:ext uri="{FF2B5EF4-FFF2-40B4-BE49-F238E27FC236}">
              <a16:creationId xmlns:a16="http://schemas.microsoft.com/office/drawing/2014/main" id="{20D67273-944A-4778-A088-08A4FD9B4CE1}"/>
            </a:ext>
          </a:extLst>
        </xdr:cNvPr>
        <xdr:cNvSpPr txBox="1"/>
      </xdr:nvSpPr>
      <xdr:spPr>
        <a:xfrm>
          <a:off x="4562474" y="2362200"/>
          <a:ext cx="1866901"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chemeClr val="tx1">
                  <a:lumMod val="50000"/>
                  <a:lumOff val="50000"/>
                </a:schemeClr>
              </a:solidFill>
              <a:latin typeface="Abadi" panose="020B0604020104020204" pitchFamily="34" charset="0"/>
              <a:ea typeface="+mn-ea"/>
              <a:cs typeface="Arial"/>
            </a:rPr>
            <a:t>Average </a:t>
          </a:r>
        </a:p>
        <a:p>
          <a:pPr marL="0" indent="0" algn="l"/>
          <a:r>
            <a:rPr lang="en-US" sz="1200" b="0" i="0" u="none" strike="noStrike">
              <a:solidFill>
                <a:srgbClr val="000000"/>
              </a:solidFill>
              <a:latin typeface="Abadi" panose="020B0604020104020204" pitchFamily="34" charset="0"/>
              <a:ea typeface="+mn-ea"/>
              <a:cs typeface="Arial"/>
            </a:rPr>
            <a:t>Paid Calls Duration </a:t>
          </a:r>
        </a:p>
        <a:p>
          <a:pPr marL="0" indent="0" algn="l"/>
          <a:r>
            <a:rPr lang="en-US" sz="1100" b="0" i="0" u="none" strike="noStrike">
              <a:solidFill>
                <a:schemeClr val="bg1">
                  <a:lumMod val="50000"/>
                </a:schemeClr>
              </a:solidFill>
              <a:latin typeface="Abadi" panose="020B0604020104020204" pitchFamily="34" charset="0"/>
              <a:ea typeface="+mn-ea"/>
              <a:cs typeface="Arial"/>
            </a:rPr>
            <a:t>by Months</a:t>
          </a:r>
        </a:p>
      </xdr:txBody>
    </xdr:sp>
    <xdr:clientData/>
  </xdr:twoCellAnchor>
  <xdr:twoCellAnchor>
    <xdr:from>
      <xdr:col>9</xdr:col>
      <xdr:colOff>142875</xdr:colOff>
      <xdr:row>13</xdr:row>
      <xdr:rowOff>66675</xdr:rowOff>
    </xdr:from>
    <xdr:to>
      <xdr:col>13</xdr:col>
      <xdr:colOff>666750</xdr:colOff>
      <xdr:row>20</xdr:row>
      <xdr:rowOff>104775</xdr:rowOff>
    </xdr:to>
    <xdr:grpSp>
      <xdr:nvGrpSpPr>
        <xdr:cNvPr id="82" name="Group 81">
          <a:extLst>
            <a:ext uri="{FF2B5EF4-FFF2-40B4-BE49-F238E27FC236}">
              <a16:creationId xmlns:a16="http://schemas.microsoft.com/office/drawing/2014/main" id="{F4DC9C39-510C-414E-B947-FBDB91A42F96}"/>
            </a:ext>
          </a:extLst>
        </xdr:cNvPr>
        <xdr:cNvGrpSpPr/>
      </xdr:nvGrpSpPr>
      <xdr:grpSpPr>
        <a:xfrm>
          <a:off x="6315075" y="2642235"/>
          <a:ext cx="3267075" cy="1424940"/>
          <a:chOff x="4102562" y="2667000"/>
          <a:chExt cx="3372376" cy="1438275"/>
        </a:xfrm>
      </xdr:grpSpPr>
      <xdr:graphicFrame macro="">
        <xdr:nvGraphicFramePr>
          <xdr:cNvPr id="83" name="Chart 82">
            <a:extLst>
              <a:ext uri="{FF2B5EF4-FFF2-40B4-BE49-F238E27FC236}">
                <a16:creationId xmlns:a16="http://schemas.microsoft.com/office/drawing/2014/main" id="{A58E42BC-C8AA-6A26-6344-41E9BEA38713}"/>
              </a:ext>
            </a:extLst>
          </xdr:cNvPr>
          <xdr:cNvGraphicFramePr>
            <a:graphicFrameLocks/>
          </xdr:cNvGraphicFramePr>
        </xdr:nvGraphicFramePr>
        <xdr:xfrm>
          <a:off x="4102562" y="2667000"/>
          <a:ext cx="3372376" cy="1438275"/>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84" name="Rectangle 83">
            <a:extLst>
              <a:ext uri="{FF2B5EF4-FFF2-40B4-BE49-F238E27FC236}">
                <a16:creationId xmlns:a16="http://schemas.microsoft.com/office/drawing/2014/main" id="{4FF5978A-C51E-C0E4-334F-792445A8CFA6}"/>
              </a:ext>
            </a:extLst>
          </xdr:cNvPr>
          <xdr:cNvSpPr/>
        </xdr:nvSpPr>
        <xdr:spPr>
          <a:xfrm>
            <a:off x="4560097" y="3752849"/>
            <a:ext cx="2751580" cy="14287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400050</xdr:colOff>
      <xdr:row>14</xdr:row>
      <xdr:rowOff>142875</xdr:rowOff>
    </xdr:from>
    <xdr:to>
      <xdr:col>9</xdr:col>
      <xdr:colOff>19050</xdr:colOff>
      <xdr:row>17</xdr:row>
      <xdr:rowOff>28576</xdr:rowOff>
    </xdr:to>
    <xdr:sp macro="" textlink="">
      <xdr:nvSpPr>
        <xdr:cNvPr id="85" name="Rectangle: Single Corner Rounded 84">
          <a:extLst>
            <a:ext uri="{FF2B5EF4-FFF2-40B4-BE49-F238E27FC236}">
              <a16:creationId xmlns:a16="http://schemas.microsoft.com/office/drawing/2014/main" id="{EC90C31C-5E8D-4FC9-B39A-B2F74307DE38}"/>
            </a:ext>
          </a:extLst>
        </xdr:cNvPr>
        <xdr:cNvSpPr/>
      </xdr:nvSpPr>
      <xdr:spPr>
        <a:xfrm>
          <a:off x="4514850" y="2943225"/>
          <a:ext cx="1676400" cy="485776"/>
        </a:xfrm>
        <a:prstGeom prst="round1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457201</xdr:colOff>
      <xdr:row>14</xdr:row>
      <xdr:rowOff>171450</xdr:rowOff>
    </xdr:from>
    <xdr:to>
      <xdr:col>7</xdr:col>
      <xdr:colOff>523875</xdr:colOff>
      <xdr:row>16</xdr:row>
      <xdr:rowOff>180975</xdr:rowOff>
    </xdr:to>
    <xdr:sp macro="" textlink="'Pivot Tables'!BR5">
      <xdr:nvSpPr>
        <xdr:cNvPr id="86" name="TextBox 85">
          <a:extLst>
            <a:ext uri="{FF2B5EF4-FFF2-40B4-BE49-F238E27FC236}">
              <a16:creationId xmlns:a16="http://schemas.microsoft.com/office/drawing/2014/main" id="{FE1C545F-651E-4CB4-938C-FBDD7BE0928E}"/>
            </a:ext>
          </a:extLst>
        </xdr:cNvPr>
        <xdr:cNvSpPr txBox="1"/>
      </xdr:nvSpPr>
      <xdr:spPr>
        <a:xfrm>
          <a:off x="4572001" y="2971800"/>
          <a:ext cx="752474"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C6E4F3-E608-4094-8BF2-D5246E3DA5F2}" type="TxLink">
            <a:rPr lang="en-US" sz="1600" b="0" i="0" u="none" strike="noStrike">
              <a:solidFill>
                <a:schemeClr val="bg1"/>
              </a:solidFill>
              <a:latin typeface="Abadi" panose="020B0604020104020204" pitchFamily="34" charset="0"/>
              <a:cs typeface="Arial"/>
            </a:rPr>
            <a:pPr algn="ctr"/>
            <a:t>04:16</a:t>
          </a:fld>
          <a:endParaRPr lang="en-US" sz="1600">
            <a:solidFill>
              <a:schemeClr val="bg1"/>
            </a:solidFill>
            <a:latin typeface="Abadi" panose="020B0604020104020204" pitchFamily="34" charset="0"/>
          </a:endParaRPr>
        </a:p>
      </xdr:txBody>
    </xdr:sp>
    <xdr:clientData/>
  </xdr:twoCellAnchor>
  <xdr:twoCellAnchor>
    <xdr:from>
      <xdr:col>7</xdr:col>
      <xdr:colOff>419100</xdr:colOff>
      <xdr:row>15</xdr:row>
      <xdr:rowOff>0</xdr:rowOff>
    </xdr:from>
    <xdr:to>
      <xdr:col>8</xdr:col>
      <xdr:colOff>390525</xdr:colOff>
      <xdr:row>16</xdr:row>
      <xdr:rowOff>180974</xdr:rowOff>
    </xdr:to>
    <xdr:sp macro="" textlink="">
      <xdr:nvSpPr>
        <xdr:cNvPr id="87" name="TextBox 86">
          <a:extLst>
            <a:ext uri="{FF2B5EF4-FFF2-40B4-BE49-F238E27FC236}">
              <a16:creationId xmlns:a16="http://schemas.microsoft.com/office/drawing/2014/main" id="{C6FEAA00-5EAA-4F5B-9AD8-34CF291EA2B3}"/>
            </a:ext>
          </a:extLst>
        </xdr:cNvPr>
        <xdr:cNvSpPr txBox="1"/>
      </xdr:nvSpPr>
      <xdr:spPr>
        <a:xfrm>
          <a:off x="5219700" y="3000375"/>
          <a:ext cx="657225"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Abadi" panose="020B0604020104020204" pitchFamily="34" charset="0"/>
            </a:rPr>
            <a:t>mm:ss</a:t>
          </a:r>
        </a:p>
      </xdr:txBody>
    </xdr:sp>
    <xdr:clientData/>
  </xdr:twoCellAnchor>
  <xdr:twoCellAnchor>
    <xdr:from>
      <xdr:col>6</xdr:col>
      <xdr:colOff>371475</xdr:colOff>
      <xdr:row>17</xdr:row>
      <xdr:rowOff>142875</xdr:rowOff>
    </xdr:from>
    <xdr:to>
      <xdr:col>7</xdr:col>
      <xdr:colOff>609600</xdr:colOff>
      <xdr:row>19</xdr:row>
      <xdr:rowOff>142875</xdr:rowOff>
    </xdr:to>
    <xdr:sp macro="" textlink="">
      <xdr:nvSpPr>
        <xdr:cNvPr id="88" name="TextBox 87">
          <a:extLst>
            <a:ext uri="{FF2B5EF4-FFF2-40B4-BE49-F238E27FC236}">
              <a16:creationId xmlns:a16="http://schemas.microsoft.com/office/drawing/2014/main" id="{3F158B93-9081-4A1B-ABD7-77EBF97D04F4}"/>
            </a:ext>
          </a:extLst>
        </xdr:cNvPr>
        <xdr:cNvSpPr txBox="1"/>
      </xdr:nvSpPr>
      <xdr:spPr>
        <a:xfrm>
          <a:off x="4486275" y="3543300"/>
          <a:ext cx="923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badi" panose="020B0604020104020204" pitchFamily="34" charset="0"/>
            </a:rPr>
            <a:t>Maximum</a:t>
          </a:r>
        </a:p>
        <a:p>
          <a:pPr algn="ctr"/>
          <a:r>
            <a:rPr lang="en-US" sz="1000">
              <a:solidFill>
                <a:schemeClr val="bg1">
                  <a:lumMod val="50000"/>
                </a:schemeClr>
              </a:solidFill>
              <a:latin typeface="Abadi" panose="020B0604020104020204" pitchFamily="34" charset="0"/>
            </a:rPr>
            <a:t>Call</a:t>
          </a:r>
          <a:r>
            <a:rPr lang="en-US" sz="1000" baseline="0">
              <a:solidFill>
                <a:schemeClr val="bg1">
                  <a:lumMod val="50000"/>
                </a:schemeClr>
              </a:solidFill>
              <a:latin typeface="Abadi" panose="020B0604020104020204" pitchFamily="34" charset="0"/>
            </a:rPr>
            <a:t> Duration</a:t>
          </a:r>
          <a:endParaRPr lang="en-US" sz="1000">
            <a:solidFill>
              <a:schemeClr val="bg1">
                <a:lumMod val="50000"/>
              </a:schemeClr>
            </a:solidFill>
            <a:latin typeface="Abadi" panose="020B0604020104020204" pitchFamily="34" charset="0"/>
          </a:endParaRPr>
        </a:p>
      </xdr:txBody>
    </xdr:sp>
    <xdr:clientData/>
  </xdr:twoCellAnchor>
  <xdr:twoCellAnchor>
    <xdr:from>
      <xdr:col>6</xdr:col>
      <xdr:colOff>457200</xdr:colOff>
      <xdr:row>19</xdr:row>
      <xdr:rowOff>114300</xdr:rowOff>
    </xdr:from>
    <xdr:to>
      <xdr:col>7</xdr:col>
      <xdr:colOff>523875</xdr:colOff>
      <xdr:row>20</xdr:row>
      <xdr:rowOff>190500</xdr:rowOff>
    </xdr:to>
    <xdr:sp macro="" textlink="'Pivot Tables'!BR6">
      <xdr:nvSpPr>
        <xdr:cNvPr id="89" name="TextBox 88">
          <a:extLst>
            <a:ext uri="{FF2B5EF4-FFF2-40B4-BE49-F238E27FC236}">
              <a16:creationId xmlns:a16="http://schemas.microsoft.com/office/drawing/2014/main" id="{D09BAD76-37A1-4211-8177-B1483618A9B3}"/>
            </a:ext>
          </a:extLst>
        </xdr:cNvPr>
        <xdr:cNvSpPr txBox="1"/>
      </xdr:nvSpPr>
      <xdr:spPr>
        <a:xfrm>
          <a:off x="4572000" y="3914775"/>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0F9812-578C-4059-B312-76A26D447582}" type="TxLink">
            <a:rPr lang="en-US" sz="1400" b="0" i="0" u="none" strike="noStrike">
              <a:solidFill>
                <a:srgbClr val="000000"/>
              </a:solidFill>
              <a:latin typeface="Abadi" panose="020B0604020104020204" pitchFamily="34" charset="0"/>
              <a:cs typeface="Arial"/>
            </a:rPr>
            <a:pPr algn="ctr"/>
            <a:t>05:02</a:t>
          </a:fld>
          <a:endParaRPr lang="en-US" sz="1400">
            <a:latin typeface="Abadi" panose="020B0604020104020204" pitchFamily="34" charset="0"/>
          </a:endParaRPr>
        </a:p>
      </xdr:txBody>
    </xdr:sp>
    <xdr:clientData/>
  </xdr:twoCellAnchor>
  <xdr:twoCellAnchor>
    <xdr:from>
      <xdr:col>7</xdr:col>
      <xdr:colOff>533400</xdr:colOff>
      <xdr:row>17</xdr:row>
      <xdr:rowOff>133350</xdr:rowOff>
    </xdr:from>
    <xdr:to>
      <xdr:col>9</xdr:col>
      <xdr:colOff>85725</xdr:colOff>
      <xdr:row>19</xdr:row>
      <xdr:rowOff>133350</xdr:rowOff>
    </xdr:to>
    <xdr:sp macro="" textlink="">
      <xdr:nvSpPr>
        <xdr:cNvPr id="90" name="TextBox 89">
          <a:extLst>
            <a:ext uri="{FF2B5EF4-FFF2-40B4-BE49-F238E27FC236}">
              <a16:creationId xmlns:a16="http://schemas.microsoft.com/office/drawing/2014/main" id="{E8B26215-44F5-4526-B37A-A0333842AEC6}"/>
            </a:ext>
          </a:extLst>
        </xdr:cNvPr>
        <xdr:cNvSpPr txBox="1"/>
      </xdr:nvSpPr>
      <xdr:spPr>
        <a:xfrm>
          <a:off x="5334000" y="3533775"/>
          <a:ext cx="923925"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badi" panose="020B0604020104020204" pitchFamily="34" charset="0"/>
            </a:rPr>
            <a:t>Minimum</a:t>
          </a:r>
        </a:p>
        <a:p>
          <a:pPr algn="ctr"/>
          <a:r>
            <a:rPr lang="en-US" sz="1000">
              <a:solidFill>
                <a:schemeClr val="bg1">
                  <a:lumMod val="50000"/>
                </a:schemeClr>
              </a:solidFill>
              <a:latin typeface="Abadi" panose="020B0604020104020204" pitchFamily="34" charset="0"/>
            </a:rPr>
            <a:t>Call</a:t>
          </a:r>
          <a:r>
            <a:rPr lang="en-US" sz="1000" baseline="0">
              <a:solidFill>
                <a:schemeClr val="bg1">
                  <a:lumMod val="50000"/>
                </a:schemeClr>
              </a:solidFill>
              <a:latin typeface="Abadi" panose="020B0604020104020204" pitchFamily="34" charset="0"/>
            </a:rPr>
            <a:t> Duration</a:t>
          </a:r>
          <a:endParaRPr lang="en-US" sz="1000">
            <a:solidFill>
              <a:schemeClr val="bg1">
                <a:lumMod val="50000"/>
              </a:schemeClr>
            </a:solidFill>
            <a:latin typeface="Abadi" panose="020B0604020104020204" pitchFamily="34" charset="0"/>
          </a:endParaRPr>
        </a:p>
      </xdr:txBody>
    </xdr:sp>
    <xdr:clientData/>
  </xdr:twoCellAnchor>
  <xdr:twoCellAnchor>
    <xdr:from>
      <xdr:col>6</xdr:col>
      <xdr:colOff>519112</xdr:colOff>
      <xdr:row>20</xdr:row>
      <xdr:rowOff>152400</xdr:rowOff>
    </xdr:from>
    <xdr:to>
      <xdr:col>7</xdr:col>
      <xdr:colOff>461962</xdr:colOff>
      <xdr:row>22</xdr:row>
      <xdr:rowOff>19050</xdr:rowOff>
    </xdr:to>
    <xdr:sp macro="" textlink="">
      <xdr:nvSpPr>
        <xdr:cNvPr id="91" name="TextBox 90">
          <a:extLst>
            <a:ext uri="{FF2B5EF4-FFF2-40B4-BE49-F238E27FC236}">
              <a16:creationId xmlns:a16="http://schemas.microsoft.com/office/drawing/2014/main" id="{63F29F70-E1DE-478A-A35C-782A3FDAC047}"/>
            </a:ext>
          </a:extLst>
        </xdr:cNvPr>
        <xdr:cNvSpPr txBox="1"/>
      </xdr:nvSpPr>
      <xdr:spPr>
        <a:xfrm>
          <a:off x="4633912" y="4152900"/>
          <a:ext cx="628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aseline="0">
              <a:solidFill>
                <a:schemeClr val="bg1">
                  <a:lumMod val="50000"/>
                </a:schemeClr>
              </a:solidFill>
              <a:latin typeface="Abadi" panose="020B0604020104020204" pitchFamily="34" charset="0"/>
            </a:rPr>
            <a:t>mm:ss</a:t>
          </a:r>
          <a:endParaRPr lang="en-US" sz="1000">
            <a:solidFill>
              <a:schemeClr val="bg1">
                <a:lumMod val="50000"/>
              </a:schemeClr>
            </a:solidFill>
            <a:latin typeface="Abadi" panose="020B0604020104020204" pitchFamily="34" charset="0"/>
          </a:endParaRPr>
        </a:p>
      </xdr:txBody>
    </xdr:sp>
    <xdr:clientData/>
  </xdr:twoCellAnchor>
  <xdr:twoCellAnchor>
    <xdr:from>
      <xdr:col>7</xdr:col>
      <xdr:colOff>681037</xdr:colOff>
      <xdr:row>20</xdr:row>
      <xdr:rowOff>152400</xdr:rowOff>
    </xdr:from>
    <xdr:to>
      <xdr:col>8</xdr:col>
      <xdr:colOff>623887</xdr:colOff>
      <xdr:row>22</xdr:row>
      <xdr:rowOff>19050</xdr:rowOff>
    </xdr:to>
    <xdr:sp macro="" textlink="">
      <xdr:nvSpPr>
        <xdr:cNvPr id="92" name="TextBox 91">
          <a:extLst>
            <a:ext uri="{FF2B5EF4-FFF2-40B4-BE49-F238E27FC236}">
              <a16:creationId xmlns:a16="http://schemas.microsoft.com/office/drawing/2014/main" id="{DF693A9A-4985-4F1E-936D-6A3B8B481051}"/>
            </a:ext>
          </a:extLst>
        </xdr:cNvPr>
        <xdr:cNvSpPr txBox="1"/>
      </xdr:nvSpPr>
      <xdr:spPr>
        <a:xfrm>
          <a:off x="5481637" y="4152900"/>
          <a:ext cx="628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aseline="0">
              <a:solidFill>
                <a:schemeClr val="bg1">
                  <a:lumMod val="50000"/>
                </a:schemeClr>
              </a:solidFill>
              <a:latin typeface="Abadi" panose="020B0604020104020204" pitchFamily="34" charset="0"/>
            </a:rPr>
            <a:t>mm:ss</a:t>
          </a:r>
          <a:endParaRPr lang="en-US" sz="1000">
            <a:solidFill>
              <a:schemeClr val="bg1">
                <a:lumMod val="50000"/>
              </a:schemeClr>
            </a:solidFill>
            <a:latin typeface="Abadi" panose="020B0604020104020204" pitchFamily="34" charset="0"/>
          </a:endParaRPr>
        </a:p>
      </xdr:txBody>
    </xdr:sp>
    <xdr:clientData/>
  </xdr:twoCellAnchor>
  <xdr:twoCellAnchor>
    <xdr:from>
      <xdr:col>7</xdr:col>
      <xdr:colOff>619125</xdr:colOff>
      <xdr:row>19</xdr:row>
      <xdr:rowOff>114300</xdr:rowOff>
    </xdr:from>
    <xdr:to>
      <xdr:col>9</xdr:col>
      <xdr:colOff>0</xdr:colOff>
      <xdr:row>20</xdr:row>
      <xdr:rowOff>190500</xdr:rowOff>
    </xdr:to>
    <xdr:sp macro="" textlink="'Pivot Tables'!BR7">
      <xdr:nvSpPr>
        <xdr:cNvPr id="93" name="TextBox 92">
          <a:extLst>
            <a:ext uri="{FF2B5EF4-FFF2-40B4-BE49-F238E27FC236}">
              <a16:creationId xmlns:a16="http://schemas.microsoft.com/office/drawing/2014/main" id="{854590D2-C1AD-4CAE-9FD5-D1FD4AE1517B}"/>
            </a:ext>
          </a:extLst>
        </xdr:cNvPr>
        <xdr:cNvSpPr txBox="1"/>
      </xdr:nvSpPr>
      <xdr:spPr>
        <a:xfrm>
          <a:off x="5419725" y="3914775"/>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5AF17E-1DBF-4DE1-8F56-6B91A477E95B}" type="TxLink">
            <a:rPr lang="en-US" sz="1400" b="0" i="0" u="none" strike="noStrike">
              <a:solidFill>
                <a:srgbClr val="000000"/>
              </a:solidFill>
              <a:latin typeface="Abadi" panose="020B0604020104020204" pitchFamily="34" charset="0"/>
              <a:cs typeface="Arial"/>
            </a:rPr>
            <a:pPr algn="ctr"/>
            <a:t>02:00</a:t>
          </a:fld>
          <a:endParaRPr lang="en-US" sz="1800">
            <a:latin typeface="Abadi" panose="020B0604020104020204" pitchFamily="34" charset="0"/>
          </a:endParaRPr>
        </a:p>
      </xdr:txBody>
    </xdr:sp>
    <xdr:clientData/>
  </xdr:twoCellAnchor>
  <xdr:twoCellAnchor>
    <xdr:from>
      <xdr:col>13</xdr:col>
      <xdr:colOff>647700</xdr:colOff>
      <xdr:row>23</xdr:row>
      <xdr:rowOff>28575</xdr:rowOff>
    </xdr:from>
    <xdr:to>
      <xdr:col>18</xdr:col>
      <xdr:colOff>381000</xdr:colOff>
      <xdr:row>35</xdr:row>
      <xdr:rowOff>133349</xdr:rowOff>
    </xdr:to>
    <xdr:sp macro="" textlink="">
      <xdr:nvSpPr>
        <xdr:cNvPr id="94" name="Rectangle: Rounded Corners 93">
          <a:extLst>
            <a:ext uri="{FF2B5EF4-FFF2-40B4-BE49-F238E27FC236}">
              <a16:creationId xmlns:a16="http://schemas.microsoft.com/office/drawing/2014/main" id="{3DC21022-31D5-409F-96E3-597E41EB4712}"/>
            </a:ext>
          </a:extLst>
        </xdr:cNvPr>
        <xdr:cNvSpPr/>
      </xdr:nvSpPr>
      <xdr:spPr>
        <a:xfrm>
          <a:off x="9563100" y="4629150"/>
          <a:ext cx="3162300" cy="2505074"/>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14</xdr:col>
      <xdr:colOff>95250</xdr:colOff>
      <xdr:row>26</xdr:row>
      <xdr:rowOff>9525</xdr:rowOff>
    </xdr:from>
    <xdr:to>
      <xdr:col>18</xdr:col>
      <xdr:colOff>552450</xdr:colOff>
      <xdr:row>34</xdr:row>
      <xdr:rowOff>142874</xdr:rowOff>
    </xdr:to>
    <xdr:graphicFrame macro="">
      <xdr:nvGraphicFramePr>
        <xdr:cNvPr id="95" name="Chart 94">
          <a:extLst>
            <a:ext uri="{FF2B5EF4-FFF2-40B4-BE49-F238E27FC236}">
              <a16:creationId xmlns:a16="http://schemas.microsoft.com/office/drawing/2014/main" id="{C6C22BFF-E657-4243-B436-BD3A5527B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142875</xdr:colOff>
      <xdr:row>23</xdr:row>
      <xdr:rowOff>19049</xdr:rowOff>
    </xdr:from>
    <xdr:to>
      <xdr:col>15</xdr:col>
      <xdr:colOff>571500</xdr:colOff>
      <xdr:row>25</xdr:row>
      <xdr:rowOff>123824</xdr:rowOff>
    </xdr:to>
    <xdr:sp macro="" textlink="">
      <xdr:nvSpPr>
        <xdr:cNvPr id="96" name="TextBox 95">
          <a:extLst>
            <a:ext uri="{FF2B5EF4-FFF2-40B4-BE49-F238E27FC236}">
              <a16:creationId xmlns:a16="http://schemas.microsoft.com/office/drawing/2014/main" id="{35190420-BBDE-4609-8A1D-3DD42A2C1663}"/>
            </a:ext>
          </a:extLst>
        </xdr:cNvPr>
        <xdr:cNvSpPr txBox="1"/>
      </xdr:nvSpPr>
      <xdr:spPr>
        <a:xfrm>
          <a:off x="9744075" y="4619624"/>
          <a:ext cx="11144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a:solidFill>
                <a:sysClr val="windowText" lastClr="000000"/>
              </a:solidFill>
              <a:latin typeface="Abadi" panose="020B0604020104020204" pitchFamily="34" charset="0"/>
              <a:ea typeface="+mn-ea"/>
              <a:cs typeface="Arial"/>
            </a:rPr>
            <a:t>Total</a:t>
          </a:r>
          <a:r>
            <a:rPr lang="en-US" sz="1200" b="0" i="0" u="none" strike="noStrike" baseline="0">
              <a:solidFill>
                <a:sysClr val="windowText" lastClr="000000"/>
              </a:solidFill>
              <a:latin typeface="Abadi" panose="020B0604020104020204" pitchFamily="34" charset="0"/>
              <a:ea typeface="+mn-ea"/>
              <a:cs typeface="Arial"/>
            </a:rPr>
            <a:t> Sales </a:t>
          </a:r>
        </a:p>
        <a:p>
          <a:pPr marL="0" indent="0" algn="l"/>
          <a:r>
            <a:rPr lang="en-US" sz="1100" b="0" i="0" u="none" strike="noStrike" baseline="0">
              <a:solidFill>
                <a:schemeClr val="tx1">
                  <a:lumMod val="65000"/>
                  <a:lumOff val="35000"/>
                </a:schemeClr>
              </a:solidFill>
              <a:latin typeface="Abadi" panose="020B0604020104020204" pitchFamily="34" charset="0"/>
              <a:ea typeface="+mn-ea"/>
              <a:cs typeface="Arial"/>
            </a:rPr>
            <a:t>by Sales Team</a:t>
          </a:r>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xdr:from>
      <xdr:col>16</xdr:col>
      <xdr:colOff>628650</xdr:colOff>
      <xdr:row>22</xdr:row>
      <xdr:rowOff>161925</xdr:rowOff>
    </xdr:from>
    <xdr:to>
      <xdr:col>18</xdr:col>
      <xdr:colOff>371475</xdr:colOff>
      <xdr:row>24</xdr:row>
      <xdr:rowOff>76200</xdr:rowOff>
    </xdr:to>
    <xdr:sp macro="" textlink="'Pivot Tables'!CB5">
      <xdr:nvSpPr>
        <xdr:cNvPr id="97" name="TextBox 96">
          <a:extLst>
            <a:ext uri="{FF2B5EF4-FFF2-40B4-BE49-F238E27FC236}">
              <a16:creationId xmlns:a16="http://schemas.microsoft.com/office/drawing/2014/main" id="{231A6FB8-A8C2-466A-A3E2-D843335AD7B1}"/>
            </a:ext>
          </a:extLst>
        </xdr:cNvPr>
        <xdr:cNvSpPr txBox="1"/>
      </xdr:nvSpPr>
      <xdr:spPr>
        <a:xfrm>
          <a:off x="11601450" y="4562475"/>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7D6146-723F-43AF-A1CE-F143A2171821}" type="TxLink">
            <a:rPr lang="en-US" sz="1100" b="0" i="0" u="none" strike="noStrike">
              <a:solidFill>
                <a:srgbClr val="000000"/>
              </a:solidFill>
              <a:latin typeface="Abadi" panose="020B0604020104020204" pitchFamily="34" charset="0"/>
              <a:cs typeface="Arial"/>
            </a:rPr>
            <a:pPr algn="ctr"/>
            <a:t>Mohammed</a:t>
          </a:fld>
          <a:endParaRPr lang="en-US" sz="1100">
            <a:latin typeface="Abadi" panose="020B0604020104020204" pitchFamily="34" charset="0"/>
          </a:endParaRPr>
        </a:p>
      </xdr:txBody>
    </xdr:sp>
    <xdr:clientData/>
  </xdr:twoCellAnchor>
  <xdr:twoCellAnchor>
    <xdr:from>
      <xdr:col>17</xdr:col>
      <xdr:colOff>19050</xdr:colOff>
      <xdr:row>23</xdr:row>
      <xdr:rowOff>180975</xdr:rowOff>
    </xdr:from>
    <xdr:to>
      <xdr:col>18</xdr:col>
      <xdr:colOff>276225</xdr:colOff>
      <xdr:row>25</xdr:row>
      <xdr:rowOff>95250</xdr:rowOff>
    </xdr:to>
    <xdr:sp macro="" textlink="'Pivot Tables'!CC5">
      <xdr:nvSpPr>
        <xdr:cNvPr id="98" name="TextBox 97">
          <a:extLst>
            <a:ext uri="{FF2B5EF4-FFF2-40B4-BE49-F238E27FC236}">
              <a16:creationId xmlns:a16="http://schemas.microsoft.com/office/drawing/2014/main" id="{480FAB0E-B4D1-493A-BD96-42B4BD4146F6}"/>
            </a:ext>
          </a:extLst>
        </xdr:cNvPr>
        <xdr:cNvSpPr txBox="1"/>
      </xdr:nvSpPr>
      <xdr:spPr>
        <a:xfrm>
          <a:off x="11677650" y="4781550"/>
          <a:ext cx="9429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BF6411-36BC-4ED3-A5F9-8793084B343A}" type="TxLink">
            <a:rPr lang="en-US" sz="1800" b="0" i="0" u="none" strike="noStrike">
              <a:solidFill>
                <a:srgbClr val="000000"/>
              </a:solidFill>
              <a:latin typeface="Abadi" panose="020B0604020104020204" pitchFamily="34" charset="0"/>
              <a:cs typeface="Arial"/>
            </a:rPr>
            <a:pPr algn="ctr"/>
            <a:t>5,4B</a:t>
          </a:fld>
          <a:endParaRPr lang="en-US" sz="1800">
            <a:latin typeface="Abadi" panose="020B0604020104020204" pitchFamily="34" charset="0"/>
          </a:endParaRPr>
        </a:p>
      </xdr:txBody>
    </xdr:sp>
    <xdr:clientData/>
  </xdr:twoCellAnchor>
  <xdr:twoCellAnchor>
    <xdr:from>
      <xdr:col>16</xdr:col>
      <xdr:colOff>285750</xdr:colOff>
      <xdr:row>24</xdr:row>
      <xdr:rowOff>171450</xdr:rowOff>
    </xdr:from>
    <xdr:to>
      <xdr:col>18</xdr:col>
      <xdr:colOff>561975</xdr:colOff>
      <xdr:row>26</xdr:row>
      <xdr:rowOff>85725</xdr:rowOff>
    </xdr:to>
    <xdr:sp macro="" textlink="'Pivot Tables'!CB5">
      <xdr:nvSpPr>
        <xdr:cNvPr id="99" name="TextBox 98">
          <a:extLst>
            <a:ext uri="{FF2B5EF4-FFF2-40B4-BE49-F238E27FC236}">
              <a16:creationId xmlns:a16="http://schemas.microsoft.com/office/drawing/2014/main" id="{81F5BB1B-CEAC-40D4-AB3B-F9D60142B94B}"/>
            </a:ext>
          </a:extLst>
        </xdr:cNvPr>
        <xdr:cNvSpPr txBox="1"/>
      </xdr:nvSpPr>
      <xdr:spPr>
        <a:xfrm>
          <a:off x="11258550" y="4972050"/>
          <a:ext cx="1647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bg1">
                  <a:lumMod val="50000"/>
                </a:schemeClr>
              </a:solidFill>
              <a:latin typeface="Abadi" panose="020B0604020104020204" pitchFamily="34" charset="0"/>
              <a:cs typeface="Arial"/>
            </a:rPr>
            <a:t>Top selling</a:t>
          </a:r>
          <a:r>
            <a:rPr lang="en-US" sz="1000" b="0" i="0" u="none" strike="noStrike" baseline="0">
              <a:solidFill>
                <a:schemeClr val="bg1">
                  <a:lumMod val="50000"/>
                </a:schemeClr>
              </a:solidFill>
              <a:latin typeface="Abadi" panose="020B0604020104020204" pitchFamily="34" charset="0"/>
              <a:cs typeface="Arial"/>
            </a:rPr>
            <a:t> sales team</a:t>
          </a:r>
          <a:endParaRPr lang="en-US" sz="1000">
            <a:solidFill>
              <a:schemeClr val="bg1">
                <a:lumMod val="50000"/>
              </a:schemeClr>
            </a:solidFill>
            <a:latin typeface="Abadi" panose="020B0604020104020204" pitchFamily="34" charset="0"/>
          </a:endParaRPr>
        </a:p>
      </xdr:txBody>
    </xdr:sp>
    <xdr:clientData/>
  </xdr:twoCellAnchor>
  <xdr:twoCellAnchor editAs="oneCell">
    <xdr:from>
      <xdr:col>16</xdr:col>
      <xdr:colOff>438151</xdr:colOff>
      <xdr:row>23</xdr:row>
      <xdr:rowOff>57151</xdr:rowOff>
    </xdr:from>
    <xdr:to>
      <xdr:col>17</xdr:col>
      <xdr:colOff>152401</xdr:colOff>
      <xdr:row>25</xdr:row>
      <xdr:rowOff>57151</xdr:rowOff>
    </xdr:to>
    <xdr:pic>
      <xdr:nvPicPr>
        <xdr:cNvPr id="100" name="Graphic 99" descr="Badge New with solid fill">
          <a:extLst>
            <a:ext uri="{FF2B5EF4-FFF2-40B4-BE49-F238E27FC236}">
              <a16:creationId xmlns:a16="http://schemas.microsoft.com/office/drawing/2014/main" id="{D46D2A47-A99B-430B-B5E0-377E0FBBC94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1410951" y="4657726"/>
          <a:ext cx="400050" cy="400050"/>
        </a:xfrm>
        <a:prstGeom prst="rect">
          <a:avLst/>
        </a:prstGeom>
      </xdr:spPr>
    </xdr:pic>
    <xdr:clientData/>
  </xdr:twoCellAnchor>
  <xdr:twoCellAnchor>
    <xdr:from>
      <xdr:col>6</xdr:col>
      <xdr:colOff>400050</xdr:colOff>
      <xdr:row>22</xdr:row>
      <xdr:rowOff>161925</xdr:rowOff>
    </xdr:from>
    <xdr:to>
      <xdr:col>13</xdr:col>
      <xdr:colOff>619125</xdr:colOff>
      <xdr:row>35</xdr:row>
      <xdr:rowOff>95250</xdr:rowOff>
    </xdr:to>
    <xdr:sp macro="" textlink="">
      <xdr:nvSpPr>
        <xdr:cNvPr id="101" name="Rectangle: Rounded Corners 100">
          <a:extLst>
            <a:ext uri="{FF2B5EF4-FFF2-40B4-BE49-F238E27FC236}">
              <a16:creationId xmlns:a16="http://schemas.microsoft.com/office/drawing/2014/main" id="{CE32ADBA-98B9-487D-A902-DE4796D69CDF}"/>
            </a:ext>
          </a:extLst>
        </xdr:cNvPr>
        <xdr:cNvSpPr/>
      </xdr:nvSpPr>
      <xdr:spPr>
        <a:xfrm>
          <a:off x="4514850" y="4562475"/>
          <a:ext cx="5019675" cy="253365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6</xdr:col>
      <xdr:colOff>438150</xdr:colOff>
      <xdr:row>26</xdr:row>
      <xdr:rowOff>28575</xdr:rowOff>
    </xdr:from>
    <xdr:to>
      <xdr:col>13</xdr:col>
      <xdr:colOff>552450</xdr:colOff>
      <xdr:row>34</xdr:row>
      <xdr:rowOff>114300</xdr:rowOff>
    </xdr:to>
    <xdr:graphicFrame macro="">
      <xdr:nvGraphicFramePr>
        <xdr:cNvPr id="102" name="Chart 101">
          <a:extLst>
            <a:ext uri="{FF2B5EF4-FFF2-40B4-BE49-F238E27FC236}">
              <a16:creationId xmlns:a16="http://schemas.microsoft.com/office/drawing/2014/main" id="{816B010A-5349-4DE9-AD24-562830080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304800</xdr:colOff>
      <xdr:row>22</xdr:row>
      <xdr:rowOff>180974</xdr:rowOff>
    </xdr:from>
    <xdr:to>
      <xdr:col>9</xdr:col>
      <xdr:colOff>47625</xdr:colOff>
      <xdr:row>25</xdr:row>
      <xdr:rowOff>85724</xdr:rowOff>
    </xdr:to>
    <xdr:sp macro="" textlink="">
      <xdr:nvSpPr>
        <xdr:cNvPr id="103" name="TextBox 102">
          <a:extLst>
            <a:ext uri="{FF2B5EF4-FFF2-40B4-BE49-F238E27FC236}">
              <a16:creationId xmlns:a16="http://schemas.microsoft.com/office/drawing/2014/main" id="{C70911B6-8779-4CFE-B6B0-C38436E9478B}"/>
            </a:ext>
          </a:extLst>
        </xdr:cNvPr>
        <xdr:cNvSpPr txBox="1"/>
      </xdr:nvSpPr>
      <xdr:spPr>
        <a:xfrm>
          <a:off x="5105400" y="4581524"/>
          <a:ext cx="11144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a:solidFill>
                <a:sysClr val="windowText" lastClr="000000"/>
              </a:solidFill>
              <a:latin typeface="Abadi" panose="020B0604020104020204" pitchFamily="34" charset="0"/>
              <a:ea typeface="+mn-ea"/>
              <a:cs typeface="Arial"/>
            </a:rPr>
            <a:t>Consultant</a:t>
          </a:r>
        </a:p>
        <a:p>
          <a:pPr marL="0" indent="0" algn="l"/>
          <a:r>
            <a:rPr lang="en-US" sz="1200" b="0" i="0" u="none" strike="noStrike">
              <a:solidFill>
                <a:schemeClr val="bg1">
                  <a:lumMod val="50000"/>
                </a:schemeClr>
              </a:solidFill>
              <a:latin typeface="Abadi" panose="020B0604020104020204" pitchFamily="34" charset="0"/>
              <a:ea typeface="+mn-ea"/>
              <a:cs typeface="Arial"/>
            </a:rPr>
            <a:t>by</a:t>
          </a:r>
          <a:r>
            <a:rPr lang="en-US" sz="1200" b="0" i="0" u="none" strike="noStrike" baseline="0">
              <a:solidFill>
                <a:schemeClr val="bg1">
                  <a:lumMod val="50000"/>
                </a:schemeClr>
              </a:solidFill>
              <a:latin typeface="Abadi" panose="020B0604020104020204" pitchFamily="34" charset="0"/>
              <a:ea typeface="+mn-ea"/>
              <a:cs typeface="Arial"/>
            </a:rPr>
            <a:t> total sales</a:t>
          </a:r>
          <a:endParaRPr lang="en-US" sz="1100" b="0" i="0" u="none" strike="noStrike">
            <a:solidFill>
              <a:schemeClr val="bg1">
                <a:lumMod val="50000"/>
              </a:schemeClr>
            </a:solidFill>
            <a:latin typeface="Abadi" panose="020B0604020104020204" pitchFamily="34" charset="0"/>
            <a:ea typeface="+mn-ea"/>
            <a:cs typeface="Arial"/>
          </a:endParaRPr>
        </a:p>
      </xdr:txBody>
    </xdr:sp>
    <xdr:clientData/>
  </xdr:twoCellAnchor>
  <xdr:twoCellAnchor>
    <xdr:from>
      <xdr:col>12</xdr:col>
      <xdr:colOff>38100</xdr:colOff>
      <xdr:row>22</xdr:row>
      <xdr:rowOff>133350</xdr:rowOff>
    </xdr:from>
    <xdr:to>
      <xdr:col>13</xdr:col>
      <xdr:colOff>466725</xdr:colOff>
      <xdr:row>24</xdr:row>
      <xdr:rowOff>47625</xdr:rowOff>
    </xdr:to>
    <xdr:sp macro="" textlink="'Pivot Tables'!CF26">
      <xdr:nvSpPr>
        <xdr:cNvPr id="104" name="TextBox 103">
          <a:extLst>
            <a:ext uri="{FF2B5EF4-FFF2-40B4-BE49-F238E27FC236}">
              <a16:creationId xmlns:a16="http://schemas.microsoft.com/office/drawing/2014/main" id="{C6E14FFF-DBD7-43EB-9AC5-675C0ED59D3E}"/>
            </a:ext>
          </a:extLst>
        </xdr:cNvPr>
        <xdr:cNvSpPr txBox="1"/>
      </xdr:nvSpPr>
      <xdr:spPr>
        <a:xfrm>
          <a:off x="8267700" y="4533900"/>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8CBB41-0131-4921-AEF0-514A40A0AC49}" type="TxLink">
            <a:rPr lang="en-US" sz="1100" b="0" i="0" u="none" strike="noStrike">
              <a:solidFill>
                <a:srgbClr val="000000"/>
              </a:solidFill>
              <a:latin typeface="Arial"/>
              <a:cs typeface="Arial"/>
            </a:rPr>
            <a:pPr algn="ctr"/>
            <a:t>Mohmed</a:t>
          </a:fld>
          <a:endParaRPr lang="en-US" sz="1100">
            <a:latin typeface="Abadi" panose="020B0604020104020204" pitchFamily="34" charset="0"/>
          </a:endParaRPr>
        </a:p>
      </xdr:txBody>
    </xdr:sp>
    <xdr:clientData/>
  </xdr:twoCellAnchor>
  <xdr:twoCellAnchor>
    <xdr:from>
      <xdr:col>12</xdr:col>
      <xdr:colOff>114300</xdr:colOff>
      <xdr:row>23</xdr:row>
      <xdr:rowOff>152400</xdr:rowOff>
    </xdr:from>
    <xdr:to>
      <xdr:col>13</xdr:col>
      <xdr:colOff>371475</xdr:colOff>
      <xdr:row>25</xdr:row>
      <xdr:rowOff>66675</xdr:rowOff>
    </xdr:to>
    <xdr:sp macro="" textlink="'Pivot Tables'!CG26">
      <xdr:nvSpPr>
        <xdr:cNvPr id="105" name="TextBox 104">
          <a:extLst>
            <a:ext uri="{FF2B5EF4-FFF2-40B4-BE49-F238E27FC236}">
              <a16:creationId xmlns:a16="http://schemas.microsoft.com/office/drawing/2014/main" id="{379C0529-A502-47F5-962D-2C5383432BC7}"/>
            </a:ext>
          </a:extLst>
        </xdr:cNvPr>
        <xdr:cNvSpPr txBox="1"/>
      </xdr:nvSpPr>
      <xdr:spPr>
        <a:xfrm>
          <a:off x="8343900" y="4752975"/>
          <a:ext cx="9429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42F66C-C434-4033-8207-3373BF235725}" type="TxLink">
            <a:rPr lang="en-US" sz="1800" b="0" i="0" u="none" strike="noStrike">
              <a:solidFill>
                <a:srgbClr val="000000"/>
              </a:solidFill>
              <a:latin typeface="Abadi" panose="020B0604020104020204" pitchFamily="34" charset="0"/>
              <a:cs typeface="Arial"/>
            </a:rPr>
            <a:pPr algn="ctr"/>
            <a:t>1,7B</a:t>
          </a:fld>
          <a:endParaRPr lang="en-US" sz="3200">
            <a:latin typeface="Abadi" panose="020B0604020104020204" pitchFamily="34" charset="0"/>
          </a:endParaRPr>
        </a:p>
      </xdr:txBody>
    </xdr:sp>
    <xdr:clientData/>
  </xdr:twoCellAnchor>
  <xdr:twoCellAnchor>
    <xdr:from>
      <xdr:col>11</xdr:col>
      <xdr:colOff>381000</xdr:colOff>
      <xdr:row>24</xdr:row>
      <xdr:rowOff>142875</xdr:rowOff>
    </xdr:from>
    <xdr:to>
      <xdr:col>13</xdr:col>
      <xdr:colOff>657225</xdr:colOff>
      <xdr:row>26</xdr:row>
      <xdr:rowOff>57150</xdr:rowOff>
    </xdr:to>
    <xdr:sp macro="" textlink="'Pivot Tables'!CB5">
      <xdr:nvSpPr>
        <xdr:cNvPr id="106" name="TextBox 105">
          <a:extLst>
            <a:ext uri="{FF2B5EF4-FFF2-40B4-BE49-F238E27FC236}">
              <a16:creationId xmlns:a16="http://schemas.microsoft.com/office/drawing/2014/main" id="{2F173C98-2E51-4433-8F26-527A4B342F12}"/>
            </a:ext>
          </a:extLst>
        </xdr:cNvPr>
        <xdr:cNvSpPr txBox="1"/>
      </xdr:nvSpPr>
      <xdr:spPr>
        <a:xfrm>
          <a:off x="7924800" y="4943475"/>
          <a:ext cx="1647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bg1">
                  <a:lumMod val="50000"/>
                </a:schemeClr>
              </a:solidFill>
              <a:latin typeface="Abadi" panose="020B0604020104020204" pitchFamily="34" charset="0"/>
              <a:cs typeface="Arial"/>
            </a:rPr>
            <a:t>Top selling</a:t>
          </a:r>
          <a:r>
            <a:rPr lang="en-US" sz="1000" b="0" i="0" u="none" strike="noStrike" baseline="0">
              <a:solidFill>
                <a:schemeClr val="bg1">
                  <a:lumMod val="50000"/>
                </a:schemeClr>
              </a:solidFill>
              <a:latin typeface="Abadi" panose="020B0604020104020204" pitchFamily="34" charset="0"/>
              <a:cs typeface="Arial"/>
            </a:rPr>
            <a:t> Consultant</a:t>
          </a:r>
          <a:endParaRPr lang="en-US" sz="1000">
            <a:solidFill>
              <a:schemeClr val="bg1">
                <a:lumMod val="50000"/>
              </a:schemeClr>
            </a:solidFill>
            <a:latin typeface="Abadi" panose="020B0604020104020204" pitchFamily="34" charset="0"/>
          </a:endParaRPr>
        </a:p>
      </xdr:txBody>
    </xdr:sp>
    <xdr:clientData/>
  </xdr:twoCellAnchor>
  <xdr:twoCellAnchor editAs="oneCell">
    <xdr:from>
      <xdr:col>11</xdr:col>
      <xdr:colOff>533401</xdr:colOff>
      <xdr:row>23</xdr:row>
      <xdr:rowOff>28576</xdr:rowOff>
    </xdr:from>
    <xdr:to>
      <xdr:col>12</xdr:col>
      <xdr:colOff>247651</xdr:colOff>
      <xdr:row>25</xdr:row>
      <xdr:rowOff>28576</xdr:rowOff>
    </xdr:to>
    <xdr:pic>
      <xdr:nvPicPr>
        <xdr:cNvPr id="107" name="Graphic 106" descr="Badge New with solid fill">
          <a:extLst>
            <a:ext uri="{FF2B5EF4-FFF2-40B4-BE49-F238E27FC236}">
              <a16:creationId xmlns:a16="http://schemas.microsoft.com/office/drawing/2014/main" id="{B24B7FF8-5AD6-49A4-8710-2784E58C5C2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8077201" y="4629151"/>
          <a:ext cx="400050" cy="400050"/>
        </a:xfrm>
        <a:prstGeom prst="rect">
          <a:avLst/>
        </a:prstGeom>
      </xdr:spPr>
    </xdr:pic>
    <xdr:clientData/>
  </xdr:twoCellAnchor>
  <xdr:twoCellAnchor>
    <xdr:from>
      <xdr:col>2</xdr:col>
      <xdr:colOff>333377</xdr:colOff>
      <xdr:row>10</xdr:row>
      <xdr:rowOff>171450</xdr:rowOff>
    </xdr:from>
    <xdr:to>
      <xdr:col>6</xdr:col>
      <xdr:colOff>323851</xdr:colOff>
      <xdr:row>30</xdr:row>
      <xdr:rowOff>123825</xdr:rowOff>
    </xdr:to>
    <xdr:sp macro="" textlink="">
      <xdr:nvSpPr>
        <xdr:cNvPr id="108" name="Rectangle: Rounded Corners 107">
          <a:extLst>
            <a:ext uri="{FF2B5EF4-FFF2-40B4-BE49-F238E27FC236}">
              <a16:creationId xmlns:a16="http://schemas.microsoft.com/office/drawing/2014/main" id="{FF1763C5-66F1-483F-A26C-7573F54CD259}"/>
            </a:ext>
          </a:extLst>
        </xdr:cNvPr>
        <xdr:cNvSpPr/>
      </xdr:nvSpPr>
      <xdr:spPr>
        <a:xfrm>
          <a:off x="1704977" y="2171700"/>
          <a:ext cx="2733674" cy="3952875"/>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2</xdr:col>
      <xdr:colOff>304800</xdr:colOff>
      <xdr:row>12</xdr:row>
      <xdr:rowOff>85725</xdr:rowOff>
    </xdr:from>
    <xdr:to>
      <xdr:col>6</xdr:col>
      <xdr:colOff>581025</xdr:colOff>
      <xdr:row>24</xdr:row>
      <xdr:rowOff>19050</xdr:rowOff>
    </xdr:to>
    <xdr:graphicFrame macro="">
      <xdr:nvGraphicFramePr>
        <xdr:cNvPr id="109" name="Chart 108">
          <a:extLst>
            <a:ext uri="{FF2B5EF4-FFF2-40B4-BE49-F238E27FC236}">
              <a16:creationId xmlns:a16="http://schemas.microsoft.com/office/drawing/2014/main" id="{A58A0ED3-C082-433A-982B-B80D836F8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447675</xdr:colOff>
      <xdr:row>11</xdr:row>
      <xdr:rowOff>76201</xdr:rowOff>
    </xdr:from>
    <xdr:to>
      <xdr:col>4</xdr:col>
      <xdr:colOff>676275</xdr:colOff>
      <xdr:row>12</xdr:row>
      <xdr:rowOff>180976</xdr:rowOff>
    </xdr:to>
    <xdr:sp macro="" textlink="">
      <xdr:nvSpPr>
        <xdr:cNvPr id="110" name="TextBox 109">
          <a:extLst>
            <a:ext uri="{FF2B5EF4-FFF2-40B4-BE49-F238E27FC236}">
              <a16:creationId xmlns:a16="http://schemas.microsoft.com/office/drawing/2014/main" id="{EC1DBE94-039D-4515-9A1B-3FE9EC80B024}"/>
            </a:ext>
          </a:extLst>
        </xdr:cNvPr>
        <xdr:cNvSpPr txBox="1"/>
      </xdr:nvSpPr>
      <xdr:spPr>
        <a:xfrm>
          <a:off x="1819275" y="2276476"/>
          <a:ext cx="1600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badi" panose="020B0604020104020204" pitchFamily="34" charset="0"/>
            </a:rPr>
            <a:t>Advertising</a:t>
          </a:r>
          <a:r>
            <a:rPr lang="en-US" sz="1200" baseline="0">
              <a:latin typeface="Abadi" panose="020B0604020104020204" pitchFamily="34" charset="0"/>
            </a:rPr>
            <a:t> Channel</a:t>
          </a:r>
          <a:endParaRPr lang="en-US" sz="1200">
            <a:latin typeface="Abadi" panose="020B0604020104020204" pitchFamily="34" charset="0"/>
          </a:endParaRPr>
        </a:p>
      </xdr:txBody>
    </xdr:sp>
    <xdr:clientData/>
  </xdr:twoCellAnchor>
  <xdr:twoCellAnchor>
    <xdr:from>
      <xdr:col>3</xdr:col>
      <xdr:colOff>428624</xdr:colOff>
      <xdr:row>17</xdr:row>
      <xdr:rowOff>66676</xdr:rowOff>
    </xdr:from>
    <xdr:to>
      <xdr:col>5</xdr:col>
      <xdr:colOff>447675</xdr:colOff>
      <xdr:row>18</xdr:row>
      <xdr:rowOff>171451</xdr:rowOff>
    </xdr:to>
    <xdr:sp macro="" textlink="">
      <xdr:nvSpPr>
        <xdr:cNvPr id="111" name="TextBox 110">
          <a:extLst>
            <a:ext uri="{FF2B5EF4-FFF2-40B4-BE49-F238E27FC236}">
              <a16:creationId xmlns:a16="http://schemas.microsoft.com/office/drawing/2014/main" id="{B161BE90-52FA-42CF-89AC-F05A0EAC1D9B}"/>
            </a:ext>
          </a:extLst>
        </xdr:cNvPr>
        <xdr:cNvSpPr txBox="1"/>
      </xdr:nvSpPr>
      <xdr:spPr>
        <a:xfrm>
          <a:off x="2486024" y="3467101"/>
          <a:ext cx="139065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latin typeface="Abadi" panose="020B0604020104020204" pitchFamily="34" charset="0"/>
            </a:rPr>
            <a:t>Paid Advertisement</a:t>
          </a:r>
        </a:p>
      </xdr:txBody>
    </xdr:sp>
    <xdr:clientData/>
  </xdr:twoCellAnchor>
  <xdr:twoCellAnchor>
    <xdr:from>
      <xdr:col>4</xdr:col>
      <xdr:colOff>38100</xdr:colOff>
      <xdr:row>18</xdr:row>
      <xdr:rowOff>123825</xdr:rowOff>
    </xdr:from>
    <xdr:to>
      <xdr:col>5</xdr:col>
      <xdr:colOff>180975</xdr:colOff>
      <xdr:row>19</xdr:row>
      <xdr:rowOff>152400</xdr:rowOff>
    </xdr:to>
    <xdr:sp macro="" textlink="'Pivot Tables'!CQ13">
      <xdr:nvSpPr>
        <xdr:cNvPr id="112" name="TextBox 111">
          <a:extLst>
            <a:ext uri="{FF2B5EF4-FFF2-40B4-BE49-F238E27FC236}">
              <a16:creationId xmlns:a16="http://schemas.microsoft.com/office/drawing/2014/main" id="{B728C8B2-5FC6-43DC-AB8B-C93E7CF5245D}"/>
            </a:ext>
          </a:extLst>
        </xdr:cNvPr>
        <xdr:cNvSpPr txBox="1"/>
      </xdr:nvSpPr>
      <xdr:spPr>
        <a:xfrm>
          <a:off x="2781300" y="3724275"/>
          <a:ext cx="8286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8269AA-DFD3-4A3E-A071-FD8759D5D873}" type="TxLink">
            <a:rPr lang="en-US" sz="1800" b="0" i="0" u="none" strike="noStrike">
              <a:solidFill>
                <a:srgbClr val="000000"/>
              </a:solidFill>
              <a:latin typeface="Abadi" panose="020B0604020104020204" pitchFamily="34" charset="0"/>
              <a:cs typeface="Arial"/>
            </a:rPr>
            <a:pPr algn="ctr"/>
            <a:t>16,0B</a:t>
          </a:fld>
          <a:endParaRPr lang="en-US" sz="1800">
            <a:latin typeface="Abadi" panose="020B0604020104020204" pitchFamily="34" charset="0"/>
          </a:endParaRPr>
        </a:p>
      </xdr:txBody>
    </xdr:sp>
    <xdr:clientData/>
  </xdr:twoCellAnchor>
  <xdr:twoCellAnchor editAs="oneCell">
    <xdr:from>
      <xdr:col>4</xdr:col>
      <xdr:colOff>228600</xdr:colOff>
      <xdr:row>15</xdr:row>
      <xdr:rowOff>133350</xdr:rowOff>
    </xdr:from>
    <xdr:to>
      <xdr:col>4</xdr:col>
      <xdr:colOff>647699</xdr:colOff>
      <xdr:row>17</xdr:row>
      <xdr:rowOff>152399</xdr:rowOff>
    </xdr:to>
    <xdr:pic>
      <xdr:nvPicPr>
        <xdr:cNvPr id="113" name="Graphic 112" descr="Megaphone with solid fill">
          <a:extLst>
            <a:ext uri="{FF2B5EF4-FFF2-40B4-BE49-F238E27FC236}">
              <a16:creationId xmlns:a16="http://schemas.microsoft.com/office/drawing/2014/main" id="{CC1C6F5E-D21C-459D-85C3-C2B80488E393}"/>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2971800" y="3133725"/>
          <a:ext cx="419099" cy="419099"/>
        </a:xfrm>
        <a:prstGeom prst="rect">
          <a:avLst/>
        </a:prstGeom>
      </xdr:spPr>
    </xdr:pic>
    <xdr:clientData/>
  </xdr:twoCellAnchor>
  <xdr:twoCellAnchor>
    <xdr:from>
      <xdr:col>2</xdr:col>
      <xdr:colOff>521162</xdr:colOff>
      <xdr:row>23</xdr:row>
      <xdr:rowOff>85724</xdr:rowOff>
    </xdr:from>
    <xdr:to>
      <xdr:col>4</xdr:col>
      <xdr:colOff>542926</xdr:colOff>
      <xdr:row>24</xdr:row>
      <xdr:rowOff>171451</xdr:rowOff>
    </xdr:to>
    <xdr:sp macro="" textlink="'Pivot Tables'!CR3">
      <xdr:nvSpPr>
        <xdr:cNvPr id="114" name="TextBox 113">
          <a:extLst>
            <a:ext uri="{FF2B5EF4-FFF2-40B4-BE49-F238E27FC236}">
              <a16:creationId xmlns:a16="http://schemas.microsoft.com/office/drawing/2014/main" id="{F51589DF-8588-4FB1-B81A-210C7C48703A}"/>
            </a:ext>
          </a:extLst>
        </xdr:cNvPr>
        <xdr:cNvSpPr txBox="1"/>
      </xdr:nvSpPr>
      <xdr:spPr>
        <a:xfrm>
          <a:off x="1892762" y="46862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69BA84D-48E7-4FC5-844D-A44FC59BD8D7}" type="TxLink">
            <a:rPr lang="en-US" sz="1100" b="0" i="0" u="none" strike="noStrike">
              <a:solidFill>
                <a:sysClr val="windowText" lastClr="000000"/>
              </a:solidFill>
              <a:latin typeface="Abadi" panose="020B0604020104020204" pitchFamily="34" charset="0"/>
              <a:cs typeface="Arial"/>
            </a:rPr>
            <a:pPr algn="l"/>
            <a:t>Youtube Channel</a:t>
          </a:fld>
          <a:endParaRPr lang="en-US" sz="1200" b="0">
            <a:solidFill>
              <a:sysClr val="windowText" lastClr="000000"/>
            </a:solidFill>
            <a:latin typeface="Abadi" panose="020B0604020104020204" pitchFamily="34" charset="0"/>
          </a:endParaRPr>
        </a:p>
      </xdr:txBody>
    </xdr:sp>
    <xdr:clientData/>
  </xdr:twoCellAnchor>
  <xdr:twoCellAnchor>
    <xdr:from>
      <xdr:col>2</xdr:col>
      <xdr:colOff>521162</xdr:colOff>
      <xdr:row>25</xdr:row>
      <xdr:rowOff>152399</xdr:rowOff>
    </xdr:from>
    <xdr:to>
      <xdr:col>4</xdr:col>
      <xdr:colOff>542926</xdr:colOff>
      <xdr:row>27</xdr:row>
      <xdr:rowOff>38101</xdr:rowOff>
    </xdr:to>
    <xdr:sp macro="" textlink="'Pivot Tables'!CS3">
      <xdr:nvSpPr>
        <xdr:cNvPr id="115" name="TextBox 114">
          <a:extLst>
            <a:ext uri="{FF2B5EF4-FFF2-40B4-BE49-F238E27FC236}">
              <a16:creationId xmlns:a16="http://schemas.microsoft.com/office/drawing/2014/main" id="{10A6AB49-EE23-4024-8377-3C4C3453EA47}"/>
            </a:ext>
          </a:extLst>
        </xdr:cNvPr>
        <xdr:cNvSpPr txBox="1"/>
      </xdr:nvSpPr>
      <xdr:spPr>
        <a:xfrm>
          <a:off x="1892762" y="5153024"/>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9FBDEA4-CE07-4DD6-90E2-A32229D2D8B5}" type="TxLink">
            <a:rPr lang="en-US" sz="1100" b="0" i="0" u="none" strike="noStrike">
              <a:solidFill>
                <a:sysClr val="windowText" lastClr="000000"/>
              </a:solidFill>
              <a:latin typeface="Abadi" panose="020B0604020104020204" pitchFamily="34" charset="0"/>
              <a:cs typeface="Arial"/>
            </a:rPr>
            <a:pPr algn="l"/>
            <a:t>Google Ad</a:t>
          </a:fld>
          <a:endParaRPr lang="en-US" sz="1200" b="0">
            <a:solidFill>
              <a:sysClr val="windowText" lastClr="000000"/>
            </a:solidFill>
            <a:latin typeface="Abadi" panose="020B0604020104020204" pitchFamily="34" charset="0"/>
          </a:endParaRPr>
        </a:p>
      </xdr:txBody>
    </xdr:sp>
    <xdr:clientData/>
  </xdr:twoCellAnchor>
  <xdr:twoCellAnchor>
    <xdr:from>
      <xdr:col>2</xdr:col>
      <xdr:colOff>521162</xdr:colOff>
      <xdr:row>28</xdr:row>
      <xdr:rowOff>38099</xdr:rowOff>
    </xdr:from>
    <xdr:to>
      <xdr:col>4</xdr:col>
      <xdr:colOff>542926</xdr:colOff>
      <xdr:row>29</xdr:row>
      <xdr:rowOff>123826</xdr:rowOff>
    </xdr:to>
    <xdr:sp macro="" textlink="'Pivot Tables'!CT3">
      <xdr:nvSpPr>
        <xdr:cNvPr id="116" name="TextBox 115">
          <a:extLst>
            <a:ext uri="{FF2B5EF4-FFF2-40B4-BE49-F238E27FC236}">
              <a16:creationId xmlns:a16="http://schemas.microsoft.com/office/drawing/2014/main" id="{C607B5FD-D0CF-4930-91FC-4BBC5E50E918}"/>
            </a:ext>
          </a:extLst>
        </xdr:cNvPr>
        <xdr:cNvSpPr txBox="1"/>
      </xdr:nvSpPr>
      <xdr:spPr>
        <a:xfrm>
          <a:off x="1892762" y="56387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A209CD7-9115-4242-BD7D-330D0C61E13C}" type="TxLink">
            <a:rPr lang="en-US" sz="1100" b="0" i="0" u="none" strike="noStrike">
              <a:solidFill>
                <a:sysClr val="windowText" lastClr="000000"/>
              </a:solidFill>
              <a:latin typeface="Abadi" panose="020B0604020104020204" pitchFamily="34" charset="0"/>
              <a:cs typeface="Arial"/>
            </a:rPr>
            <a:pPr algn="l"/>
            <a:t>WhatsApp</a:t>
          </a:fld>
          <a:endParaRPr lang="en-US" sz="1200" b="0">
            <a:solidFill>
              <a:sysClr val="windowText" lastClr="000000"/>
            </a:solidFill>
            <a:latin typeface="Abadi" panose="020B0604020104020204" pitchFamily="34" charset="0"/>
          </a:endParaRPr>
        </a:p>
      </xdr:txBody>
    </xdr:sp>
    <xdr:clientData/>
  </xdr:twoCellAnchor>
  <xdr:twoCellAnchor>
    <xdr:from>
      <xdr:col>4</xdr:col>
      <xdr:colOff>497349</xdr:colOff>
      <xdr:row>23</xdr:row>
      <xdr:rowOff>85724</xdr:rowOff>
    </xdr:from>
    <xdr:to>
      <xdr:col>6</xdr:col>
      <xdr:colOff>519113</xdr:colOff>
      <xdr:row>24</xdr:row>
      <xdr:rowOff>171451</xdr:rowOff>
    </xdr:to>
    <xdr:sp macro="" textlink="'Pivot Tables'!CU3">
      <xdr:nvSpPr>
        <xdr:cNvPr id="117" name="TextBox 116">
          <a:extLst>
            <a:ext uri="{FF2B5EF4-FFF2-40B4-BE49-F238E27FC236}">
              <a16:creationId xmlns:a16="http://schemas.microsoft.com/office/drawing/2014/main" id="{19291BB4-44C5-4EC9-AA01-52AC44D0FEA0}"/>
            </a:ext>
          </a:extLst>
        </xdr:cNvPr>
        <xdr:cNvSpPr txBox="1"/>
      </xdr:nvSpPr>
      <xdr:spPr>
        <a:xfrm>
          <a:off x="3240549" y="46862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C0755CE-3424-48F6-BCDA-0664CBFCFCC2}" type="TxLink">
            <a:rPr lang="en-US" sz="1100" b="0" i="0" u="none" strike="noStrike">
              <a:solidFill>
                <a:sysClr val="windowText" lastClr="000000"/>
              </a:solidFill>
              <a:latin typeface="Abadi" panose="020B0604020104020204" pitchFamily="34" charset="0"/>
              <a:cs typeface="Arial"/>
            </a:rPr>
            <a:pPr algn="l"/>
            <a:t>Company Website</a:t>
          </a:fld>
          <a:endParaRPr lang="en-US" sz="1200" b="0">
            <a:solidFill>
              <a:sysClr val="windowText" lastClr="000000"/>
            </a:solidFill>
            <a:latin typeface="Abadi" panose="020B0604020104020204" pitchFamily="34" charset="0"/>
          </a:endParaRPr>
        </a:p>
      </xdr:txBody>
    </xdr:sp>
    <xdr:clientData/>
  </xdr:twoCellAnchor>
  <xdr:twoCellAnchor>
    <xdr:from>
      <xdr:col>4</xdr:col>
      <xdr:colOff>497349</xdr:colOff>
      <xdr:row>25</xdr:row>
      <xdr:rowOff>142874</xdr:rowOff>
    </xdr:from>
    <xdr:to>
      <xdr:col>6</xdr:col>
      <xdr:colOff>519113</xdr:colOff>
      <xdr:row>27</xdr:row>
      <xdr:rowOff>28576</xdr:rowOff>
    </xdr:to>
    <xdr:sp macro="" textlink="'Pivot Tables'!CV3">
      <xdr:nvSpPr>
        <xdr:cNvPr id="118" name="TextBox 117">
          <a:extLst>
            <a:ext uri="{FF2B5EF4-FFF2-40B4-BE49-F238E27FC236}">
              <a16:creationId xmlns:a16="http://schemas.microsoft.com/office/drawing/2014/main" id="{BD375215-6730-4962-80EE-942840269973}"/>
            </a:ext>
          </a:extLst>
        </xdr:cNvPr>
        <xdr:cNvSpPr txBox="1"/>
      </xdr:nvSpPr>
      <xdr:spPr>
        <a:xfrm>
          <a:off x="3240549" y="51434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63DBCCA-FE4C-4F78-B561-09B5D27DA946}" type="TxLink">
            <a:rPr lang="en-US" sz="1100" b="0" i="0" u="none" strike="noStrike">
              <a:solidFill>
                <a:sysClr val="windowText" lastClr="000000"/>
              </a:solidFill>
              <a:latin typeface="Abadi" panose="020B0604020104020204" pitchFamily="34" charset="0"/>
              <a:cs typeface="Arial"/>
            </a:rPr>
            <a:pPr algn="l"/>
            <a:t>Facebook Page</a:t>
          </a:fld>
          <a:endParaRPr lang="en-US" sz="1200" b="0">
            <a:solidFill>
              <a:sysClr val="windowText" lastClr="000000"/>
            </a:solidFill>
            <a:latin typeface="Abadi" panose="020B0604020104020204" pitchFamily="34" charset="0"/>
          </a:endParaRPr>
        </a:p>
      </xdr:txBody>
    </xdr:sp>
    <xdr:clientData/>
  </xdr:twoCellAnchor>
  <xdr:twoCellAnchor>
    <xdr:from>
      <xdr:col>4</xdr:col>
      <xdr:colOff>497349</xdr:colOff>
      <xdr:row>28</xdr:row>
      <xdr:rowOff>19049</xdr:rowOff>
    </xdr:from>
    <xdr:to>
      <xdr:col>6</xdr:col>
      <xdr:colOff>519113</xdr:colOff>
      <xdr:row>29</xdr:row>
      <xdr:rowOff>104776</xdr:rowOff>
    </xdr:to>
    <xdr:sp macro="" textlink="'Pivot Tables'!CW3">
      <xdr:nvSpPr>
        <xdr:cNvPr id="119" name="TextBox 118">
          <a:extLst>
            <a:ext uri="{FF2B5EF4-FFF2-40B4-BE49-F238E27FC236}">
              <a16:creationId xmlns:a16="http://schemas.microsoft.com/office/drawing/2014/main" id="{1BA2DE13-4F09-406D-ADAD-2EA11B8ADFE3}"/>
            </a:ext>
          </a:extLst>
        </xdr:cNvPr>
        <xdr:cNvSpPr txBox="1"/>
      </xdr:nvSpPr>
      <xdr:spPr>
        <a:xfrm>
          <a:off x="3240549" y="561974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CE0E1B6-8F24-45B7-9577-5B94E4CE9F02}" type="TxLink">
            <a:rPr lang="en-US" sz="1100" b="0" i="0" u="none" strike="noStrike">
              <a:solidFill>
                <a:sysClr val="windowText" lastClr="000000"/>
              </a:solidFill>
              <a:latin typeface="Abadi" panose="020B0604020104020204" pitchFamily="34" charset="0"/>
              <a:cs typeface="Arial"/>
            </a:rPr>
            <a:pPr algn="l"/>
            <a:t>Television Ad</a:t>
          </a:fld>
          <a:endParaRPr lang="en-US" sz="1200" b="0">
            <a:solidFill>
              <a:sysClr val="windowText" lastClr="000000"/>
            </a:solidFill>
            <a:latin typeface="Abadi" panose="020B0604020104020204" pitchFamily="34" charset="0"/>
          </a:endParaRPr>
        </a:p>
      </xdr:txBody>
    </xdr:sp>
    <xdr:clientData/>
  </xdr:twoCellAnchor>
  <xdr:twoCellAnchor>
    <xdr:from>
      <xdr:col>2</xdr:col>
      <xdr:colOff>521162</xdr:colOff>
      <xdr:row>24</xdr:row>
      <xdr:rowOff>114299</xdr:rowOff>
    </xdr:from>
    <xdr:to>
      <xdr:col>4</xdr:col>
      <xdr:colOff>542926</xdr:colOff>
      <xdr:row>26</xdr:row>
      <xdr:rowOff>1</xdr:rowOff>
    </xdr:to>
    <xdr:sp macro="" textlink="'Pivot Tables'!CR4">
      <xdr:nvSpPr>
        <xdr:cNvPr id="120" name="TextBox 119">
          <a:extLst>
            <a:ext uri="{FF2B5EF4-FFF2-40B4-BE49-F238E27FC236}">
              <a16:creationId xmlns:a16="http://schemas.microsoft.com/office/drawing/2014/main" id="{BD85B857-766A-400F-BCDE-B059C34E80D3}"/>
            </a:ext>
          </a:extLst>
        </xdr:cNvPr>
        <xdr:cNvSpPr txBox="1"/>
      </xdr:nvSpPr>
      <xdr:spPr>
        <a:xfrm>
          <a:off x="1892762" y="49148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469FBA7-6EAB-42ED-B97B-5367147C8755}" type="TxLink">
            <a:rPr lang="en-US" sz="1100" b="0" i="0" u="none" strike="noStrike">
              <a:solidFill>
                <a:srgbClr val="000000"/>
              </a:solidFill>
              <a:latin typeface="Abadi" panose="020B0604020104020204" pitchFamily="34" charset="0"/>
              <a:cs typeface="Arial"/>
            </a:rPr>
            <a:pPr algn="l"/>
            <a:t>806,0M</a:t>
          </a:fld>
          <a:endParaRPr lang="en-US" sz="1200">
            <a:solidFill>
              <a:sysClr val="windowText" lastClr="000000"/>
            </a:solidFill>
            <a:latin typeface="Abadi" panose="020B0604020104020204" pitchFamily="34" charset="0"/>
          </a:endParaRPr>
        </a:p>
      </xdr:txBody>
    </xdr:sp>
    <xdr:clientData/>
  </xdr:twoCellAnchor>
  <xdr:twoCellAnchor>
    <xdr:from>
      <xdr:col>2</xdr:col>
      <xdr:colOff>521162</xdr:colOff>
      <xdr:row>26</xdr:row>
      <xdr:rowOff>161924</xdr:rowOff>
    </xdr:from>
    <xdr:to>
      <xdr:col>4</xdr:col>
      <xdr:colOff>542926</xdr:colOff>
      <xdr:row>28</xdr:row>
      <xdr:rowOff>47626</xdr:rowOff>
    </xdr:to>
    <xdr:sp macro="" textlink="'Pivot Tables'!CS4">
      <xdr:nvSpPr>
        <xdr:cNvPr id="121" name="TextBox 120">
          <a:extLst>
            <a:ext uri="{FF2B5EF4-FFF2-40B4-BE49-F238E27FC236}">
              <a16:creationId xmlns:a16="http://schemas.microsoft.com/office/drawing/2014/main" id="{943ED378-64A6-4398-B4BF-00D981500A4A}"/>
            </a:ext>
          </a:extLst>
        </xdr:cNvPr>
        <xdr:cNvSpPr txBox="1"/>
      </xdr:nvSpPr>
      <xdr:spPr>
        <a:xfrm>
          <a:off x="1892762" y="5362574"/>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080D11-55FD-4999-88F3-32842287BA22}" type="TxLink">
            <a:rPr lang="en-US" sz="1100" b="0" i="0" u="none" strike="noStrike">
              <a:solidFill>
                <a:srgbClr val="000000"/>
              </a:solidFill>
              <a:latin typeface="Abadi" panose="020B0604020104020204" pitchFamily="34" charset="0"/>
              <a:cs typeface="Arial"/>
            </a:rPr>
            <a:pPr algn="l"/>
            <a:t>1,8B</a:t>
          </a:fld>
          <a:endParaRPr lang="en-US" sz="1200">
            <a:solidFill>
              <a:sysClr val="windowText" lastClr="000000"/>
            </a:solidFill>
            <a:latin typeface="Abadi" panose="020B0604020104020204" pitchFamily="34" charset="0"/>
          </a:endParaRPr>
        </a:p>
      </xdr:txBody>
    </xdr:sp>
    <xdr:clientData/>
  </xdr:twoCellAnchor>
  <xdr:twoCellAnchor>
    <xdr:from>
      <xdr:col>2</xdr:col>
      <xdr:colOff>521162</xdr:colOff>
      <xdr:row>29</xdr:row>
      <xdr:rowOff>47624</xdr:rowOff>
    </xdr:from>
    <xdr:to>
      <xdr:col>4</xdr:col>
      <xdr:colOff>542926</xdr:colOff>
      <xdr:row>30</xdr:row>
      <xdr:rowOff>133351</xdr:rowOff>
    </xdr:to>
    <xdr:sp macro="" textlink="'Pivot Tables'!CT4">
      <xdr:nvSpPr>
        <xdr:cNvPr id="122" name="TextBox 121">
          <a:extLst>
            <a:ext uri="{FF2B5EF4-FFF2-40B4-BE49-F238E27FC236}">
              <a16:creationId xmlns:a16="http://schemas.microsoft.com/office/drawing/2014/main" id="{F4F6DF71-8543-4128-B2DD-D13B8C45D570}"/>
            </a:ext>
          </a:extLst>
        </xdr:cNvPr>
        <xdr:cNvSpPr txBox="1"/>
      </xdr:nvSpPr>
      <xdr:spPr>
        <a:xfrm>
          <a:off x="1892762" y="584834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4BDF502-8081-42FC-9CB3-AD794C51EA67}" type="TxLink">
            <a:rPr lang="en-US" sz="1100" b="0" i="0" u="none" strike="noStrike">
              <a:solidFill>
                <a:srgbClr val="000000"/>
              </a:solidFill>
              <a:latin typeface="Abadi" panose="020B0604020104020204" pitchFamily="34" charset="0"/>
              <a:cs typeface="Arial"/>
            </a:rPr>
            <a:pPr algn="l"/>
            <a:t>2,5B</a:t>
          </a:fld>
          <a:endParaRPr lang="en-US" sz="1200">
            <a:solidFill>
              <a:sysClr val="windowText" lastClr="000000"/>
            </a:solidFill>
            <a:latin typeface="Abadi" panose="020B0604020104020204" pitchFamily="34" charset="0"/>
          </a:endParaRPr>
        </a:p>
      </xdr:txBody>
    </xdr:sp>
    <xdr:clientData/>
  </xdr:twoCellAnchor>
  <xdr:twoCellAnchor>
    <xdr:from>
      <xdr:col>4</xdr:col>
      <xdr:colOff>497349</xdr:colOff>
      <xdr:row>24</xdr:row>
      <xdr:rowOff>114299</xdr:rowOff>
    </xdr:from>
    <xdr:to>
      <xdr:col>6</xdr:col>
      <xdr:colOff>519113</xdr:colOff>
      <xdr:row>26</xdr:row>
      <xdr:rowOff>1</xdr:rowOff>
    </xdr:to>
    <xdr:sp macro="" textlink="'Pivot Tables'!CU4">
      <xdr:nvSpPr>
        <xdr:cNvPr id="123" name="TextBox 122">
          <a:extLst>
            <a:ext uri="{FF2B5EF4-FFF2-40B4-BE49-F238E27FC236}">
              <a16:creationId xmlns:a16="http://schemas.microsoft.com/office/drawing/2014/main" id="{80D852AA-DD00-4175-8A43-895B3A671772}"/>
            </a:ext>
          </a:extLst>
        </xdr:cNvPr>
        <xdr:cNvSpPr txBox="1"/>
      </xdr:nvSpPr>
      <xdr:spPr>
        <a:xfrm>
          <a:off x="3240549" y="4914899"/>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6F4D48D-B7BF-425F-A6C3-69A05422D52D}" type="TxLink">
            <a:rPr lang="en-US" sz="1100" b="0" i="0" u="none" strike="noStrike">
              <a:solidFill>
                <a:srgbClr val="000000"/>
              </a:solidFill>
              <a:latin typeface="Abadi" panose="020B0604020104020204" pitchFamily="34" charset="0"/>
              <a:cs typeface="Arial"/>
            </a:rPr>
            <a:pPr algn="l"/>
            <a:t>2,7B</a:t>
          </a:fld>
          <a:endParaRPr lang="en-US" sz="1200">
            <a:solidFill>
              <a:sysClr val="windowText" lastClr="000000"/>
            </a:solidFill>
            <a:latin typeface="Abadi" panose="020B0604020104020204" pitchFamily="34" charset="0"/>
          </a:endParaRPr>
        </a:p>
      </xdr:txBody>
    </xdr:sp>
    <xdr:clientData/>
  </xdr:twoCellAnchor>
  <xdr:twoCellAnchor>
    <xdr:from>
      <xdr:col>4</xdr:col>
      <xdr:colOff>497349</xdr:colOff>
      <xdr:row>26</xdr:row>
      <xdr:rowOff>161924</xdr:rowOff>
    </xdr:from>
    <xdr:to>
      <xdr:col>6</xdr:col>
      <xdr:colOff>519113</xdr:colOff>
      <xdr:row>28</xdr:row>
      <xdr:rowOff>47626</xdr:rowOff>
    </xdr:to>
    <xdr:sp macro="" textlink="'Pivot Tables'!CV4">
      <xdr:nvSpPr>
        <xdr:cNvPr id="124" name="TextBox 123">
          <a:extLst>
            <a:ext uri="{FF2B5EF4-FFF2-40B4-BE49-F238E27FC236}">
              <a16:creationId xmlns:a16="http://schemas.microsoft.com/office/drawing/2014/main" id="{5E831F20-D4E6-4398-BE2F-74FE3E7FE101}"/>
            </a:ext>
          </a:extLst>
        </xdr:cNvPr>
        <xdr:cNvSpPr txBox="1"/>
      </xdr:nvSpPr>
      <xdr:spPr>
        <a:xfrm>
          <a:off x="3240549" y="5362574"/>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6C99D0B-7629-47E2-8177-5ACEEED9F243}" type="TxLink">
            <a:rPr lang="en-US" sz="1100" b="0" i="0" u="none" strike="noStrike">
              <a:solidFill>
                <a:srgbClr val="000000"/>
              </a:solidFill>
              <a:latin typeface="Abadi" panose="020B0604020104020204" pitchFamily="34" charset="0"/>
              <a:cs typeface="Arial"/>
            </a:rPr>
            <a:pPr algn="l"/>
            <a:t>3,5B</a:t>
          </a:fld>
          <a:endParaRPr lang="en-US" sz="1200">
            <a:solidFill>
              <a:sysClr val="windowText" lastClr="000000"/>
            </a:solidFill>
            <a:latin typeface="Abadi" panose="020B0604020104020204" pitchFamily="34" charset="0"/>
          </a:endParaRPr>
        </a:p>
      </xdr:txBody>
    </xdr:sp>
    <xdr:clientData/>
  </xdr:twoCellAnchor>
  <xdr:twoCellAnchor>
    <xdr:from>
      <xdr:col>4</xdr:col>
      <xdr:colOff>497349</xdr:colOff>
      <xdr:row>28</xdr:row>
      <xdr:rowOff>200024</xdr:rowOff>
    </xdr:from>
    <xdr:to>
      <xdr:col>6</xdr:col>
      <xdr:colOff>519113</xdr:colOff>
      <xdr:row>30</xdr:row>
      <xdr:rowOff>85726</xdr:rowOff>
    </xdr:to>
    <xdr:sp macro="" textlink="'Pivot Tables'!CW4">
      <xdr:nvSpPr>
        <xdr:cNvPr id="125" name="TextBox 124">
          <a:extLst>
            <a:ext uri="{FF2B5EF4-FFF2-40B4-BE49-F238E27FC236}">
              <a16:creationId xmlns:a16="http://schemas.microsoft.com/office/drawing/2014/main" id="{0CB4C844-4ECB-43D7-88CD-49E015BCDEFF}"/>
            </a:ext>
          </a:extLst>
        </xdr:cNvPr>
        <xdr:cNvSpPr txBox="1"/>
      </xdr:nvSpPr>
      <xdr:spPr>
        <a:xfrm>
          <a:off x="3240549" y="5800724"/>
          <a:ext cx="1393364" cy="28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0E765CF-0E14-4FF2-9547-2EFE43FB464D}" type="TxLink">
            <a:rPr lang="en-US" sz="1100" b="0" i="0" u="none" strike="noStrike">
              <a:solidFill>
                <a:srgbClr val="000000"/>
              </a:solidFill>
              <a:latin typeface="Abadi" panose="020B0604020104020204" pitchFamily="34" charset="0"/>
              <a:cs typeface="Arial"/>
            </a:rPr>
            <a:pPr algn="l"/>
            <a:t>4,6B</a:t>
          </a:fld>
          <a:endParaRPr lang="en-US" sz="1200">
            <a:solidFill>
              <a:sysClr val="windowText" lastClr="000000"/>
            </a:solidFill>
            <a:latin typeface="Abadi" panose="020B0604020104020204" pitchFamily="34" charset="0"/>
          </a:endParaRPr>
        </a:p>
      </xdr:txBody>
    </xdr:sp>
    <xdr:clientData/>
  </xdr:twoCellAnchor>
  <xdr:twoCellAnchor>
    <xdr:from>
      <xdr:col>2</xdr:col>
      <xdr:colOff>295275</xdr:colOff>
      <xdr:row>30</xdr:row>
      <xdr:rowOff>171451</xdr:rowOff>
    </xdr:from>
    <xdr:to>
      <xdr:col>6</xdr:col>
      <xdr:colOff>371475</xdr:colOff>
      <xdr:row>35</xdr:row>
      <xdr:rowOff>95250</xdr:rowOff>
    </xdr:to>
    <xdr:sp macro="" textlink="">
      <xdr:nvSpPr>
        <xdr:cNvPr id="126" name="Rectangle: Rounded Corners 125">
          <a:extLst>
            <a:ext uri="{FF2B5EF4-FFF2-40B4-BE49-F238E27FC236}">
              <a16:creationId xmlns:a16="http://schemas.microsoft.com/office/drawing/2014/main" id="{554F4287-65C5-4949-89DD-19EF6D5BCB5E}"/>
            </a:ext>
          </a:extLst>
        </xdr:cNvPr>
        <xdr:cNvSpPr/>
      </xdr:nvSpPr>
      <xdr:spPr>
        <a:xfrm>
          <a:off x="1666875" y="6172201"/>
          <a:ext cx="2819400" cy="923924"/>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2</xdr:col>
      <xdr:colOff>283036</xdr:colOff>
      <xdr:row>30</xdr:row>
      <xdr:rowOff>171450</xdr:rowOff>
    </xdr:from>
    <xdr:to>
      <xdr:col>4</xdr:col>
      <xdr:colOff>511636</xdr:colOff>
      <xdr:row>33</xdr:row>
      <xdr:rowOff>47624</xdr:rowOff>
    </xdr:to>
    <xdr:sp macro="" textlink="">
      <xdr:nvSpPr>
        <xdr:cNvPr id="127" name="TextBox 126">
          <a:extLst>
            <a:ext uri="{FF2B5EF4-FFF2-40B4-BE49-F238E27FC236}">
              <a16:creationId xmlns:a16="http://schemas.microsoft.com/office/drawing/2014/main" id="{B95084CF-DA18-46B5-B686-468A843EDD7D}"/>
            </a:ext>
          </a:extLst>
        </xdr:cNvPr>
        <xdr:cNvSpPr txBox="1"/>
      </xdr:nvSpPr>
      <xdr:spPr>
        <a:xfrm>
          <a:off x="1654636" y="6172200"/>
          <a:ext cx="1600200"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badi" panose="020B0604020104020204" pitchFamily="34" charset="0"/>
            </a:rPr>
            <a:t>Average calls</a:t>
          </a:r>
          <a:r>
            <a:rPr lang="en-US" sz="1200" baseline="0">
              <a:latin typeface="Abadi" panose="020B0604020104020204" pitchFamily="34" charset="0"/>
            </a:rPr>
            <a:t> per month</a:t>
          </a:r>
          <a:endParaRPr lang="en-US" sz="1200">
            <a:latin typeface="Abadi" panose="020B0604020104020204" pitchFamily="34" charset="0"/>
          </a:endParaRPr>
        </a:p>
      </xdr:txBody>
    </xdr:sp>
    <xdr:clientData/>
  </xdr:twoCellAnchor>
  <xdr:twoCellAnchor>
    <xdr:from>
      <xdr:col>2</xdr:col>
      <xdr:colOff>473537</xdr:colOff>
      <xdr:row>31</xdr:row>
      <xdr:rowOff>123825</xdr:rowOff>
    </xdr:from>
    <xdr:to>
      <xdr:col>6</xdr:col>
      <xdr:colOff>276225</xdr:colOff>
      <xdr:row>34</xdr:row>
      <xdr:rowOff>180975</xdr:rowOff>
    </xdr:to>
    <xdr:graphicFrame macro="">
      <xdr:nvGraphicFramePr>
        <xdr:cNvPr id="128" name="Chart 127">
          <a:extLst>
            <a:ext uri="{FF2B5EF4-FFF2-40B4-BE49-F238E27FC236}">
              <a16:creationId xmlns:a16="http://schemas.microsoft.com/office/drawing/2014/main" id="{972B6C36-8E51-4420-BA35-A5087E9B4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xdr:col>
      <xdr:colOff>673561</xdr:colOff>
      <xdr:row>31</xdr:row>
      <xdr:rowOff>123825</xdr:rowOff>
    </xdr:from>
    <xdr:to>
      <xdr:col>5</xdr:col>
      <xdr:colOff>114300</xdr:colOff>
      <xdr:row>33</xdr:row>
      <xdr:rowOff>57150</xdr:rowOff>
    </xdr:to>
    <xdr:sp macro="" textlink="'Pivot Tables'!$DD$6">
      <xdr:nvSpPr>
        <xdr:cNvPr id="129" name="TextBox 128">
          <a:extLst>
            <a:ext uri="{FF2B5EF4-FFF2-40B4-BE49-F238E27FC236}">
              <a16:creationId xmlns:a16="http://schemas.microsoft.com/office/drawing/2014/main" id="{761C90C2-B230-4EBA-B9B0-5A186FF465AE}"/>
            </a:ext>
          </a:extLst>
        </xdr:cNvPr>
        <xdr:cNvSpPr txBox="1"/>
      </xdr:nvSpPr>
      <xdr:spPr>
        <a:xfrm>
          <a:off x="2730961" y="6324600"/>
          <a:ext cx="81233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2F49EF-A401-4626-A0AD-B646BDA2B544}" type="TxLink">
            <a:rPr lang="en-US" sz="2000" b="0" i="0" u="none" strike="noStrike">
              <a:solidFill>
                <a:srgbClr val="7030A0"/>
              </a:solidFill>
              <a:latin typeface="Abadi" panose="020B0604020104020204" pitchFamily="34" charset="0"/>
              <a:cs typeface="Arial"/>
            </a:rPr>
            <a:pPr/>
            <a:t>103</a:t>
          </a:fld>
          <a:endParaRPr lang="en-US" sz="2400">
            <a:solidFill>
              <a:srgbClr val="7030A0"/>
            </a:solidFill>
            <a:latin typeface="Abadi" panose="020B0604020104020204" pitchFamily="34" charset="0"/>
          </a:endParaRPr>
        </a:p>
      </xdr:txBody>
    </xdr:sp>
    <xdr:clientData/>
  </xdr:twoCellAnchor>
  <xdr:twoCellAnchor>
    <xdr:from>
      <xdr:col>4</xdr:col>
      <xdr:colOff>514350</xdr:colOff>
      <xdr:row>32</xdr:row>
      <xdr:rowOff>38100</xdr:rowOff>
    </xdr:from>
    <xdr:to>
      <xdr:col>5</xdr:col>
      <xdr:colOff>323850</xdr:colOff>
      <xdr:row>33</xdr:row>
      <xdr:rowOff>47625</xdr:rowOff>
    </xdr:to>
    <xdr:sp macro="" textlink="'Pivot Tables'!$DD$6">
      <xdr:nvSpPr>
        <xdr:cNvPr id="130" name="TextBox 129">
          <a:extLst>
            <a:ext uri="{FF2B5EF4-FFF2-40B4-BE49-F238E27FC236}">
              <a16:creationId xmlns:a16="http://schemas.microsoft.com/office/drawing/2014/main" id="{CF001619-A26B-4C8F-AFFF-DE8C4B03D9DA}"/>
            </a:ext>
          </a:extLst>
        </xdr:cNvPr>
        <xdr:cNvSpPr txBox="1"/>
      </xdr:nvSpPr>
      <xdr:spPr>
        <a:xfrm>
          <a:off x="3257550" y="6438900"/>
          <a:ext cx="495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lumMod val="50000"/>
                </a:schemeClr>
              </a:solidFill>
              <a:latin typeface="Abadi" panose="020B0604020104020204" pitchFamily="34" charset="0"/>
            </a:rPr>
            <a:t>calls</a:t>
          </a:r>
        </a:p>
      </xdr:txBody>
    </xdr:sp>
    <xdr:clientData/>
  </xdr:twoCellAnchor>
  <xdr:twoCellAnchor>
    <xdr:from>
      <xdr:col>2</xdr:col>
      <xdr:colOff>457200</xdr:colOff>
      <xdr:row>23</xdr:row>
      <xdr:rowOff>171450</xdr:rowOff>
    </xdr:from>
    <xdr:to>
      <xdr:col>2</xdr:col>
      <xdr:colOff>552450</xdr:colOff>
      <xdr:row>24</xdr:row>
      <xdr:rowOff>57150</xdr:rowOff>
    </xdr:to>
    <xdr:sp macro="" textlink="">
      <xdr:nvSpPr>
        <xdr:cNvPr id="131" name="Flowchart: Connector 130">
          <a:extLst>
            <a:ext uri="{FF2B5EF4-FFF2-40B4-BE49-F238E27FC236}">
              <a16:creationId xmlns:a16="http://schemas.microsoft.com/office/drawing/2014/main" id="{5AD86CCB-431B-492A-ABED-4EBADE29DD32}"/>
            </a:ext>
          </a:extLst>
        </xdr:cNvPr>
        <xdr:cNvSpPr/>
      </xdr:nvSpPr>
      <xdr:spPr>
        <a:xfrm>
          <a:off x="1828800" y="4772025"/>
          <a:ext cx="95250" cy="85725"/>
        </a:xfrm>
        <a:prstGeom prst="flowChartConnector">
          <a:avLst/>
        </a:prstGeom>
        <a:solidFill>
          <a:srgbClr val="00B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xdr:from>
      <xdr:col>2</xdr:col>
      <xdr:colOff>457200</xdr:colOff>
      <xdr:row>26</xdr:row>
      <xdr:rowOff>47625</xdr:rowOff>
    </xdr:from>
    <xdr:to>
      <xdr:col>2</xdr:col>
      <xdr:colOff>552450</xdr:colOff>
      <xdr:row>26</xdr:row>
      <xdr:rowOff>133350</xdr:rowOff>
    </xdr:to>
    <xdr:sp macro="" textlink="">
      <xdr:nvSpPr>
        <xdr:cNvPr id="132" name="Flowchart: Connector 131">
          <a:extLst>
            <a:ext uri="{FF2B5EF4-FFF2-40B4-BE49-F238E27FC236}">
              <a16:creationId xmlns:a16="http://schemas.microsoft.com/office/drawing/2014/main" id="{2642442B-DB99-465F-A033-37070AFB7098}"/>
            </a:ext>
          </a:extLst>
        </xdr:cNvPr>
        <xdr:cNvSpPr/>
      </xdr:nvSpPr>
      <xdr:spPr>
        <a:xfrm>
          <a:off x="1828800" y="5248275"/>
          <a:ext cx="95250" cy="85725"/>
        </a:xfrm>
        <a:prstGeom prst="flowChartConnector">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xdr:from>
      <xdr:col>2</xdr:col>
      <xdr:colOff>447675</xdr:colOff>
      <xdr:row>28</xdr:row>
      <xdr:rowOff>142875</xdr:rowOff>
    </xdr:from>
    <xdr:to>
      <xdr:col>2</xdr:col>
      <xdr:colOff>542925</xdr:colOff>
      <xdr:row>29</xdr:row>
      <xdr:rowOff>28575</xdr:rowOff>
    </xdr:to>
    <xdr:sp macro="" textlink="">
      <xdr:nvSpPr>
        <xdr:cNvPr id="133" name="Flowchart: Connector 132">
          <a:extLst>
            <a:ext uri="{FF2B5EF4-FFF2-40B4-BE49-F238E27FC236}">
              <a16:creationId xmlns:a16="http://schemas.microsoft.com/office/drawing/2014/main" id="{DC14C841-1F53-4D63-907A-392AE1065961}"/>
            </a:ext>
          </a:extLst>
        </xdr:cNvPr>
        <xdr:cNvSpPr/>
      </xdr:nvSpPr>
      <xdr:spPr>
        <a:xfrm>
          <a:off x="1819275" y="5743575"/>
          <a:ext cx="95250" cy="85725"/>
        </a:xfrm>
        <a:prstGeom prst="flowChartConnector">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xdr:from>
      <xdr:col>4</xdr:col>
      <xdr:colOff>447675</xdr:colOff>
      <xdr:row>24</xdr:row>
      <xdr:rowOff>0</xdr:rowOff>
    </xdr:from>
    <xdr:to>
      <xdr:col>4</xdr:col>
      <xdr:colOff>542925</xdr:colOff>
      <xdr:row>24</xdr:row>
      <xdr:rowOff>85725</xdr:rowOff>
    </xdr:to>
    <xdr:sp macro="" textlink="">
      <xdr:nvSpPr>
        <xdr:cNvPr id="134" name="Flowchart: Connector 133">
          <a:extLst>
            <a:ext uri="{FF2B5EF4-FFF2-40B4-BE49-F238E27FC236}">
              <a16:creationId xmlns:a16="http://schemas.microsoft.com/office/drawing/2014/main" id="{0F292940-AAE1-440C-AC1F-076910CCC943}"/>
            </a:ext>
          </a:extLst>
        </xdr:cNvPr>
        <xdr:cNvSpPr/>
      </xdr:nvSpPr>
      <xdr:spPr>
        <a:xfrm>
          <a:off x="3190875" y="4800600"/>
          <a:ext cx="95250" cy="85725"/>
        </a:xfrm>
        <a:prstGeom prst="flowChartConnector">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xdr:from>
      <xdr:col>4</xdr:col>
      <xdr:colOff>428625</xdr:colOff>
      <xdr:row>26</xdr:row>
      <xdr:rowOff>28575</xdr:rowOff>
    </xdr:from>
    <xdr:to>
      <xdr:col>4</xdr:col>
      <xdr:colOff>523875</xdr:colOff>
      <xdr:row>26</xdr:row>
      <xdr:rowOff>114300</xdr:rowOff>
    </xdr:to>
    <xdr:sp macro="" textlink="">
      <xdr:nvSpPr>
        <xdr:cNvPr id="135" name="Flowchart: Connector 134">
          <a:extLst>
            <a:ext uri="{FF2B5EF4-FFF2-40B4-BE49-F238E27FC236}">
              <a16:creationId xmlns:a16="http://schemas.microsoft.com/office/drawing/2014/main" id="{845D88B1-1AAE-40C2-9236-9EE0E931B259}"/>
            </a:ext>
          </a:extLst>
        </xdr:cNvPr>
        <xdr:cNvSpPr/>
      </xdr:nvSpPr>
      <xdr:spPr>
        <a:xfrm>
          <a:off x="3171825" y="5229225"/>
          <a:ext cx="95250" cy="85725"/>
        </a:xfrm>
        <a:prstGeom prst="flowChartConnector">
          <a:avLst/>
        </a:prstGeom>
        <a:solidFill>
          <a:srgbClr val="FF7C8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xdr:from>
      <xdr:col>4</xdr:col>
      <xdr:colOff>428625</xdr:colOff>
      <xdr:row>28</xdr:row>
      <xdr:rowOff>123825</xdr:rowOff>
    </xdr:from>
    <xdr:to>
      <xdr:col>4</xdr:col>
      <xdr:colOff>523875</xdr:colOff>
      <xdr:row>29</xdr:row>
      <xdr:rowOff>9525</xdr:rowOff>
    </xdr:to>
    <xdr:sp macro="" textlink="">
      <xdr:nvSpPr>
        <xdr:cNvPr id="136" name="Flowchart: Connector 135">
          <a:extLst>
            <a:ext uri="{FF2B5EF4-FFF2-40B4-BE49-F238E27FC236}">
              <a16:creationId xmlns:a16="http://schemas.microsoft.com/office/drawing/2014/main" id="{D5B31EB5-1CE4-48C4-9200-FA1BA6808A4A}"/>
            </a:ext>
          </a:extLst>
        </xdr:cNvPr>
        <xdr:cNvSpPr/>
      </xdr:nvSpPr>
      <xdr:spPr>
        <a:xfrm>
          <a:off x="3171825" y="5724525"/>
          <a:ext cx="95250" cy="85725"/>
        </a:xfrm>
        <a:prstGeom prst="flowChartConnector">
          <a:avLst/>
        </a:prstGeom>
        <a:solidFill>
          <a:srgbClr val="8D7EF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626"/>
            </a:solidFill>
          </a:endParaRPr>
        </a:p>
      </xdr:txBody>
    </xdr:sp>
    <xdr:clientData/>
  </xdr:twoCellAnchor>
  <xdr:twoCellAnchor>
    <xdr:from>
      <xdr:col>18</xdr:col>
      <xdr:colOff>314326</xdr:colOff>
      <xdr:row>35</xdr:row>
      <xdr:rowOff>161925</xdr:rowOff>
    </xdr:from>
    <xdr:to>
      <xdr:col>26</xdr:col>
      <xdr:colOff>276226</xdr:colOff>
      <xdr:row>48</xdr:row>
      <xdr:rowOff>38100</xdr:rowOff>
    </xdr:to>
    <xdr:sp macro="" textlink="">
      <xdr:nvSpPr>
        <xdr:cNvPr id="137" name="Rectangle: Rounded Corners 136">
          <a:extLst>
            <a:ext uri="{FF2B5EF4-FFF2-40B4-BE49-F238E27FC236}">
              <a16:creationId xmlns:a16="http://schemas.microsoft.com/office/drawing/2014/main" id="{480F500C-61A2-4095-94F5-FBB23F07D58A}"/>
            </a:ext>
          </a:extLst>
        </xdr:cNvPr>
        <xdr:cNvSpPr/>
      </xdr:nvSpPr>
      <xdr:spPr>
        <a:xfrm>
          <a:off x="12658726" y="7162800"/>
          <a:ext cx="5448300" cy="247650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18</xdr:col>
      <xdr:colOff>390525</xdr:colOff>
      <xdr:row>39</xdr:row>
      <xdr:rowOff>38099</xdr:rowOff>
    </xdr:from>
    <xdr:to>
      <xdr:col>26</xdr:col>
      <xdr:colOff>342900</xdr:colOff>
      <xdr:row>47</xdr:row>
      <xdr:rowOff>38100</xdr:rowOff>
    </xdr:to>
    <xdr:graphicFrame macro="">
      <xdr:nvGraphicFramePr>
        <xdr:cNvPr id="138" name="Chart 137">
          <a:extLst>
            <a:ext uri="{FF2B5EF4-FFF2-40B4-BE49-F238E27FC236}">
              <a16:creationId xmlns:a16="http://schemas.microsoft.com/office/drawing/2014/main" id="{4DA3DDE8-34DF-40CA-87A8-601E49C16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19</xdr:col>
      <xdr:colOff>28575</xdr:colOff>
      <xdr:row>36</xdr:row>
      <xdr:rowOff>0</xdr:rowOff>
    </xdr:from>
    <xdr:to>
      <xdr:col>21</xdr:col>
      <xdr:colOff>171450</xdr:colOff>
      <xdr:row>38</xdr:row>
      <xdr:rowOff>133350</xdr:rowOff>
    </xdr:to>
    <xdr:sp macro="" textlink="">
      <xdr:nvSpPr>
        <xdr:cNvPr id="139" name="Rectangle: Single Corner Rounded 138">
          <a:extLst>
            <a:ext uri="{FF2B5EF4-FFF2-40B4-BE49-F238E27FC236}">
              <a16:creationId xmlns:a16="http://schemas.microsoft.com/office/drawing/2014/main" id="{A695072D-7D14-4AE0-8CCF-132F2C14D342}"/>
            </a:ext>
          </a:extLst>
        </xdr:cNvPr>
        <xdr:cNvSpPr/>
      </xdr:nvSpPr>
      <xdr:spPr>
        <a:xfrm>
          <a:off x="13058775" y="7200900"/>
          <a:ext cx="1514475" cy="533400"/>
        </a:xfrm>
        <a:prstGeom prst="round1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552451</xdr:colOff>
      <xdr:row>36</xdr:row>
      <xdr:rowOff>57150</xdr:rowOff>
    </xdr:from>
    <xdr:to>
      <xdr:col>21</xdr:col>
      <xdr:colOff>247650</xdr:colOff>
      <xdr:row>38</xdr:row>
      <xdr:rowOff>142875</xdr:rowOff>
    </xdr:to>
    <xdr:sp macro="" textlink="">
      <xdr:nvSpPr>
        <xdr:cNvPr id="140" name="TextBox 139">
          <a:extLst>
            <a:ext uri="{FF2B5EF4-FFF2-40B4-BE49-F238E27FC236}">
              <a16:creationId xmlns:a16="http://schemas.microsoft.com/office/drawing/2014/main" id="{DF17167B-7C85-4D81-B3A4-3833206C2D3D}"/>
            </a:ext>
          </a:extLst>
        </xdr:cNvPr>
        <xdr:cNvSpPr txBox="1"/>
      </xdr:nvSpPr>
      <xdr:spPr>
        <a:xfrm>
          <a:off x="13582651" y="7258050"/>
          <a:ext cx="10667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badi" panose="020B0604020104020204" pitchFamily="34" charset="0"/>
            </a:rPr>
            <a:t>Total Advertisement</a:t>
          </a:r>
        </a:p>
      </xdr:txBody>
    </xdr:sp>
    <xdr:clientData/>
  </xdr:twoCellAnchor>
  <xdr:twoCellAnchor>
    <xdr:from>
      <xdr:col>18</xdr:col>
      <xdr:colOff>676277</xdr:colOff>
      <xdr:row>36</xdr:row>
      <xdr:rowOff>47625</xdr:rowOff>
    </xdr:from>
    <xdr:to>
      <xdr:col>19</xdr:col>
      <xdr:colOff>628651</xdr:colOff>
      <xdr:row>38</xdr:row>
      <xdr:rowOff>114300</xdr:rowOff>
    </xdr:to>
    <xdr:sp macro="" textlink="'Pivot Tables'!DI24">
      <xdr:nvSpPr>
        <xdr:cNvPr id="141" name="TextBox 140">
          <a:extLst>
            <a:ext uri="{FF2B5EF4-FFF2-40B4-BE49-F238E27FC236}">
              <a16:creationId xmlns:a16="http://schemas.microsoft.com/office/drawing/2014/main" id="{05815229-6795-423D-8E1C-302B545247B0}"/>
            </a:ext>
          </a:extLst>
        </xdr:cNvPr>
        <xdr:cNvSpPr txBox="1"/>
      </xdr:nvSpPr>
      <xdr:spPr>
        <a:xfrm>
          <a:off x="13020677" y="7248525"/>
          <a:ext cx="638174"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E90175-6148-4A6E-9485-E4D0ED1D01C3}" type="TxLink">
            <a:rPr lang="en-US" sz="2400" b="0" i="0" u="none" strike="noStrike">
              <a:solidFill>
                <a:schemeClr val="bg1"/>
              </a:solidFill>
              <a:latin typeface="Abadi" panose="020B0604020104020204" pitchFamily="34" charset="0"/>
              <a:ea typeface="Calibri"/>
              <a:cs typeface="Calibri"/>
            </a:rPr>
            <a:pPr algn="ctr"/>
            <a:t>5</a:t>
          </a:fld>
          <a:endParaRPr lang="en-US" sz="2000">
            <a:solidFill>
              <a:schemeClr val="bg1"/>
            </a:solidFill>
            <a:latin typeface="Abadi" panose="020B0604020104020204" pitchFamily="34" charset="0"/>
          </a:endParaRPr>
        </a:p>
      </xdr:txBody>
    </xdr:sp>
    <xdr:clientData/>
  </xdr:twoCellAnchor>
  <xdr:twoCellAnchor>
    <xdr:from>
      <xdr:col>13</xdr:col>
      <xdr:colOff>666750</xdr:colOff>
      <xdr:row>11</xdr:row>
      <xdr:rowOff>85725</xdr:rowOff>
    </xdr:from>
    <xdr:to>
      <xdr:col>18</xdr:col>
      <xdr:colOff>400049</xdr:colOff>
      <xdr:row>22</xdr:row>
      <xdr:rowOff>152400</xdr:rowOff>
    </xdr:to>
    <xdr:sp macro="" textlink="">
      <xdr:nvSpPr>
        <xdr:cNvPr id="142" name="Rectangle: Rounded Corners 141">
          <a:extLst>
            <a:ext uri="{FF2B5EF4-FFF2-40B4-BE49-F238E27FC236}">
              <a16:creationId xmlns:a16="http://schemas.microsoft.com/office/drawing/2014/main" id="{EA30DCE1-9B81-4331-B3B1-F1A5CE4CE2D3}"/>
            </a:ext>
          </a:extLst>
        </xdr:cNvPr>
        <xdr:cNvSpPr/>
      </xdr:nvSpPr>
      <xdr:spPr>
        <a:xfrm>
          <a:off x="9582150" y="2286000"/>
          <a:ext cx="3162299" cy="226695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14</xdr:col>
      <xdr:colOff>85725</xdr:colOff>
      <xdr:row>14</xdr:row>
      <xdr:rowOff>47625</xdr:rowOff>
    </xdr:from>
    <xdr:to>
      <xdr:col>18</xdr:col>
      <xdr:colOff>333374</xdr:colOff>
      <xdr:row>22</xdr:row>
      <xdr:rowOff>19050</xdr:rowOff>
    </xdr:to>
    <xdr:graphicFrame macro="">
      <xdr:nvGraphicFramePr>
        <xdr:cNvPr id="143" name="Chart 142">
          <a:extLst>
            <a:ext uri="{FF2B5EF4-FFF2-40B4-BE49-F238E27FC236}">
              <a16:creationId xmlns:a16="http://schemas.microsoft.com/office/drawing/2014/main" id="{F8B9DDDE-E2B3-4C19-A8FE-807127EE9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xdr:col>
      <xdr:colOff>123825</xdr:colOff>
      <xdr:row>35</xdr:row>
      <xdr:rowOff>180975</xdr:rowOff>
    </xdr:from>
    <xdr:to>
      <xdr:col>10</xdr:col>
      <xdr:colOff>323850</xdr:colOff>
      <xdr:row>48</xdr:row>
      <xdr:rowOff>142875</xdr:rowOff>
    </xdr:to>
    <xdr:sp macro="" textlink="">
      <xdr:nvSpPr>
        <xdr:cNvPr id="144" name="Rectangle: Rounded Corners 143">
          <a:extLst>
            <a:ext uri="{FF2B5EF4-FFF2-40B4-BE49-F238E27FC236}">
              <a16:creationId xmlns:a16="http://schemas.microsoft.com/office/drawing/2014/main" id="{D32017D7-BA47-47E9-8DEE-FD1FFFC4C593}"/>
            </a:ext>
          </a:extLst>
        </xdr:cNvPr>
        <xdr:cNvSpPr/>
      </xdr:nvSpPr>
      <xdr:spPr>
        <a:xfrm>
          <a:off x="1495425" y="7181850"/>
          <a:ext cx="5686425" cy="2562225"/>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2</xdr:col>
      <xdr:colOff>219075</xdr:colOff>
      <xdr:row>37</xdr:row>
      <xdr:rowOff>123825</xdr:rowOff>
    </xdr:from>
    <xdr:to>
      <xdr:col>10</xdr:col>
      <xdr:colOff>228600</xdr:colOff>
      <xdr:row>48</xdr:row>
      <xdr:rowOff>114299</xdr:rowOff>
    </xdr:to>
    <xdr:graphicFrame macro="">
      <xdr:nvGraphicFramePr>
        <xdr:cNvPr id="145" name="Chart 144">
          <a:extLst>
            <a:ext uri="{FF2B5EF4-FFF2-40B4-BE49-F238E27FC236}">
              <a16:creationId xmlns:a16="http://schemas.microsoft.com/office/drawing/2014/main" id="{E704036D-89D6-48BC-8E34-8B81B9CDE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14</xdr:col>
      <xdr:colOff>114300</xdr:colOff>
      <xdr:row>11</xdr:row>
      <xdr:rowOff>190499</xdr:rowOff>
    </xdr:from>
    <xdr:to>
      <xdr:col>18</xdr:col>
      <xdr:colOff>152400</xdr:colOff>
      <xdr:row>14</xdr:row>
      <xdr:rowOff>95249</xdr:rowOff>
    </xdr:to>
    <xdr:sp macro="" textlink="">
      <xdr:nvSpPr>
        <xdr:cNvPr id="146" name="TextBox 145">
          <a:extLst>
            <a:ext uri="{FF2B5EF4-FFF2-40B4-BE49-F238E27FC236}">
              <a16:creationId xmlns:a16="http://schemas.microsoft.com/office/drawing/2014/main" id="{F66F341F-3A2E-4B5E-9AF5-D52528FB915C}"/>
            </a:ext>
          </a:extLst>
        </xdr:cNvPr>
        <xdr:cNvSpPr txBox="1"/>
      </xdr:nvSpPr>
      <xdr:spPr>
        <a:xfrm>
          <a:off x="9715500" y="2390774"/>
          <a:ext cx="27813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ysClr val="windowText" lastClr="000000"/>
              </a:solidFill>
              <a:latin typeface="Abadi" panose="020B0604020104020204" pitchFamily="34" charset="0"/>
              <a:ea typeface="+mn-ea"/>
              <a:cs typeface="Arial"/>
            </a:rPr>
            <a:t>Training Models Fees </a:t>
          </a:r>
          <a:r>
            <a:rPr lang="en-US" sz="1200" b="0" i="0" u="none" strike="noStrike">
              <a:solidFill>
                <a:schemeClr val="bg1">
                  <a:lumMod val="50000"/>
                </a:schemeClr>
              </a:solidFill>
              <a:latin typeface="Abadi" panose="020B0604020104020204" pitchFamily="34" charset="0"/>
              <a:ea typeface="+mn-ea"/>
              <a:cs typeface="Arial"/>
            </a:rPr>
            <a:t>by</a:t>
          </a:r>
          <a:r>
            <a:rPr lang="en-US" sz="1200" b="0" i="0" u="none" strike="noStrike" baseline="0">
              <a:solidFill>
                <a:schemeClr val="bg1">
                  <a:lumMod val="50000"/>
                </a:schemeClr>
              </a:solidFill>
              <a:latin typeface="Abadi" panose="020B0604020104020204" pitchFamily="34" charset="0"/>
              <a:ea typeface="+mn-ea"/>
              <a:cs typeface="Arial"/>
            </a:rPr>
            <a:t> Sales Team</a:t>
          </a:r>
          <a:endParaRPr lang="en-US" sz="1100" b="0" i="0" u="none" strike="noStrike">
            <a:solidFill>
              <a:schemeClr val="bg1">
                <a:lumMod val="50000"/>
              </a:schemeClr>
            </a:solidFill>
            <a:latin typeface="Abadi" panose="020B0604020104020204" pitchFamily="34" charset="0"/>
            <a:ea typeface="+mn-ea"/>
            <a:cs typeface="Arial"/>
          </a:endParaRPr>
        </a:p>
      </xdr:txBody>
    </xdr:sp>
    <xdr:clientData/>
  </xdr:twoCellAnchor>
  <xdr:twoCellAnchor>
    <xdr:from>
      <xdr:col>2</xdr:col>
      <xdr:colOff>295275</xdr:colOff>
      <xdr:row>35</xdr:row>
      <xdr:rowOff>190499</xdr:rowOff>
    </xdr:from>
    <xdr:to>
      <xdr:col>6</xdr:col>
      <xdr:colOff>333375</xdr:colOff>
      <xdr:row>38</xdr:row>
      <xdr:rowOff>95249</xdr:rowOff>
    </xdr:to>
    <xdr:sp macro="" textlink="">
      <xdr:nvSpPr>
        <xdr:cNvPr id="147" name="TextBox 146">
          <a:extLst>
            <a:ext uri="{FF2B5EF4-FFF2-40B4-BE49-F238E27FC236}">
              <a16:creationId xmlns:a16="http://schemas.microsoft.com/office/drawing/2014/main" id="{2B8B3B6D-3FEB-4086-ACAE-F8CF25B5422E}"/>
            </a:ext>
          </a:extLst>
        </xdr:cNvPr>
        <xdr:cNvSpPr txBox="1"/>
      </xdr:nvSpPr>
      <xdr:spPr>
        <a:xfrm>
          <a:off x="1666875" y="7191374"/>
          <a:ext cx="27813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ysClr val="windowText" lastClr="000000"/>
              </a:solidFill>
              <a:latin typeface="Abadi" panose="020B0604020104020204" pitchFamily="34" charset="0"/>
              <a:ea typeface="+mn-ea"/>
              <a:cs typeface="Arial"/>
            </a:rPr>
            <a:t>Training Models Fees </a:t>
          </a:r>
          <a:r>
            <a:rPr lang="en-US" sz="1200" b="0" i="0" u="none" strike="noStrike">
              <a:solidFill>
                <a:schemeClr val="bg1">
                  <a:lumMod val="50000"/>
                </a:schemeClr>
              </a:solidFill>
              <a:latin typeface="Abadi" panose="020B0604020104020204" pitchFamily="34" charset="0"/>
              <a:ea typeface="+mn-ea"/>
              <a:cs typeface="Arial"/>
            </a:rPr>
            <a:t>by</a:t>
          </a:r>
          <a:r>
            <a:rPr lang="en-US" sz="1200" b="0" i="0" u="none" strike="noStrike" baseline="0">
              <a:solidFill>
                <a:schemeClr val="bg1">
                  <a:lumMod val="50000"/>
                </a:schemeClr>
              </a:solidFill>
              <a:latin typeface="Abadi" panose="020B0604020104020204" pitchFamily="34" charset="0"/>
              <a:ea typeface="+mn-ea"/>
              <a:cs typeface="Arial"/>
            </a:rPr>
            <a:t> Consultants</a:t>
          </a:r>
          <a:endParaRPr lang="en-US" sz="1100" b="0" i="0" u="none" strike="noStrike">
            <a:solidFill>
              <a:schemeClr val="bg1">
                <a:lumMod val="50000"/>
              </a:schemeClr>
            </a:solidFill>
            <a:latin typeface="Abadi" panose="020B0604020104020204" pitchFamily="34" charset="0"/>
            <a:ea typeface="+mn-ea"/>
            <a:cs typeface="Arial"/>
          </a:endParaRPr>
        </a:p>
      </xdr:txBody>
    </xdr:sp>
    <xdr:clientData/>
  </xdr:twoCellAnchor>
  <xdr:twoCellAnchor>
    <xdr:from>
      <xdr:col>23</xdr:col>
      <xdr:colOff>342901</xdr:colOff>
      <xdr:row>36</xdr:row>
      <xdr:rowOff>28575</xdr:rowOff>
    </xdr:from>
    <xdr:to>
      <xdr:col>25</xdr:col>
      <xdr:colOff>361951</xdr:colOff>
      <xdr:row>38</xdr:row>
      <xdr:rowOff>133350</xdr:rowOff>
    </xdr:to>
    <xdr:sp macro="" textlink="">
      <xdr:nvSpPr>
        <xdr:cNvPr id="148" name="TextBox 147">
          <a:extLst>
            <a:ext uri="{FF2B5EF4-FFF2-40B4-BE49-F238E27FC236}">
              <a16:creationId xmlns:a16="http://schemas.microsoft.com/office/drawing/2014/main" id="{F18401EE-603A-461D-8BB1-10C816EA367E}"/>
            </a:ext>
          </a:extLst>
        </xdr:cNvPr>
        <xdr:cNvSpPr txBox="1"/>
      </xdr:nvSpPr>
      <xdr:spPr>
        <a:xfrm>
          <a:off x="16116301" y="7229475"/>
          <a:ext cx="13906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a:solidFill>
                <a:sysClr val="windowText" lastClr="000000"/>
              </a:solidFill>
              <a:latin typeface="Abadi" panose="020B0604020104020204" pitchFamily="34" charset="0"/>
              <a:ea typeface="+mn-ea"/>
              <a:cs typeface="Arial"/>
            </a:rPr>
            <a:t>Advertisement</a:t>
          </a:r>
        </a:p>
        <a:p>
          <a:pPr marL="0" indent="0" algn="l"/>
          <a:r>
            <a:rPr lang="en-US" sz="1200" b="0" i="0" u="none" strike="noStrike">
              <a:solidFill>
                <a:schemeClr val="bg1">
                  <a:lumMod val="50000"/>
                </a:schemeClr>
              </a:solidFill>
              <a:latin typeface="Abadi" panose="020B0604020104020204" pitchFamily="34" charset="0"/>
              <a:ea typeface="+mn-ea"/>
              <a:cs typeface="Arial"/>
            </a:rPr>
            <a:t>by</a:t>
          </a:r>
          <a:r>
            <a:rPr lang="en-US" sz="1200" b="0" i="0" u="none" strike="noStrike" baseline="0">
              <a:solidFill>
                <a:schemeClr val="bg1">
                  <a:lumMod val="50000"/>
                </a:schemeClr>
              </a:solidFill>
              <a:latin typeface="Abadi" panose="020B0604020104020204" pitchFamily="34" charset="0"/>
              <a:ea typeface="+mn-ea"/>
              <a:cs typeface="Arial"/>
            </a:rPr>
            <a:t> total sales</a:t>
          </a:r>
          <a:endParaRPr lang="en-US" sz="1100" b="0" i="0" u="none" strike="noStrike">
            <a:solidFill>
              <a:schemeClr val="bg1">
                <a:lumMod val="50000"/>
              </a:schemeClr>
            </a:solidFill>
            <a:latin typeface="Abadi" panose="020B0604020104020204" pitchFamily="34" charset="0"/>
            <a:ea typeface="+mn-ea"/>
            <a:cs typeface="Arial"/>
          </a:endParaRPr>
        </a:p>
      </xdr:txBody>
    </xdr:sp>
    <xdr:clientData/>
  </xdr:twoCellAnchor>
  <xdr:twoCellAnchor>
    <xdr:from>
      <xdr:col>0</xdr:col>
      <xdr:colOff>0</xdr:colOff>
      <xdr:row>10</xdr:row>
      <xdr:rowOff>38099</xdr:rowOff>
    </xdr:from>
    <xdr:to>
      <xdr:col>2</xdr:col>
      <xdr:colOff>180975</xdr:colOff>
      <xdr:row>20</xdr:row>
      <xdr:rowOff>85724</xdr:rowOff>
    </xdr:to>
    <xdr:sp macro="" textlink="">
      <xdr:nvSpPr>
        <xdr:cNvPr id="149" name="Rectangle: Rounded Corners 148">
          <a:extLst>
            <a:ext uri="{FF2B5EF4-FFF2-40B4-BE49-F238E27FC236}">
              <a16:creationId xmlns:a16="http://schemas.microsoft.com/office/drawing/2014/main" id="{71269692-0B17-4AE4-A96B-C032906F5539}"/>
            </a:ext>
          </a:extLst>
        </xdr:cNvPr>
        <xdr:cNvSpPr/>
      </xdr:nvSpPr>
      <xdr:spPr>
        <a:xfrm>
          <a:off x="0" y="2038349"/>
          <a:ext cx="1552575" cy="2047875"/>
        </a:xfrm>
        <a:prstGeom prst="roundRect">
          <a:avLst/>
        </a:prstGeom>
        <a:solidFill>
          <a:schemeClr val="accent6">
            <a:lumMod val="40000"/>
            <a:lumOff val="60000"/>
          </a:schemeClr>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46264</xdr:colOff>
      <xdr:row>12</xdr:row>
      <xdr:rowOff>85725</xdr:rowOff>
    </xdr:from>
    <xdr:to>
      <xdr:col>2</xdr:col>
      <xdr:colOff>133350</xdr:colOff>
      <xdr:row>19</xdr:row>
      <xdr:rowOff>57150</xdr:rowOff>
    </xdr:to>
    <mc:AlternateContent xmlns:mc="http://schemas.openxmlformats.org/markup-compatibility/2006" xmlns:a14="http://schemas.microsoft.com/office/drawing/2010/main">
      <mc:Choice Requires="a14">
        <xdr:graphicFrame macro="">
          <xdr:nvGraphicFramePr>
            <xdr:cNvPr id="150" name="Month 2">
              <a:extLst>
                <a:ext uri="{FF2B5EF4-FFF2-40B4-BE49-F238E27FC236}">
                  <a16:creationId xmlns:a16="http://schemas.microsoft.com/office/drawing/2014/main" id="{ED413247-F8DF-417F-98CB-B5CA21AAB6E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6264" y="2486025"/>
              <a:ext cx="1458686"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112938</xdr:colOff>
      <xdr:row>10</xdr:row>
      <xdr:rowOff>76200</xdr:rowOff>
    </xdr:from>
    <xdr:to>
      <xdr:col>1</xdr:col>
      <xdr:colOff>503463</xdr:colOff>
      <xdr:row>12</xdr:row>
      <xdr:rowOff>114300</xdr:rowOff>
    </xdr:to>
    <xdr:sp macro="" textlink="">
      <xdr:nvSpPr>
        <xdr:cNvPr id="151" name="TextBox 150">
          <a:extLst>
            <a:ext uri="{FF2B5EF4-FFF2-40B4-BE49-F238E27FC236}">
              <a16:creationId xmlns:a16="http://schemas.microsoft.com/office/drawing/2014/main" id="{72407535-2A15-44E4-B3D0-4504A348A75F}"/>
            </a:ext>
          </a:extLst>
        </xdr:cNvPr>
        <xdr:cNvSpPr txBox="1"/>
      </xdr:nvSpPr>
      <xdr:spPr>
        <a:xfrm>
          <a:off x="112938" y="2076450"/>
          <a:ext cx="10763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bg1"/>
              </a:solidFill>
              <a:latin typeface="Abadi" panose="020B0604020104020204" pitchFamily="34" charset="0"/>
            </a:rPr>
            <a:t>Monthly</a:t>
          </a:r>
        </a:p>
        <a:p>
          <a:pPr algn="l"/>
          <a:r>
            <a:rPr lang="en-US" sz="1000">
              <a:solidFill>
                <a:schemeClr val="bg1"/>
              </a:solidFill>
              <a:latin typeface="Abadi" panose="020B0604020104020204" pitchFamily="34" charset="0"/>
            </a:rPr>
            <a:t>Slicer</a:t>
          </a:r>
        </a:p>
      </xdr:txBody>
    </xdr:sp>
    <xdr:clientData/>
  </xdr:twoCellAnchor>
  <xdr:twoCellAnchor>
    <xdr:from>
      <xdr:col>1</xdr:col>
      <xdr:colOff>503463</xdr:colOff>
      <xdr:row>10</xdr:row>
      <xdr:rowOff>85725</xdr:rowOff>
    </xdr:from>
    <xdr:to>
      <xdr:col>2</xdr:col>
      <xdr:colOff>541563</xdr:colOff>
      <xdr:row>11</xdr:row>
      <xdr:rowOff>152401</xdr:rowOff>
    </xdr:to>
    <xdr:sp macro="" textlink="">
      <xdr:nvSpPr>
        <xdr:cNvPr id="152" name="TextBox 151">
          <a:hlinkClick xmlns:r="http://schemas.openxmlformats.org/officeDocument/2006/relationships" r:id="rId32" tooltip="Go to Database"/>
          <a:extLst>
            <a:ext uri="{FF2B5EF4-FFF2-40B4-BE49-F238E27FC236}">
              <a16:creationId xmlns:a16="http://schemas.microsoft.com/office/drawing/2014/main" id="{7C3B9BA7-00BC-4BCA-861C-414AE8C23D41}"/>
            </a:ext>
          </a:extLst>
        </xdr:cNvPr>
        <xdr:cNvSpPr txBox="1"/>
      </xdr:nvSpPr>
      <xdr:spPr>
        <a:xfrm>
          <a:off x="1189263" y="2085975"/>
          <a:ext cx="72390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Calibri" panose="020F0502020204030204" pitchFamily="34" charset="0"/>
              <a:ea typeface="Calibri" panose="020F0502020204030204" pitchFamily="34" charset="0"/>
              <a:cs typeface="Calibri" panose="020F0502020204030204" pitchFamily="34" charset="0"/>
            </a:rPr>
            <a:t>↗</a:t>
          </a:r>
          <a:endParaRPr lang="en-US" sz="1100">
            <a:solidFill>
              <a:schemeClr val="bg1"/>
            </a:solidFill>
          </a:endParaRPr>
        </a:p>
      </xdr:txBody>
    </xdr:sp>
    <xdr:clientData/>
  </xdr:twoCellAnchor>
  <xdr:twoCellAnchor>
    <xdr:from>
      <xdr:col>18</xdr:col>
      <xdr:colOff>371475</xdr:colOff>
      <xdr:row>0</xdr:row>
      <xdr:rowOff>57150</xdr:rowOff>
    </xdr:from>
    <xdr:to>
      <xdr:col>20</xdr:col>
      <xdr:colOff>647700</xdr:colOff>
      <xdr:row>11</xdr:row>
      <xdr:rowOff>9525</xdr:rowOff>
    </xdr:to>
    <xdr:sp macro="" textlink="">
      <xdr:nvSpPr>
        <xdr:cNvPr id="153" name="Rectangle: Rounded Corners 152">
          <a:extLst>
            <a:ext uri="{FF2B5EF4-FFF2-40B4-BE49-F238E27FC236}">
              <a16:creationId xmlns:a16="http://schemas.microsoft.com/office/drawing/2014/main" id="{417332AD-05A7-469B-878B-31BB83EABF24}"/>
            </a:ext>
          </a:extLst>
        </xdr:cNvPr>
        <xdr:cNvSpPr/>
      </xdr:nvSpPr>
      <xdr:spPr>
        <a:xfrm>
          <a:off x="12715875" y="57150"/>
          <a:ext cx="1647825" cy="2152650"/>
        </a:xfrm>
        <a:prstGeom prst="roundRect">
          <a:avLst/>
        </a:prstGeom>
        <a:solidFill>
          <a:sysClr val="window" lastClr="FFFFFF"/>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74</a:t>
          </a:r>
        </a:p>
      </xdr:txBody>
    </xdr:sp>
    <xdr:clientData/>
  </xdr:twoCellAnchor>
  <xdr:twoCellAnchor>
    <xdr:from>
      <xdr:col>18</xdr:col>
      <xdr:colOff>518427</xdr:colOff>
      <xdr:row>0</xdr:row>
      <xdr:rowOff>142875</xdr:rowOff>
    </xdr:from>
    <xdr:to>
      <xdr:col>20</xdr:col>
      <xdr:colOff>499377</xdr:colOff>
      <xdr:row>4</xdr:row>
      <xdr:rowOff>1</xdr:rowOff>
    </xdr:to>
    <xdr:sp macro="" textlink="">
      <xdr:nvSpPr>
        <xdr:cNvPr id="154" name="TextBox 153">
          <a:extLst>
            <a:ext uri="{FF2B5EF4-FFF2-40B4-BE49-F238E27FC236}">
              <a16:creationId xmlns:a16="http://schemas.microsoft.com/office/drawing/2014/main" id="{55932ADE-049B-4930-88D5-D8C39485D0CE}"/>
            </a:ext>
          </a:extLst>
        </xdr:cNvPr>
        <xdr:cNvSpPr txBox="1"/>
      </xdr:nvSpPr>
      <xdr:spPr>
        <a:xfrm>
          <a:off x="12862827" y="142875"/>
          <a:ext cx="1352550" cy="65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lumMod val="50000"/>
                </a:schemeClr>
              </a:solidFill>
              <a:latin typeface="Abadi" panose="020B0604020104020204" pitchFamily="34" charset="0"/>
            </a:rPr>
            <a:t>Top</a:t>
          </a:r>
          <a:r>
            <a:rPr lang="en-US" sz="1050" baseline="0">
              <a:solidFill>
                <a:schemeClr val="bg1">
                  <a:lumMod val="50000"/>
                </a:schemeClr>
              </a:solidFill>
              <a:latin typeface="Abadi" panose="020B0604020104020204" pitchFamily="34" charset="0"/>
            </a:rPr>
            <a:t> 5</a:t>
          </a:r>
        </a:p>
        <a:p>
          <a:r>
            <a:rPr lang="en-US" sz="1100" baseline="0">
              <a:latin typeface="Abadi" panose="020B0604020104020204" pitchFamily="34" charset="0"/>
            </a:rPr>
            <a:t>Training Levels</a:t>
          </a:r>
        </a:p>
        <a:p>
          <a:r>
            <a:rPr lang="en-US" sz="1000" baseline="0">
              <a:solidFill>
                <a:schemeClr val="bg1">
                  <a:lumMod val="50000"/>
                </a:schemeClr>
              </a:solidFill>
              <a:latin typeface="Abadi" panose="020B0604020104020204" pitchFamily="34" charset="0"/>
            </a:rPr>
            <a:t>Revenue</a:t>
          </a:r>
          <a:endParaRPr lang="en-US" sz="1000">
            <a:solidFill>
              <a:schemeClr val="bg1">
                <a:lumMod val="50000"/>
              </a:schemeClr>
            </a:solidFill>
            <a:latin typeface="Abadi" panose="020B0604020104020204" pitchFamily="34" charset="0"/>
          </a:endParaRPr>
        </a:p>
      </xdr:txBody>
    </xdr:sp>
    <xdr:clientData/>
  </xdr:twoCellAnchor>
  <xdr:twoCellAnchor>
    <xdr:from>
      <xdr:col>20</xdr:col>
      <xdr:colOff>251725</xdr:colOff>
      <xdr:row>1</xdr:row>
      <xdr:rowOff>0</xdr:rowOff>
    </xdr:from>
    <xdr:to>
      <xdr:col>20</xdr:col>
      <xdr:colOff>442226</xdr:colOff>
      <xdr:row>2</xdr:row>
      <xdr:rowOff>9524</xdr:rowOff>
    </xdr:to>
    <xdr:sp macro="" textlink="">
      <xdr:nvSpPr>
        <xdr:cNvPr id="155" name="Star: 5 Points 154">
          <a:extLst>
            <a:ext uri="{FF2B5EF4-FFF2-40B4-BE49-F238E27FC236}">
              <a16:creationId xmlns:a16="http://schemas.microsoft.com/office/drawing/2014/main" id="{AC386880-ACDB-48BF-B655-019270AF1612}"/>
            </a:ext>
          </a:extLst>
        </xdr:cNvPr>
        <xdr:cNvSpPr/>
      </xdr:nvSpPr>
      <xdr:spPr>
        <a:xfrm>
          <a:off x="13967725" y="200025"/>
          <a:ext cx="190501" cy="209549"/>
        </a:xfrm>
        <a:prstGeom prst="star5">
          <a:avLst/>
        </a:prstGeom>
        <a:solidFill>
          <a:srgbClr val="FED1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423177</xdr:colOff>
      <xdr:row>4</xdr:row>
      <xdr:rowOff>104775</xdr:rowOff>
    </xdr:from>
    <xdr:to>
      <xdr:col>20</xdr:col>
      <xdr:colOff>537476</xdr:colOff>
      <xdr:row>5</xdr:row>
      <xdr:rowOff>180975</xdr:rowOff>
    </xdr:to>
    <xdr:sp macro="" textlink="'Pivot Tables'!BB5">
      <xdr:nvSpPr>
        <xdr:cNvPr id="156" name="TextBox 155">
          <a:extLst>
            <a:ext uri="{FF2B5EF4-FFF2-40B4-BE49-F238E27FC236}">
              <a16:creationId xmlns:a16="http://schemas.microsoft.com/office/drawing/2014/main" id="{FFBCD49A-C93D-4CB1-89C4-441B3BBB669A}"/>
            </a:ext>
          </a:extLst>
        </xdr:cNvPr>
        <xdr:cNvSpPr txBox="1"/>
      </xdr:nvSpPr>
      <xdr:spPr>
        <a:xfrm>
          <a:off x="13453377" y="904875"/>
          <a:ext cx="8000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8B80AC7-C849-4BC5-A329-A6DE88939C0A}" type="TxLink">
            <a:rPr lang="en-US" sz="1100" b="0" i="0" u="none" strike="noStrike">
              <a:solidFill>
                <a:schemeClr val="tx1">
                  <a:lumMod val="50000"/>
                  <a:lumOff val="50000"/>
                </a:schemeClr>
              </a:solidFill>
              <a:latin typeface="Abadi" panose="020B0604020104020204" pitchFamily="34" charset="0"/>
              <a:cs typeface="Arial"/>
            </a:rPr>
            <a:pPr algn="l"/>
            <a:t>KJI. L4</a:t>
          </a:fld>
          <a:endParaRPr lang="en-US" sz="1100">
            <a:solidFill>
              <a:schemeClr val="tx1">
                <a:lumMod val="50000"/>
                <a:lumOff val="50000"/>
              </a:schemeClr>
            </a:solidFill>
            <a:latin typeface="Abadi" panose="020B0604020104020204" pitchFamily="34" charset="0"/>
          </a:endParaRPr>
        </a:p>
      </xdr:txBody>
    </xdr:sp>
    <xdr:clientData/>
  </xdr:twoCellAnchor>
  <xdr:twoCellAnchor>
    <xdr:from>
      <xdr:col>18</xdr:col>
      <xdr:colOff>461277</xdr:colOff>
      <xdr:row>4</xdr:row>
      <xdr:rowOff>104775</xdr:rowOff>
    </xdr:from>
    <xdr:to>
      <xdr:col>20</xdr:col>
      <xdr:colOff>261251</xdr:colOff>
      <xdr:row>5</xdr:row>
      <xdr:rowOff>180975</xdr:rowOff>
    </xdr:to>
    <xdr:sp macro="" textlink="'Pivot Tables'!BC5">
      <xdr:nvSpPr>
        <xdr:cNvPr id="157" name="TextBox 156">
          <a:extLst>
            <a:ext uri="{FF2B5EF4-FFF2-40B4-BE49-F238E27FC236}">
              <a16:creationId xmlns:a16="http://schemas.microsoft.com/office/drawing/2014/main" id="{7DC08793-1B5A-4596-BAB9-C9F72FE54CA6}"/>
            </a:ext>
          </a:extLst>
        </xdr:cNvPr>
        <xdr:cNvSpPr txBox="1"/>
      </xdr:nvSpPr>
      <xdr:spPr>
        <a:xfrm>
          <a:off x="12805677" y="904875"/>
          <a:ext cx="1171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770E213-8D32-45B3-A12E-415C72822519}" type="TxLink">
            <a:rPr lang="en-US" sz="1100" b="0" i="0" u="none" strike="noStrike">
              <a:solidFill>
                <a:srgbClr val="000000"/>
              </a:solidFill>
              <a:latin typeface="Abadi" panose="020B0604020104020204" pitchFamily="34" charset="0"/>
              <a:cs typeface="Arial"/>
            </a:rPr>
            <a:pPr algn="l"/>
            <a:t>3,3B</a:t>
          </a:fld>
          <a:endParaRPr lang="en-US" sz="1100">
            <a:solidFill>
              <a:schemeClr val="tx1">
                <a:lumMod val="65000"/>
                <a:lumOff val="35000"/>
              </a:schemeClr>
            </a:solidFill>
            <a:latin typeface="Abadi" panose="020B0604020104020204" pitchFamily="34" charset="0"/>
          </a:endParaRPr>
        </a:p>
      </xdr:txBody>
    </xdr:sp>
    <xdr:clientData/>
  </xdr:twoCellAnchor>
  <xdr:twoCellAnchor>
    <xdr:from>
      <xdr:col>18</xdr:col>
      <xdr:colOff>451752</xdr:colOff>
      <xdr:row>5</xdr:row>
      <xdr:rowOff>57150</xdr:rowOff>
    </xdr:from>
    <xdr:to>
      <xdr:col>20</xdr:col>
      <xdr:colOff>145067</xdr:colOff>
      <xdr:row>6</xdr:row>
      <xdr:rowOff>133350</xdr:rowOff>
    </xdr:to>
    <xdr:sp macro="" textlink="'Pivot Tables'!BC6">
      <xdr:nvSpPr>
        <xdr:cNvPr id="158" name="TextBox 157">
          <a:extLst>
            <a:ext uri="{FF2B5EF4-FFF2-40B4-BE49-F238E27FC236}">
              <a16:creationId xmlns:a16="http://schemas.microsoft.com/office/drawing/2014/main" id="{A6384182-EA25-4211-9631-8A1EF85E9CFD}"/>
            </a:ext>
          </a:extLst>
        </xdr:cNvPr>
        <xdr:cNvSpPr txBox="1"/>
      </xdr:nvSpPr>
      <xdr:spPr>
        <a:xfrm>
          <a:off x="12796152" y="1057275"/>
          <a:ext cx="106491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7454A66-3FDC-440D-B1B9-F984ED5A0807}" type="TxLink">
            <a:rPr lang="en-US" sz="1100" b="0" i="0" u="none" strike="noStrike">
              <a:solidFill>
                <a:srgbClr val="000000"/>
              </a:solidFill>
              <a:latin typeface="Abadi" panose="020B0604020104020204" pitchFamily="34" charset="0"/>
              <a:ea typeface="+mn-ea"/>
              <a:cs typeface="Arial"/>
            </a:rPr>
            <a:pPr marL="0" indent="0" algn="l"/>
            <a:t>2,9B</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xdr:from>
      <xdr:col>19</xdr:col>
      <xdr:colOff>423177</xdr:colOff>
      <xdr:row>6</xdr:row>
      <xdr:rowOff>19051</xdr:rowOff>
    </xdr:from>
    <xdr:to>
      <xdr:col>20</xdr:col>
      <xdr:colOff>537476</xdr:colOff>
      <xdr:row>7</xdr:row>
      <xdr:rowOff>28576</xdr:rowOff>
    </xdr:to>
    <xdr:sp macro="" textlink="'Pivot Tables'!BB7">
      <xdr:nvSpPr>
        <xdr:cNvPr id="159" name="TextBox 158">
          <a:extLst>
            <a:ext uri="{FF2B5EF4-FFF2-40B4-BE49-F238E27FC236}">
              <a16:creationId xmlns:a16="http://schemas.microsoft.com/office/drawing/2014/main" id="{29C94A38-48BE-42BC-9858-6C1B465E2745}"/>
            </a:ext>
          </a:extLst>
        </xdr:cNvPr>
        <xdr:cNvSpPr txBox="1"/>
      </xdr:nvSpPr>
      <xdr:spPr>
        <a:xfrm>
          <a:off x="13453377" y="1219201"/>
          <a:ext cx="80009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815B7B5-6D3D-4B2F-9AAA-62222D61A49D}"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Pre. L3</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clientData/>
  </xdr:twoCellAnchor>
  <xdr:twoCellAnchor>
    <xdr:from>
      <xdr:col>18</xdr:col>
      <xdr:colOff>461277</xdr:colOff>
      <xdr:row>6</xdr:row>
      <xdr:rowOff>171451</xdr:rowOff>
    </xdr:from>
    <xdr:to>
      <xdr:col>19</xdr:col>
      <xdr:colOff>314325</xdr:colOff>
      <xdr:row>7</xdr:row>
      <xdr:rowOff>190500</xdr:rowOff>
    </xdr:to>
    <xdr:sp macro="" textlink="'Pivot Tables'!BC8">
      <xdr:nvSpPr>
        <xdr:cNvPr id="160" name="TextBox 159">
          <a:extLst>
            <a:ext uri="{FF2B5EF4-FFF2-40B4-BE49-F238E27FC236}">
              <a16:creationId xmlns:a16="http://schemas.microsoft.com/office/drawing/2014/main" id="{FEF7BF05-B479-41A4-8E78-3816AB1B539C}"/>
            </a:ext>
          </a:extLst>
        </xdr:cNvPr>
        <xdr:cNvSpPr txBox="1"/>
      </xdr:nvSpPr>
      <xdr:spPr>
        <a:xfrm>
          <a:off x="12805677" y="1371601"/>
          <a:ext cx="538848"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225EACE-9EF5-40B4-A276-28D425A72E15}" type="TxLink">
            <a:rPr lang="en-US" sz="1100" b="0" i="0" u="none" strike="noStrike">
              <a:solidFill>
                <a:srgbClr val="000000"/>
              </a:solidFill>
              <a:latin typeface="Abadi" panose="020B0604020104020204" pitchFamily="34" charset="0"/>
              <a:ea typeface="+mn-ea"/>
              <a:cs typeface="Arial"/>
            </a:rPr>
            <a:pPr marL="0" indent="0" algn="l"/>
            <a:t>2,3B</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xdr:from>
      <xdr:col>19</xdr:col>
      <xdr:colOff>423177</xdr:colOff>
      <xdr:row>7</xdr:row>
      <xdr:rowOff>152401</xdr:rowOff>
    </xdr:from>
    <xdr:to>
      <xdr:col>20</xdr:col>
      <xdr:colOff>537476</xdr:colOff>
      <xdr:row>8</xdr:row>
      <xdr:rowOff>161926</xdr:rowOff>
    </xdr:to>
    <xdr:sp macro="" textlink="'Pivot Tables'!BB9">
      <xdr:nvSpPr>
        <xdr:cNvPr id="161" name="TextBox 160">
          <a:extLst>
            <a:ext uri="{FF2B5EF4-FFF2-40B4-BE49-F238E27FC236}">
              <a16:creationId xmlns:a16="http://schemas.microsoft.com/office/drawing/2014/main" id="{0EB1B92E-975B-4A28-96DC-34AF6B73394C}"/>
            </a:ext>
          </a:extLst>
        </xdr:cNvPr>
        <xdr:cNvSpPr txBox="1"/>
      </xdr:nvSpPr>
      <xdr:spPr>
        <a:xfrm>
          <a:off x="13453377" y="1552576"/>
          <a:ext cx="80009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3DD446F-10C0-4398-A59A-CA3A9CFDE12D}"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Pre. L2</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clientData/>
  </xdr:twoCellAnchor>
  <xdr:twoCellAnchor>
    <xdr:from>
      <xdr:col>18</xdr:col>
      <xdr:colOff>461277</xdr:colOff>
      <xdr:row>7</xdr:row>
      <xdr:rowOff>152401</xdr:rowOff>
    </xdr:from>
    <xdr:to>
      <xdr:col>20</xdr:col>
      <xdr:colOff>261251</xdr:colOff>
      <xdr:row>8</xdr:row>
      <xdr:rowOff>161926</xdr:rowOff>
    </xdr:to>
    <xdr:sp macro="" textlink="'Pivot Tables'!BC9">
      <xdr:nvSpPr>
        <xdr:cNvPr id="162" name="TextBox 161">
          <a:extLst>
            <a:ext uri="{FF2B5EF4-FFF2-40B4-BE49-F238E27FC236}">
              <a16:creationId xmlns:a16="http://schemas.microsoft.com/office/drawing/2014/main" id="{52027735-6692-4504-8234-B3D188BE8846}"/>
            </a:ext>
          </a:extLst>
        </xdr:cNvPr>
        <xdr:cNvSpPr txBox="1"/>
      </xdr:nvSpPr>
      <xdr:spPr>
        <a:xfrm>
          <a:off x="12805677" y="1552576"/>
          <a:ext cx="1171574"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AD97675-D53E-44B7-B949-FDACC238CDA0}" type="TxLink">
            <a:rPr lang="en-US" sz="1100" b="0" i="0" u="none" strike="noStrike">
              <a:solidFill>
                <a:srgbClr val="000000"/>
              </a:solidFill>
              <a:latin typeface="Abadi" panose="020B0604020104020204" pitchFamily="34" charset="0"/>
              <a:ea typeface="+mn-ea"/>
              <a:cs typeface="Arial"/>
            </a:rPr>
            <a:pPr marL="0" indent="0" algn="l"/>
            <a:t>1,3B</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xdr:from>
      <xdr:col>19</xdr:col>
      <xdr:colOff>423177</xdr:colOff>
      <xdr:row>5</xdr:row>
      <xdr:rowOff>38101</xdr:rowOff>
    </xdr:from>
    <xdr:to>
      <xdr:col>20</xdr:col>
      <xdr:colOff>464636</xdr:colOff>
      <xdr:row>6</xdr:row>
      <xdr:rowOff>114301</xdr:rowOff>
    </xdr:to>
    <xdr:sp macro="" textlink="'Pivot Tables'!BB6">
      <xdr:nvSpPr>
        <xdr:cNvPr id="163" name="TextBox 162">
          <a:extLst>
            <a:ext uri="{FF2B5EF4-FFF2-40B4-BE49-F238E27FC236}">
              <a16:creationId xmlns:a16="http://schemas.microsoft.com/office/drawing/2014/main" id="{1FE64202-7ACA-4EBA-83D6-17AC65FC4387}"/>
            </a:ext>
          </a:extLst>
        </xdr:cNvPr>
        <xdr:cNvSpPr txBox="1"/>
      </xdr:nvSpPr>
      <xdr:spPr>
        <a:xfrm>
          <a:off x="13453377" y="1038226"/>
          <a:ext cx="72725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E54C8AC-5CF9-47F8-8C55-320AACC207C1}"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Fndn. L5</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clientData/>
  </xdr:twoCellAnchor>
  <xdr:twoCellAnchor>
    <xdr:from>
      <xdr:col>18</xdr:col>
      <xdr:colOff>457200</xdr:colOff>
      <xdr:row>6</xdr:row>
      <xdr:rowOff>0</xdr:rowOff>
    </xdr:from>
    <xdr:to>
      <xdr:col>19</xdr:col>
      <xdr:colOff>304800</xdr:colOff>
      <xdr:row>7</xdr:row>
      <xdr:rowOff>9525</xdr:rowOff>
    </xdr:to>
    <xdr:sp macro="" textlink="'Pivot Tables'!BC7">
      <xdr:nvSpPr>
        <xdr:cNvPr id="164" name="TextBox 163">
          <a:extLst>
            <a:ext uri="{FF2B5EF4-FFF2-40B4-BE49-F238E27FC236}">
              <a16:creationId xmlns:a16="http://schemas.microsoft.com/office/drawing/2014/main" id="{23A94202-3218-473B-953B-25C41D000924}"/>
            </a:ext>
          </a:extLst>
        </xdr:cNvPr>
        <xdr:cNvSpPr txBox="1"/>
      </xdr:nvSpPr>
      <xdr:spPr>
        <a:xfrm>
          <a:off x="12801600" y="1200150"/>
          <a:ext cx="5334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ED39EC7-FE4C-4D1E-8AAC-BF14570290CF}" type="TxLink">
            <a:rPr lang="en-US" sz="1100" b="0" i="0" u="none" strike="noStrike">
              <a:solidFill>
                <a:srgbClr val="000000"/>
              </a:solidFill>
              <a:latin typeface="Abadi" panose="020B0604020104020204" pitchFamily="34" charset="0"/>
              <a:ea typeface="+mn-ea"/>
              <a:cs typeface="Arial"/>
            </a:rPr>
            <a:pPr marL="0" indent="0" algn="l"/>
            <a:t>2,3B</a:t>
          </a:fld>
          <a:endParaRPr lang="en-US" sz="1100" b="0" i="0" u="none" strike="noStrike">
            <a:solidFill>
              <a:schemeClr val="tx1">
                <a:lumMod val="65000"/>
                <a:lumOff val="35000"/>
              </a:schemeClr>
            </a:solidFill>
            <a:latin typeface="Abadi" panose="020B0604020104020204" pitchFamily="34" charset="0"/>
            <a:ea typeface="+mn-ea"/>
            <a:cs typeface="Arial"/>
          </a:endParaRPr>
        </a:p>
      </xdr:txBody>
    </xdr:sp>
    <xdr:clientData/>
  </xdr:twoCellAnchor>
  <xdr:twoCellAnchor>
    <xdr:from>
      <xdr:col>19</xdr:col>
      <xdr:colOff>428625</xdr:colOff>
      <xdr:row>6</xdr:row>
      <xdr:rowOff>161925</xdr:rowOff>
    </xdr:from>
    <xdr:to>
      <xdr:col>20</xdr:col>
      <xdr:colOff>395973</xdr:colOff>
      <xdr:row>7</xdr:row>
      <xdr:rowOff>200024</xdr:rowOff>
    </xdr:to>
    <xdr:sp macro="" textlink="'Pivot Tables'!BB8">
      <xdr:nvSpPr>
        <xdr:cNvPr id="165" name="TextBox 164">
          <a:extLst>
            <a:ext uri="{FF2B5EF4-FFF2-40B4-BE49-F238E27FC236}">
              <a16:creationId xmlns:a16="http://schemas.microsoft.com/office/drawing/2014/main" id="{28C04E5B-A8F4-4DEA-A757-2026710D374D}"/>
            </a:ext>
          </a:extLst>
        </xdr:cNvPr>
        <xdr:cNvSpPr txBox="1"/>
      </xdr:nvSpPr>
      <xdr:spPr>
        <a:xfrm>
          <a:off x="13458825" y="1362075"/>
          <a:ext cx="653148"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612E349-7C63-438E-A636-0F3DDF97C062}" type="TxLink">
            <a:rPr lang="en-US" sz="1100" b="0" i="0" u="none" strike="noStrike">
              <a:solidFill>
                <a:schemeClr val="tx1">
                  <a:lumMod val="50000"/>
                  <a:lumOff val="50000"/>
                </a:schemeClr>
              </a:solidFill>
              <a:latin typeface="Abadi" panose="020B0604020104020204" pitchFamily="34" charset="0"/>
              <a:ea typeface="+mn-ea"/>
              <a:cs typeface="Arial"/>
            </a:rPr>
            <a:pPr marL="0" indent="0" algn="l"/>
            <a:t>Fndn. L1</a:t>
          </a:fld>
          <a:endParaRPr lang="en-US" sz="1100" b="0" i="0" u="none" strike="noStrike">
            <a:solidFill>
              <a:schemeClr val="tx1">
                <a:lumMod val="50000"/>
                <a:lumOff val="50000"/>
              </a:schemeClr>
            </a:solidFill>
            <a:latin typeface="Abadi" panose="020B0604020104020204" pitchFamily="34" charset="0"/>
            <a:ea typeface="+mn-ea"/>
            <a:cs typeface="Arial"/>
          </a:endParaRPr>
        </a:p>
      </xdr:txBody>
    </xdr:sp>
    <xdr:clientData/>
  </xdr:twoCellAnchor>
  <xdr:twoCellAnchor>
    <xdr:from>
      <xdr:col>0</xdr:col>
      <xdr:colOff>9525</xdr:colOff>
      <xdr:row>21</xdr:row>
      <xdr:rowOff>38100</xdr:rowOff>
    </xdr:from>
    <xdr:to>
      <xdr:col>2</xdr:col>
      <xdr:colOff>266701</xdr:colOff>
      <xdr:row>33</xdr:row>
      <xdr:rowOff>152399</xdr:rowOff>
    </xdr:to>
    <xdr:sp macro="" textlink="">
      <xdr:nvSpPr>
        <xdr:cNvPr id="166" name="Rectangle: Rounded Corners 165">
          <a:extLst>
            <a:ext uri="{FF2B5EF4-FFF2-40B4-BE49-F238E27FC236}">
              <a16:creationId xmlns:a16="http://schemas.microsoft.com/office/drawing/2014/main" id="{EE4E8A55-2206-4EA6-B99B-16B405132589}"/>
            </a:ext>
          </a:extLst>
        </xdr:cNvPr>
        <xdr:cNvSpPr/>
      </xdr:nvSpPr>
      <xdr:spPr>
        <a:xfrm>
          <a:off x="9525" y="4238625"/>
          <a:ext cx="1628776" cy="2514599"/>
        </a:xfrm>
        <a:prstGeom prst="roundRect">
          <a:avLst/>
        </a:prstGeom>
        <a:solidFill>
          <a:schemeClr val="accent6">
            <a:lumMod val="40000"/>
            <a:lumOff val="60000"/>
          </a:schemeClr>
        </a:solidFill>
        <a:ln>
          <a:noFill/>
        </a:ln>
        <a:effectLst>
          <a:outerShdw blurRad="279400" dist="50800" dir="2700000" algn="ctr" rotWithShape="0">
            <a:srgbClr val="000000">
              <a:alpha val="1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122463</xdr:colOff>
      <xdr:row>22</xdr:row>
      <xdr:rowOff>133350</xdr:rowOff>
    </xdr:from>
    <xdr:to>
      <xdr:col>1</xdr:col>
      <xdr:colOff>512988</xdr:colOff>
      <xdr:row>24</xdr:row>
      <xdr:rowOff>171450</xdr:rowOff>
    </xdr:to>
    <xdr:sp macro="" textlink="">
      <xdr:nvSpPr>
        <xdr:cNvPr id="167" name="TextBox 166">
          <a:extLst>
            <a:ext uri="{FF2B5EF4-FFF2-40B4-BE49-F238E27FC236}">
              <a16:creationId xmlns:a16="http://schemas.microsoft.com/office/drawing/2014/main" id="{014F98B4-0E0C-4F12-BB52-3D7DEC02037C}"/>
            </a:ext>
          </a:extLst>
        </xdr:cNvPr>
        <xdr:cNvSpPr txBox="1"/>
      </xdr:nvSpPr>
      <xdr:spPr>
        <a:xfrm>
          <a:off x="122463" y="4533900"/>
          <a:ext cx="10763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bg1"/>
              </a:solidFill>
              <a:latin typeface="Abadi" panose="020B0604020104020204" pitchFamily="34" charset="0"/>
            </a:rPr>
            <a:t>Sales</a:t>
          </a:r>
        </a:p>
        <a:p>
          <a:pPr algn="l"/>
          <a:r>
            <a:rPr lang="en-US" sz="1000">
              <a:solidFill>
                <a:schemeClr val="bg1"/>
              </a:solidFill>
              <a:latin typeface="Abadi" panose="020B0604020104020204" pitchFamily="34" charset="0"/>
            </a:rPr>
            <a:t>Slicer</a:t>
          </a:r>
        </a:p>
      </xdr:txBody>
    </xdr:sp>
    <xdr:clientData/>
  </xdr:twoCellAnchor>
  <xdr:twoCellAnchor>
    <xdr:from>
      <xdr:col>1</xdr:col>
      <xdr:colOff>512988</xdr:colOff>
      <xdr:row>22</xdr:row>
      <xdr:rowOff>142875</xdr:rowOff>
    </xdr:from>
    <xdr:to>
      <xdr:col>2</xdr:col>
      <xdr:colOff>551088</xdr:colOff>
      <xdr:row>24</xdr:row>
      <xdr:rowOff>9526</xdr:rowOff>
    </xdr:to>
    <xdr:sp macro="" textlink="">
      <xdr:nvSpPr>
        <xdr:cNvPr id="168" name="TextBox 167">
          <a:hlinkClick xmlns:r="http://schemas.openxmlformats.org/officeDocument/2006/relationships" r:id="rId32" tooltip="Go to Database"/>
          <a:extLst>
            <a:ext uri="{FF2B5EF4-FFF2-40B4-BE49-F238E27FC236}">
              <a16:creationId xmlns:a16="http://schemas.microsoft.com/office/drawing/2014/main" id="{EEACF244-BA36-4130-94E1-B6B9155634F2}"/>
            </a:ext>
          </a:extLst>
        </xdr:cNvPr>
        <xdr:cNvSpPr txBox="1"/>
      </xdr:nvSpPr>
      <xdr:spPr>
        <a:xfrm>
          <a:off x="1198788" y="4543425"/>
          <a:ext cx="72390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Calibri" panose="020F0502020204030204" pitchFamily="34" charset="0"/>
              <a:ea typeface="Calibri" panose="020F0502020204030204" pitchFamily="34" charset="0"/>
              <a:cs typeface="Calibri" panose="020F0502020204030204" pitchFamily="34" charset="0"/>
            </a:rPr>
            <a:t>↗</a:t>
          </a:r>
          <a:endParaRPr lang="en-US" sz="1100">
            <a:solidFill>
              <a:schemeClr val="bg1"/>
            </a:solidFill>
          </a:endParaRPr>
        </a:p>
      </xdr:txBody>
    </xdr:sp>
    <xdr:clientData/>
  </xdr:twoCellAnchor>
  <xdr:twoCellAnchor editAs="oneCell">
    <xdr:from>
      <xdr:col>0</xdr:col>
      <xdr:colOff>76200</xdr:colOff>
      <xdr:row>24</xdr:row>
      <xdr:rowOff>152399</xdr:rowOff>
    </xdr:from>
    <xdr:to>
      <xdr:col>2</xdr:col>
      <xdr:colOff>200025</xdr:colOff>
      <xdr:row>31</xdr:row>
      <xdr:rowOff>114299</xdr:rowOff>
    </xdr:to>
    <mc:AlternateContent xmlns:mc="http://schemas.openxmlformats.org/markup-compatibility/2006" xmlns:a14="http://schemas.microsoft.com/office/drawing/2010/main">
      <mc:Choice Requires="a14">
        <xdr:graphicFrame macro="">
          <xdr:nvGraphicFramePr>
            <xdr:cNvPr id="169" name="Sale Team 1">
              <a:extLst>
                <a:ext uri="{FF2B5EF4-FFF2-40B4-BE49-F238E27FC236}">
                  <a16:creationId xmlns:a16="http://schemas.microsoft.com/office/drawing/2014/main" id="{B3608309-73F0-40D5-85CC-DE9924C9908B}"/>
                </a:ext>
              </a:extLst>
            </xdr:cNvPr>
            <xdr:cNvGraphicFramePr/>
          </xdr:nvGraphicFramePr>
          <xdr:xfrm>
            <a:off x="0" y="0"/>
            <a:ext cx="0" cy="0"/>
          </xdr:xfrm>
          <a:graphic>
            <a:graphicData uri="http://schemas.microsoft.com/office/drawing/2010/slicer">
              <sle:slicer xmlns:sle="http://schemas.microsoft.com/office/drawing/2010/slicer" name="Sale Team 1"/>
            </a:graphicData>
          </a:graphic>
        </xdr:graphicFrame>
      </mc:Choice>
      <mc:Fallback xmlns="">
        <xdr:sp macro="" textlink="">
          <xdr:nvSpPr>
            <xdr:cNvPr id="0" name=""/>
            <xdr:cNvSpPr>
              <a:spLocks noTextEdit="1"/>
            </xdr:cNvSpPr>
          </xdr:nvSpPr>
          <xdr:spPr>
            <a:xfrm>
              <a:off x="76200" y="4952999"/>
              <a:ext cx="1495425"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581025</xdr:colOff>
      <xdr:row>2</xdr:row>
      <xdr:rowOff>161925</xdr:rowOff>
    </xdr:from>
    <xdr:to>
      <xdr:col>5</xdr:col>
      <xdr:colOff>3225</xdr:colOff>
      <xdr:row>3</xdr:row>
      <xdr:rowOff>26700</xdr:rowOff>
    </xdr:to>
    <xdr:sp macro="" textlink="">
      <xdr:nvSpPr>
        <xdr:cNvPr id="170" name="Isosceles Triangle 169">
          <a:extLst>
            <a:ext uri="{FF2B5EF4-FFF2-40B4-BE49-F238E27FC236}">
              <a16:creationId xmlns:a16="http://schemas.microsoft.com/office/drawing/2014/main" id="{F064E34A-9AB5-4A00-91E2-597B2C8AB891}"/>
            </a:ext>
          </a:extLst>
        </xdr:cNvPr>
        <xdr:cNvSpPr/>
      </xdr:nvSpPr>
      <xdr:spPr>
        <a:xfrm>
          <a:off x="3324225" y="561975"/>
          <a:ext cx="108000" cy="64800"/>
        </a:xfrm>
        <a:prstGeom prst="triangle">
          <a:avLst/>
        </a:prstGeom>
        <a:solidFill>
          <a:srgbClr val="00B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04.994243634261" createdVersion="8" refreshedVersion="8" minRefreshableVersion="3" recordCount="1237" xr:uid="{82B151BA-26D3-4CCC-B8AA-72ED7B4687A1}">
  <cacheSource type="worksheet">
    <worksheetSource ref="B2:O1239" sheet="Database"/>
  </cacheSource>
  <cacheFields count="14">
    <cacheField name="Fees Status" numFmtId="0">
      <sharedItems count="2">
        <s v="Paid"/>
        <s v="Not Paid"/>
      </sharedItems>
    </cacheField>
    <cacheField name="Day" numFmtId="1">
      <sharedItems containsSemiMixedTypes="0" containsString="0" containsNumber="1" containsInteger="1" minValue="1" maxValue="31"/>
    </cacheField>
    <cacheField name="Month" numFmtId="14">
      <sharedItems count="12">
        <s v="Apr"/>
        <s v="Aug"/>
        <s v="Sep"/>
        <s v="Oct"/>
        <s v="Nov"/>
        <s v="Jan"/>
        <s v="Feb"/>
        <s v="Mar"/>
        <s v="May"/>
        <s v="Jun"/>
        <s v="Dec"/>
        <s v="Jul"/>
      </sharedItems>
    </cacheField>
    <cacheField name="Advertising Channel" numFmtId="0">
      <sharedItems count="6">
        <s v="Television Ad"/>
        <s v="Company Website"/>
        <s v="Facebook Page"/>
        <s v="WhatsApp"/>
        <s v="Google Ad"/>
        <s v="Youtube Channel"/>
      </sharedItems>
    </cacheField>
    <cacheField name="Advertisement " numFmtId="0">
      <sharedItems count="5">
        <s v="AD01-9364"/>
        <s v="AD01-9361"/>
        <s v="AD01-9362"/>
        <s v="AD01-9363"/>
        <s v="AD01-9365"/>
      </sharedItems>
    </cacheField>
    <cacheField name="Enrolled Courses" numFmtId="3">
      <sharedItems containsSemiMixedTypes="0" containsString="0" containsNumber="1" containsInteger="1" minValue="0" maxValue="5" count="6">
        <n v="1"/>
        <n v="3"/>
        <n v="2"/>
        <n v="4"/>
        <n v="5"/>
        <n v="0"/>
      </sharedItems>
    </cacheField>
    <cacheField name="Paid Fees" numFmtId="166">
      <sharedItems containsSemiMixedTypes="0" containsString="0" containsNumber="1" containsInteger="1" minValue="0" maxValue="38000000"/>
    </cacheField>
    <cacheField name="Number of phone calls" numFmtId="0">
      <sharedItems containsSemiMixedTypes="0" containsString="0" containsNumber="1" containsInteger="1" minValue="1" maxValue="7"/>
    </cacheField>
    <cacheField name="Average call duration" numFmtId="45">
      <sharedItems containsSemiMixedTypes="0" containsNonDate="0" containsDate="1" containsString="0" minDate="1899-12-30T00:02:00" maxDate="1899-12-30T00:12:55"/>
    </cacheField>
    <cacheField name="Training Models" numFmtId="0">
      <sharedItems containsBlank="1" count="5">
        <s v="GK"/>
        <s v="BE"/>
        <s v="CNI"/>
        <m/>
        <s v="FC"/>
      </sharedItems>
    </cacheField>
    <cacheField name="Training Levels" numFmtId="0">
      <sharedItems containsBlank="1" count="10">
        <s v="KJI. L4"/>
        <s v="Pre. L8"/>
        <s v="Fndn. L5"/>
        <s v="Fndn. L3"/>
        <s v="Fndn. L1"/>
        <s v="Pre. L2"/>
        <s v="Fndn. L6"/>
        <s v="Pre. L3"/>
        <s v="Pre. L4"/>
        <m/>
      </sharedItems>
    </cacheField>
    <cacheField name="Area Code" numFmtId="0">
      <sharedItems count="8">
        <s v="A7"/>
        <s v="B13"/>
        <s v="A1"/>
        <s v="A2"/>
        <s v="A4"/>
        <s v="B12"/>
        <s v="B18"/>
        <s v="C8"/>
      </sharedItems>
    </cacheField>
    <cacheField name="Sale Team" numFmtId="0">
      <sharedItems count="4">
        <s v="Salah"/>
        <s v="Mohammed"/>
        <s v="Abdullah"/>
        <s v="Ahmed"/>
      </sharedItems>
    </cacheField>
    <cacheField name="Consultant" numFmtId="0">
      <sharedItems count="16">
        <s v="Jood"/>
        <s v="Kisho"/>
        <s v="Rony"/>
        <s v="Adam"/>
        <s v="Khalil"/>
        <s v="Sahar"/>
        <s v="Mohmed"/>
        <s v="Dary"/>
        <s v="Reham"/>
        <s v="Dina"/>
        <s v="John"/>
        <s v="Hisham"/>
        <s v="Ahmed"/>
        <s v="Hany"/>
        <s v="Kenza"/>
        <s v="Habib"/>
      </sharedItems>
    </cacheField>
  </cacheFields>
  <extLst>
    <ext xmlns:x14="http://schemas.microsoft.com/office/spreadsheetml/2009/9/main" uri="{725AE2AE-9491-48be-B2B4-4EB974FC3084}">
      <x14:pivotCacheDefinition pivotCacheId="135226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7">
  <r>
    <x v="0"/>
    <n v="1"/>
    <x v="0"/>
    <x v="0"/>
    <x v="0"/>
    <x v="0"/>
    <n v="7000000"/>
    <n v="3"/>
    <d v="1899-12-30T00:02:00"/>
    <x v="0"/>
    <x v="0"/>
    <x v="0"/>
    <x v="0"/>
    <x v="0"/>
  </r>
  <r>
    <x v="0"/>
    <n v="10"/>
    <x v="1"/>
    <x v="0"/>
    <x v="1"/>
    <x v="1"/>
    <n v="11000000"/>
    <n v="1"/>
    <d v="1899-12-30T00:02:00"/>
    <x v="0"/>
    <x v="1"/>
    <x v="1"/>
    <x v="1"/>
    <x v="1"/>
  </r>
  <r>
    <x v="0"/>
    <n v="20"/>
    <x v="2"/>
    <x v="1"/>
    <x v="0"/>
    <x v="2"/>
    <n v="12000000"/>
    <n v="3"/>
    <d v="1899-12-30T00:02:00"/>
    <x v="0"/>
    <x v="2"/>
    <x v="2"/>
    <x v="1"/>
    <x v="2"/>
  </r>
  <r>
    <x v="0"/>
    <n v="23"/>
    <x v="2"/>
    <x v="2"/>
    <x v="0"/>
    <x v="3"/>
    <n v="15000000"/>
    <n v="1"/>
    <d v="1899-12-30T00:02:00"/>
    <x v="0"/>
    <x v="2"/>
    <x v="3"/>
    <x v="2"/>
    <x v="3"/>
  </r>
  <r>
    <x v="0"/>
    <n v="11"/>
    <x v="2"/>
    <x v="0"/>
    <x v="0"/>
    <x v="4"/>
    <n v="25000000"/>
    <n v="2"/>
    <d v="1899-12-30T00:02:00"/>
    <x v="0"/>
    <x v="3"/>
    <x v="1"/>
    <x v="3"/>
    <x v="4"/>
  </r>
  <r>
    <x v="0"/>
    <n v="2"/>
    <x v="3"/>
    <x v="3"/>
    <x v="1"/>
    <x v="1"/>
    <n v="12000000"/>
    <n v="1"/>
    <d v="1899-12-30T00:02:00"/>
    <x v="0"/>
    <x v="4"/>
    <x v="4"/>
    <x v="0"/>
    <x v="5"/>
  </r>
  <r>
    <x v="0"/>
    <n v="6"/>
    <x v="3"/>
    <x v="3"/>
    <x v="2"/>
    <x v="4"/>
    <n v="20000000"/>
    <n v="2"/>
    <d v="1899-12-30T00:02:00"/>
    <x v="0"/>
    <x v="0"/>
    <x v="5"/>
    <x v="3"/>
    <x v="4"/>
  </r>
  <r>
    <x v="0"/>
    <n v="26"/>
    <x v="4"/>
    <x v="2"/>
    <x v="3"/>
    <x v="0"/>
    <n v="19000000"/>
    <n v="2"/>
    <d v="1899-12-30T00:02:00"/>
    <x v="1"/>
    <x v="5"/>
    <x v="3"/>
    <x v="0"/>
    <x v="5"/>
  </r>
  <r>
    <x v="0"/>
    <n v="15"/>
    <x v="4"/>
    <x v="3"/>
    <x v="2"/>
    <x v="2"/>
    <n v="38000000"/>
    <n v="2"/>
    <d v="1899-12-30T00:02:00"/>
    <x v="1"/>
    <x v="4"/>
    <x v="6"/>
    <x v="1"/>
    <x v="1"/>
  </r>
  <r>
    <x v="0"/>
    <n v="17"/>
    <x v="4"/>
    <x v="4"/>
    <x v="1"/>
    <x v="2"/>
    <n v="12000000"/>
    <n v="2"/>
    <d v="1899-12-30T00:02:00"/>
    <x v="0"/>
    <x v="6"/>
    <x v="7"/>
    <x v="1"/>
    <x v="6"/>
  </r>
  <r>
    <x v="0"/>
    <n v="1"/>
    <x v="0"/>
    <x v="0"/>
    <x v="0"/>
    <x v="0"/>
    <n v="7000000"/>
    <n v="3"/>
    <d v="1899-12-30T00:02:00"/>
    <x v="0"/>
    <x v="0"/>
    <x v="0"/>
    <x v="0"/>
    <x v="0"/>
  </r>
  <r>
    <x v="0"/>
    <n v="2"/>
    <x v="3"/>
    <x v="3"/>
    <x v="1"/>
    <x v="1"/>
    <n v="12000000"/>
    <n v="1"/>
    <d v="1899-12-30T00:02:00"/>
    <x v="0"/>
    <x v="4"/>
    <x v="4"/>
    <x v="0"/>
    <x v="1"/>
  </r>
  <r>
    <x v="0"/>
    <n v="6"/>
    <x v="3"/>
    <x v="3"/>
    <x v="2"/>
    <x v="4"/>
    <n v="20000000"/>
    <n v="2"/>
    <d v="1899-12-30T00:02:00"/>
    <x v="0"/>
    <x v="0"/>
    <x v="5"/>
    <x v="3"/>
    <x v="7"/>
  </r>
  <r>
    <x v="0"/>
    <n v="26"/>
    <x v="4"/>
    <x v="2"/>
    <x v="3"/>
    <x v="0"/>
    <n v="19000000"/>
    <n v="2"/>
    <d v="1899-12-30T00:02:00"/>
    <x v="1"/>
    <x v="5"/>
    <x v="3"/>
    <x v="0"/>
    <x v="8"/>
  </r>
  <r>
    <x v="0"/>
    <n v="2"/>
    <x v="3"/>
    <x v="3"/>
    <x v="1"/>
    <x v="1"/>
    <n v="12000000"/>
    <n v="1"/>
    <d v="1899-12-30T00:02:00"/>
    <x v="0"/>
    <x v="4"/>
    <x v="4"/>
    <x v="0"/>
    <x v="2"/>
  </r>
  <r>
    <x v="0"/>
    <n v="6"/>
    <x v="3"/>
    <x v="3"/>
    <x v="2"/>
    <x v="4"/>
    <n v="20000000"/>
    <n v="2"/>
    <d v="1899-12-30T00:02:00"/>
    <x v="0"/>
    <x v="0"/>
    <x v="5"/>
    <x v="3"/>
    <x v="7"/>
  </r>
  <r>
    <x v="0"/>
    <n v="26"/>
    <x v="4"/>
    <x v="2"/>
    <x v="3"/>
    <x v="0"/>
    <n v="19000000"/>
    <n v="2"/>
    <d v="1899-12-30T00:02:00"/>
    <x v="1"/>
    <x v="5"/>
    <x v="3"/>
    <x v="0"/>
    <x v="8"/>
  </r>
  <r>
    <x v="0"/>
    <n v="12"/>
    <x v="5"/>
    <x v="0"/>
    <x v="2"/>
    <x v="1"/>
    <n v="11000000"/>
    <n v="1"/>
    <d v="1899-12-30T00:02:00"/>
    <x v="0"/>
    <x v="7"/>
    <x v="7"/>
    <x v="1"/>
    <x v="6"/>
  </r>
  <r>
    <x v="0"/>
    <n v="11"/>
    <x v="6"/>
    <x v="1"/>
    <x v="1"/>
    <x v="4"/>
    <n v="25000000"/>
    <n v="1"/>
    <d v="1899-12-30T00:02:00"/>
    <x v="0"/>
    <x v="2"/>
    <x v="5"/>
    <x v="1"/>
    <x v="2"/>
  </r>
  <r>
    <x v="0"/>
    <n v="11"/>
    <x v="7"/>
    <x v="2"/>
    <x v="2"/>
    <x v="2"/>
    <n v="38000000"/>
    <n v="2"/>
    <d v="1899-12-30T00:02:00"/>
    <x v="1"/>
    <x v="7"/>
    <x v="5"/>
    <x v="0"/>
    <x v="7"/>
  </r>
  <r>
    <x v="0"/>
    <n v="3"/>
    <x v="0"/>
    <x v="3"/>
    <x v="2"/>
    <x v="3"/>
    <n v="15000000"/>
    <n v="1"/>
    <d v="1899-12-30T00:02:00"/>
    <x v="0"/>
    <x v="7"/>
    <x v="0"/>
    <x v="0"/>
    <x v="5"/>
  </r>
  <r>
    <x v="0"/>
    <n v="11"/>
    <x v="8"/>
    <x v="0"/>
    <x v="1"/>
    <x v="0"/>
    <n v="19000000"/>
    <n v="1"/>
    <d v="1899-12-30T00:02:00"/>
    <x v="1"/>
    <x v="0"/>
    <x v="1"/>
    <x v="2"/>
    <x v="8"/>
  </r>
  <r>
    <x v="0"/>
    <n v="10"/>
    <x v="8"/>
    <x v="3"/>
    <x v="0"/>
    <x v="3"/>
    <n v="20000000"/>
    <n v="3"/>
    <d v="1899-12-30T00:02:00"/>
    <x v="0"/>
    <x v="5"/>
    <x v="3"/>
    <x v="2"/>
    <x v="8"/>
  </r>
  <r>
    <x v="0"/>
    <n v="5"/>
    <x v="8"/>
    <x v="3"/>
    <x v="1"/>
    <x v="0"/>
    <n v="7000000"/>
    <n v="2"/>
    <d v="1899-12-30T00:02:00"/>
    <x v="0"/>
    <x v="7"/>
    <x v="6"/>
    <x v="1"/>
    <x v="6"/>
  </r>
  <r>
    <x v="0"/>
    <n v="12"/>
    <x v="9"/>
    <x v="1"/>
    <x v="1"/>
    <x v="2"/>
    <n v="38000000"/>
    <n v="3"/>
    <d v="1899-12-30T00:02:00"/>
    <x v="1"/>
    <x v="4"/>
    <x v="4"/>
    <x v="0"/>
    <x v="7"/>
  </r>
  <r>
    <x v="0"/>
    <n v="26"/>
    <x v="1"/>
    <x v="0"/>
    <x v="2"/>
    <x v="3"/>
    <n v="20000000"/>
    <n v="3"/>
    <d v="1899-12-30T00:02:00"/>
    <x v="2"/>
    <x v="0"/>
    <x v="0"/>
    <x v="3"/>
    <x v="4"/>
  </r>
  <r>
    <x v="0"/>
    <n v="25"/>
    <x v="2"/>
    <x v="0"/>
    <x v="0"/>
    <x v="1"/>
    <n v="15000000"/>
    <n v="3"/>
    <d v="1899-12-30T00:02:00"/>
    <x v="0"/>
    <x v="7"/>
    <x v="2"/>
    <x v="1"/>
    <x v="6"/>
  </r>
  <r>
    <x v="0"/>
    <n v="11"/>
    <x v="2"/>
    <x v="0"/>
    <x v="2"/>
    <x v="1"/>
    <n v="12000000"/>
    <n v="4"/>
    <d v="1899-12-30T00:02:00"/>
    <x v="0"/>
    <x v="1"/>
    <x v="0"/>
    <x v="3"/>
    <x v="4"/>
  </r>
  <r>
    <x v="0"/>
    <n v="18"/>
    <x v="2"/>
    <x v="0"/>
    <x v="1"/>
    <x v="3"/>
    <n v="15000000"/>
    <n v="2"/>
    <d v="1899-12-30T00:02:00"/>
    <x v="0"/>
    <x v="4"/>
    <x v="6"/>
    <x v="0"/>
    <x v="9"/>
  </r>
  <r>
    <x v="0"/>
    <n v="1"/>
    <x v="3"/>
    <x v="2"/>
    <x v="2"/>
    <x v="1"/>
    <n v="15000000"/>
    <n v="3"/>
    <d v="1899-12-30T00:02:00"/>
    <x v="0"/>
    <x v="4"/>
    <x v="2"/>
    <x v="1"/>
    <x v="6"/>
  </r>
  <r>
    <x v="0"/>
    <n v="1"/>
    <x v="3"/>
    <x v="0"/>
    <x v="2"/>
    <x v="2"/>
    <n v="12000000"/>
    <n v="6"/>
    <d v="1899-12-30T00:02:00"/>
    <x v="0"/>
    <x v="4"/>
    <x v="2"/>
    <x v="0"/>
    <x v="5"/>
  </r>
  <r>
    <x v="0"/>
    <n v="8"/>
    <x v="3"/>
    <x v="0"/>
    <x v="2"/>
    <x v="1"/>
    <n v="15000000"/>
    <n v="3"/>
    <d v="1899-12-30T00:02:00"/>
    <x v="0"/>
    <x v="3"/>
    <x v="0"/>
    <x v="0"/>
    <x v="9"/>
  </r>
  <r>
    <x v="0"/>
    <n v="20"/>
    <x v="3"/>
    <x v="1"/>
    <x v="1"/>
    <x v="4"/>
    <n v="25000000"/>
    <n v="4"/>
    <d v="1899-12-30T00:02:00"/>
    <x v="0"/>
    <x v="3"/>
    <x v="2"/>
    <x v="0"/>
    <x v="10"/>
  </r>
  <r>
    <x v="0"/>
    <n v="20"/>
    <x v="3"/>
    <x v="4"/>
    <x v="0"/>
    <x v="2"/>
    <n v="12000000"/>
    <n v="4"/>
    <d v="1899-12-30T00:02:00"/>
    <x v="0"/>
    <x v="8"/>
    <x v="3"/>
    <x v="2"/>
    <x v="11"/>
  </r>
  <r>
    <x v="0"/>
    <n v="1"/>
    <x v="3"/>
    <x v="1"/>
    <x v="1"/>
    <x v="1"/>
    <n v="15000000"/>
    <n v="5"/>
    <d v="1899-12-30T00:02:00"/>
    <x v="0"/>
    <x v="2"/>
    <x v="4"/>
    <x v="2"/>
    <x v="8"/>
  </r>
  <r>
    <x v="0"/>
    <n v="20"/>
    <x v="3"/>
    <x v="1"/>
    <x v="2"/>
    <x v="2"/>
    <n v="10000000"/>
    <n v="1"/>
    <d v="1899-12-30T00:02:00"/>
    <x v="0"/>
    <x v="8"/>
    <x v="5"/>
    <x v="0"/>
    <x v="12"/>
  </r>
  <r>
    <x v="0"/>
    <n v="1"/>
    <x v="3"/>
    <x v="1"/>
    <x v="0"/>
    <x v="1"/>
    <n v="12000000"/>
    <n v="2"/>
    <d v="1899-12-30T00:02:00"/>
    <x v="0"/>
    <x v="3"/>
    <x v="1"/>
    <x v="0"/>
    <x v="7"/>
  </r>
  <r>
    <x v="0"/>
    <n v="4"/>
    <x v="3"/>
    <x v="0"/>
    <x v="1"/>
    <x v="1"/>
    <n v="11000000"/>
    <n v="6"/>
    <d v="1899-12-30T00:02:00"/>
    <x v="0"/>
    <x v="4"/>
    <x v="6"/>
    <x v="1"/>
    <x v="2"/>
  </r>
  <r>
    <x v="0"/>
    <n v="3"/>
    <x v="4"/>
    <x v="2"/>
    <x v="0"/>
    <x v="0"/>
    <n v="19000000"/>
    <n v="3"/>
    <d v="1899-12-30T00:02:00"/>
    <x v="1"/>
    <x v="8"/>
    <x v="6"/>
    <x v="0"/>
    <x v="7"/>
  </r>
  <r>
    <x v="0"/>
    <n v="22"/>
    <x v="4"/>
    <x v="2"/>
    <x v="0"/>
    <x v="0"/>
    <n v="19000000"/>
    <n v="1"/>
    <d v="1899-12-30T00:02:00"/>
    <x v="1"/>
    <x v="1"/>
    <x v="7"/>
    <x v="3"/>
    <x v="13"/>
  </r>
  <r>
    <x v="0"/>
    <n v="13"/>
    <x v="4"/>
    <x v="4"/>
    <x v="4"/>
    <x v="3"/>
    <n v="20000000"/>
    <n v="3"/>
    <d v="1899-12-30T00:02:00"/>
    <x v="2"/>
    <x v="0"/>
    <x v="2"/>
    <x v="2"/>
    <x v="8"/>
  </r>
  <r>
    <x v="0"/>
    <n v="17"/>
    <x v="4"/>
    <x v="4"/>
    <x v="2"/>
    <x v="0"/>
    <n v="7000000"/>
    <n v="1"/>
    <d v="1899-12-30T00:02:00"/>
    <x v="0"/>
    <x v="0"/>
    <x v="3"/>
    <x v="0"/>
    <x v="7"/>
  </r>
  <r>
    <x v="0"/>
    <n v="30"/>
    <x v="4"/>
    <x v="4"/>
    <x v="1"/>
    <x v="2"/>
    <n v="10000000"/>
    <n v="1"/>
    <d v="1899-12-30T00:02:00"/>
    <x v="0"/>
    <x v="2"/>
    <x v="3"/>
    <x v="2"/>
    <x v="11"/>
  </r>
  <r>
    <x v="0"/>
    <n v="29"/>
    <x v="4"/>
    <x v="2"/>
    <x v="2"/>
    <x v="1"/>
    <n v="15000000"/>
    <n v="1"/>
    <d v="1899-12-30T00:02:00"/>
    <x v="0"/>
    <x v="0"/>
    <x v="1"/>
    <x v="1"/>
    <x v="1"/>
  </r>
  <r>
    <x v="0"/>
    <n v="6"/>
    <x v="4"/>
    <x v="4"/>
    <x v="4"/>
    <x v="0"/>
    <n v="7000000"/>
    <n v="3"/>
    <d v="1899-12-30T00:02:00"/>
    <x v="0"/>
    <x v="8"/>
    <x v="7"/>
    <x v="3"/>
    <x v="13"/>
  </r>
  <r>
    <x v="0"/>
    <n v="22"/>
    <x v="10"/>
    <x v="1"/>
    <x v="0"/>
    <x v="4"/>
    <n v="25000000"/>
    <n v="6"/>
    <d v="1899-12-30T00:02:00"/>
    <x v="0"/>
    <x v="7"/>
    <x v="5"/>
    <x v="3"/>
    <x v="4"/>
  </r>
  <r>
    <x v="0"/>
    <n v="3"/>
    <x v="10"/>
    <x v="2"/>
    <x v="1"/>
    <x v="4"/>
    <n v="20000000"/>
    <n v="4"/>
    <d v="1899-12-30T00:02:00"/>
    <x v="0"/>
    <x v="4"/>
    <x v="7"/>
    <x v="1"/>
    <x v="6"/>
  </r>
  <r>
    <x v="0"/>
    <n v="12"/>
    <x v="5"/>
    <x v="0"/>
    <x v="2"/>
    <x v="1"/>
    <n v="11000000"/>
    <n v="1"/>
    <d v="1899-12-30T00:02:00"/>
    <x v="0"/>
    <x v="7"/>
    <x v="7"/>
    <x v="1"/>
    <x v="6"/>
  </r>
  <r>
    <x v="0"/>
    <n v="11"/>
    <x v="6"/>
    <x v="1"/>
    <x v="1"/>
    <x v="4"/>
    <n v="25000000"/>
    <n v="1"/>
    <d v="1899-12-30T00:02:00"/>
    <x v="0"/>
    <x v="2"/>
    <x v="5"/>
    <x v="1"/>
    <x v="2"/>
  </r>
  <r>
    <x v="0"/>
    <n v="11"/>
    <x v="7"/>
    <x v="2"/>
    <x v="2"/>
    <x v="2"/>
    <n v="38000000"/>
    <n v="2"/>
    <d v="1899-12-30T00:02:00"/>
    <x v="1"/>
    <x v="7"/>
    <x v="5"/>
    <x v="0"/>
    <x v="7"/>
  </r>
  <r>
    <x v="0"/>
    <n v="3"/>
    <x v="0"/>
    <x v="3"/>
    <x v="2"/>
    <x v="3"/>
    <n v="15000000"/>
    <n v="1"/>
    <d v="1899-12-30T00:02:00"/>
    <x v="0"/>
    <x v="7"/>
    <x v="0"/>
    <x v="0"/>
    <x v="5"/>
  </r>
  <r>
    <x v="0"/>
    <n v="11"/>
    <x v="8"/>
    <x v="0"/>
    <x v="1"/>
    <x v="0"/>
    <n v="19000000"/>
    <n v="1"/>
    <d v="1899-12-30T00:02:00"/>
    <x v="1"/>
    <x v="0"/>
    <x v="1"/>
    <x v="2"/>
    <x v="8"/>
  </r>
  <r>
    <x v="0"/>
    <n v="10"/>
    <x v="8"/>
    <x v="3"/>
    <x v="0"/>
    <x v="3"/>
    <n v="20000000"/>
    <n v="3"/>
    <d v="1899-12-30T00:02:00"/>
    <x v="0"/>
    <x v="5"/>
    <x v="3"/>
    <x v="2"/>
    <x v="8"/>
  </r>
  <r>
    <x v="0"/>
    <n v="5"/>
    <x v="8"/>
    <x v="3"/>
    <x v="1"/>
    <x v="0"/>
    <n v="7000000"/>
    <n v="2"/>
    <d v="1899-12-30T00:02:00"/>
    <x v="0"/>
    <x v="7"/>
    <x v="6"/>
    <x v="1"/>
    <x v="6"/>
  </r>
  <r>
    <x v="0"/>
    <n v="12"/>
    <x v="9"/>
    <x v="1"/>
    <x v="1"/>
    <x v="2"/>
    <n v="38000000"/>
    <n v="3"/>
    <d v="1899-12-30T00:02:00"/>
    <x v="1"/>
    <x v="4"/>
    <x v="4"/>
    <x v="0"/>
    <x v="7"/>
  </r>
  <r>
    <x v="0"/>
    <n v="26"/>
    <x v="1"/>
    <x v="0"/>
    <x v="2"/>
    <x v="3"/>
    <n v="20000000"/>
    <n v="3"/>
    <d v="1899-12-30T00:02:00"/>
    <x v="2"/>
    <x v="0"/>
    <x v="0"/>
    <x v="3"/>
    <x v="4"/>
  </r>
  <r>
    <x v="1"/>
    <n v="11"/>
    <x v="7"/>
    <x v="2"/>
    <x v="0"/>
    <x v="5"/>
    <n v="0"/>
    <n v="1"/>
    <d v="1899-12-30T00:02:00"/>
    <x v="3"/>
    <x v="9"/>
    <x v="2"/>
    <x v="0"/>
    <x v="9"/>
  </r>
  <r>
    <x v="1"/>
    <n v="14"/>
    <x v="0"/>
    <x v="0"/>
    <x v="1"/>
    <x v="5"/>
    <n v="0"/>
    <n v="5"/>
    <d v="1899-12-30T00:02:00"/>
    <x v="3"/>
    <x v="9"/>
    <x v="3"/>
    <x v="1"/>
    <x v="6"/>
  </r>
  <r>
    <x v="1"/>
    <n v="1"/>
    <x v="8"/>
    <x v="0"/>
    <x v="1"/>
    <x v="5"/>
    <n v="0"/>
    <n v="1"/>
    <d v="1899-12-30T00:02:00"/>
    <x v="3"/>
    <x v="9"/>
    <x v="0"/>
    <x v="2"/>
    <x v="8"/>
  </r>
  <r>
    <x v="1"/>
    <n v="12"/>
    <x v="9"/>
    <x v="1"/>
    <x v="0"/>
    <x v="5"/>
    <n v="0"/>
    <n v="2"/>
    <d v="1899-12-30T00:02:00"/>
    <x v="3"/>
    <x v="9"/>
    <x v="3"/>
    <x v="1"/>
    <x v="1"/>
  </r>
  <r>
    <x v="1"/>
    <n v="7"/>
    <x v="3"/>
    <x v="4"/>
    <x v="1"/>
    <x v="5"/>
    <n v="0"/>
    <n v="6"/>
    <d v="1899-12-30T00:02:00"/>
    <x v="3"/>
    <x v="9"/>
    <x v="5"/>
    <x v="3"/>
    <x v="13"/>
  </r>
  <r>
    <x v="1"/>
    <n v="5"/>
    <x v="3"/>
    <x v="2"/>
    <x v="2"/>
    <x v="5"/>
    <n v="0"/>
    <n v="4"/>
    <d v="1899-12-30T00:02:00"/>
    <x v="3"/>
    <x v="9"/>
    <x v="7"/>
    <x v="1"/>
    <x v="1"/>
  </r>
  <r>
    <x v="1"/>
    <n v="23"/>
    <x v="4"/>
    <x v="0"/>
    <x v="1"/>
    <x v="5"/>
    <n v="0"/>
    <n v="3"/>
    <d v="1899-12-30T00:02:00"/>
    <x v="3"/>
    <x v="9"/>
    <x v="0"/>
    <x v="3"/>
    <x v="4"/>
  </r>
  <r>
    <x v="1"/>
    <n v="19"/>
    <x v="4"/>
    <x v="2"/>
    <x v="1"/>
    <x v="5"/>
    <n v="0"/>
    <n v="1"/>
    <d v="1899-12-30T00:02:00"/>
    <x v="3"/>
    <x v="9"/>
    <x v="6"/>
    <x v="0"/>
    <x v="10"/>
  </r>
  <r>
    <x v="1"/>
    <n v="10"/>
    <x v="10"/>
    <x v="4"/>
    <x v="0"/>
    <x v="5"/>
    <n v="0"/>
    <n v="1"/>
    <d v="1899-12-30T00:02:00"/>
    <x v="3"/>
    <x v="9"/>
    <x v="6"/>
    <x v="0"/>
    <x v="5"/>
  </r>
  <r>
    <x v="1"/>
    <n v="11"/>
    <x v="7"/>
    <x v="2"/>
    <x v="0"/>
    <x v="5"/>
    <n v="0"/>
    <n v="1"/>
    <d v="1899-12-30T00:02:00"/>
    <x v="3"/>
    <x v="9"/>
    <x v="2"/>
    <x v="0"/>
    <x v="9"/>
  </r>
  <r>
    <x v="1"/>
    <n v="14"/>
    <x v="0"/>
    <x v="0"/>
    <x v="1"/>
    <x v="5"/>
    <n v="0"/>
    <n v="5"/>
    <d v="1899-12-30T00:02:00"/>
    <x v="3"/>
    <x v="9"/>
    <x v="3"/>
    <x v="1"/>
    <x v="6"/>
  </r>
  <r>
    <x v="1"/>
    <n v="1"/>
    <x v="8"/>
    <x v="0"/>
    <x v="1"/>
    <x v="5"/>
    <n v="0"/>
    <n v="1"/>
    <d v="1899-12-30T00:02:00"/>
    <x v="3"/>
    <x v="9"/>
    <x v="0"/>
    <x v="2"/>
    <x v="8"/>
  </r>
  <r>
    <x v="1"/>
    <n v="12"/>
    <x v="9"/>
    <x v="1"/>
    <x v="0"/>
    <x v="5"/>
    <n v="0"/>
    <n v="2"/>
    <d v="1899-12-30T00:02:00"/>
    <x v="3"/>
    <x v="9"/>
    <x v="3"/>
    <x v="1"/>
    <x v="1"/>
  </r>
  <r>
    <x v="0"/>
    <n v="1"/>
    <x v="8"/>
    <x v="2"/>
    <x v="1"/>
    <x v="4"/>
    <n v="25000000"/>
    <n v="1"/>
    <d v="1899-12-30T00:02:00"/>
    <x v="0"/>
    <x v="5"/>
    <x v="2"/>
    <x v="3"/>
    <x v="13"/>
  </r>
  <r>
    <x v="0"/>
    <n v="12"/>
    <x v="9"/>
    <x v="0"/>
    <x v="2"/>
    <x v="2"/>
    <n v="12000000"/>
    <n v="2"/>
    <d v="1899-12-30T00:02:00"/>
    <x v="0"/>
    <x v="0"/>
    <x v="2"/>
    <x v="1"/>
    <x v="1"/>
  </r>
  <r>
    <x v="0"/>
    <n v="12"/>
    <x v="9"/>
    <x v="0"/>
    <x v="2"/>
    <x v="1"/>
    <n v="15000000"/>
    <n v="5"/>
    <d v="1899-12-30T00:02:00"/>
    <x v="0"/>
    <x v="4"/>
    <x v="6"/>
    <x v="0"/>
    <x v="10"/>
  </r>
  <r>
    <x v="0"/>
    <n v="10"/>
    <x v="1"/>
    <x v="0"/>
    <x v="4"/>
    <x v="2"/>
    <n v="12000000"/>
    <n v="4"/>
    <d v="1899-12-30T00:02:00"/>
    <x v="0"/>
    <x v="6"/>
    <x v="3"/>
    <x v="1"/>
    <x v="2"/>
  </r>
  <r>
    <x v="0"/>
    <n v="23"/>
    <x v="2"/>
    <x v="0"/>
    <x v="2"/>
    <x v="4"/>
    <n v="20000000"/>
    <n v="1"/>
    <d v="1899-12-30T00:02:00"/>
    <x v="0"/>
    <x v="5"/>
    <x v="2"/>
    <x v="2"/>
    <x v="11"/>
  </r>
  <r>
    <x v="0"/>
    <n v="8"/>
    <x v="2"/>
    <x v="2"/>
    <x v="0"/>
    <x v="4"/>
    <n v="21000000"/>
    <n v="4"/>
    <d v="1899-12-30T00:02:00"/>
    <x v="0"/>
    <x v="0"/>
    <x v="5"/>
    <x v="0"/>
    <x v="12"/>
  </r>
  <r>
    <x v="0"/>
    <n v="22"/>
    <x v="2"/>
    <x v="0"/>
    <x v="2"/>
    <x v="3"/>
    <n v="15000000"/>
    <n v="3"/>
    <d v="1899-12-30T00:02:00"/>
    <x v="0"/>
    <x v="4"/>
    <x v="5"/>
    <x v="1"/>
    <x v="2"/>
  </r>
  <r>
    <x v="0"/>
    <n v="30"/>
    <x v="2"/>
    <x v="0"/>
    <x v="3"/>
    <x v="2"/>
    <n v="12000000"/>
    <n v="3"/>
    <d v="1899-12-30T00:02:00"/>
    <x v="0"/>
    <x v="5"/>
    <x v="6"/>
    <x v="0"/>
    <x v="10"/>
  </r>
  <r>
    <x v="0"/>
    <n v="8"/>
    <x v="3"/>
    <x v="0"/>
    <x v="1"/>
    <x v="3"/>
    <n v="20000000"/>
    <n v="3"/>
    <d v="1899-12-30T00:02:00"/>
    <x v="0"/>
    <x v="8"/>
    <x v="5"/>
    <x v="2"/>
    <x v="8"/>
  </r>
  <r>
    <x v="0"/>
    <n v="30"/>
    <x v="3"/>
    <x v="3"/>
    <x v="2"/>
    <x v="1"/>
    <n v="15000000"/>
    <n v="1"/>
    <d v="1899-12-30T00:02:00"/>
    <x v="0"/>
    <x v="0"/>
    <x v="1"/>
    <x v="1"/>
    <x v="1"/>
  </r>
  <r>
    <x v="0"/>
    <n v="9"/>
    <x v="3"/>
    <x v="1"/>
    <x v="2"/>
    <x v="1"/>
    <n v="15000000"/>
    <n v="3"/>
    <d v="1899-12-30T00:02:00"/>
    <x v="0"/>
    <x v="4"/>
    <x v="7"/>
    <x v="1"/>
    <x v="14"/>
  </r>
  <r>
    <x v="0"/>
    <n v="11"/>
    <x v="3"/>
    <x v="3"/>
    <x v="2"/>
    <x v="1"/>
    <n v="15000000"/>
    <n v="2"/>
    <d v="1899-12-30T00:02:00"/>
    <x v="0"/>
    <x v="7"/>
    <x v="7"/>
    <x v="1"/>
    <x v="6"/>
  </r>
  <r>
    <x v="0"/>
    <n v="26"/>
    <x v="3"/>
    <x v="0"/>
    <x v="1"/>
    <x v="0"/>
    <n v="7000000"/>
    <n v="2"/>
    <d v="1899-12-30T00:02:00"/>
    <x v="0"/>
    <x v="8"/>
    <x v="7"/>
    <x v="0"/>
    <x v="9"/>
  </r>
  <r>
    <x v="0"/>
    <n v="22"/>
    <x v="4"/>
    <x v="2"/>
    <x v="1"/>
    <x v="2"/>
    <n v="38000000"/>
    <n v="4"/>
    <d v="1899-12-30T00:02:00"/>
    <x v="1"/>
    <x v="7"/>
    <x v="3"/>
    <x v="3"/>
    <x v="13"/>
  </r>
  <r>
    <x v="0"/>
    <n v="3"/>
    <x v="4"/>
    <x v="4"/>
    <x v="1"/>
    <x v="0"/>
    <n v="19000000"/>
    <n v="1"/>
    <d v="1899-12-30T00:02:00"/>
    <x v="1"/>
    <x v="4"/>
    <x v="0"/>
    <x v="1"/>
    <x v="2"/>
  </r>
  <r>
    <x v="0"/>
    <n v="8"/>
    <x v="4"/>
    <x v="4"/>
    <x v="0"/>
    <x v="2"/>
    <n v="38000000"/>
    <n v="1"/>
    <d v="1899-12-30T00:02:00"/>
    <x v="1"/>
    <x v="6"/>
    <x v="1"/>
    <x v="0"/>
    <x v="0"/>
  </r>
  <r>
    <x v="0"/>
    <n v="19"/>
    <x v="4"/>
    <x v="1"/>
    <x v="1"/>
    <x v="2"/>
    <n v="12000000"/>
    <n v="1"/>
    <d v="1899-12-30T00:02:00"/>
    <x v="0"/>
    <x v="0"/>
    <x v="0"/>
    <x v="3"/>
    <x v="13"/>
  </r>
  <r>
    <x v="0"/>
    <n v="1"/>
    <x v="8"/>
    <x v="2"/>
    <x v="1"/>
    <x v="4"/>
    <n v="25000000"/>
    <n v="1"/>
    <d v="1899-12-30T00:02:00"/>
    <x v="0"/>
    <x v="5"/>
    <x v="2"/>
    <x v="3"/>
    <x v="13"/>
  </r>
  <r>
    <x v="0"/>
    <n v="12"/>
    <x v="9"/>
    <x v="0"/>
    <x v="2"/>
    <x v="2"/>
    <n v="12000000"/>
    <n v="2"/>
    <d v="1899-12-30T00:02:00"/>
    <x v="0"/>
    <x v="0"/>
    <x v="2"/>
    <x v="1"/>
    <x v="1"/>
  </r>
  <r>
    <x v="0"/>
    <n v="12"/>
    <x v="9"/>
    <x v="0"/>
    <x v="2"/>
    <x v="1"/>
    <n v="15000000"/>
    <n v="5"/>
    <d v="1899-12-30T00:02:00"/>
    <x v="0"/>
    <x v="4"/>
    <x v="6"/>
    <x v="0"/>
    <x v="10"/>
  </r>
  <r>
    <x v="0"/>
    <n v="10"/>
    <x v="1"/>
    <x v="0"/>
    <x v="4"/>
    <x v="2"/>
    <n v="12000000"/>
    <n v="4"/>
    <d v="1899-12-30T00:02:00"/>
    <x v="0"/>
    <x v="6"/>
    <x v="3"/>
    <x v="1"/>
    <x v="2"/>
  </r>
  <r>
    <x v="1"/>
    <n v="3"/>
    <x v="9"/>
    <x v="1"/>
    <x v="1"/>
    <x v="5"/>
    <n v="0"/>
    <n v="2"/>
    <d v="1899-12-30T00:02:00"/>
    <x v="3"/>
    <x v="9"/>
    <x v="6"/>
    <x v="1"/>
    <x v="1"/>
  </r>
  <r>
    <x v="1"/>
    <n v="13"/>
    <x v="1"/>
    <x v="1"/>
    <x v="0"/>
    <x v="5"/>
    <n v="0"/>
    <n v="1"/>
    <d v="1899-12-30T00:02:00"/>
    <x v="3"/>
    <x v="9"/>
    <x v="3"/>
    <x v="0"/>
    <x v="0"/>
  </r>
  <r>
    <x v="1"/>
    <n v="29"/>
    <x v="3"/>
    <x v="1"/>
    <x v="0"/>
    <x v="5"/>
    <n v="0"/>
    <n v="4"/>
    <d v="1899-12-30T00:02:00"/>
    <x v="3"/>
    <x v="9"/>
    <x v="3"/>
    <x v="2"/>
    <x v="11"/>
  </r>
  <r>
    <x v="1"/>
    <n v="5"/>
    <x v="3"/>
    <x v="1"/>
    <x v="1"/>
    <x v="5"/>
    <n v="0"/>
    <n v="5"/>
    <d v="1899-12-30T00:02:00"/>
    <x v="3"/>
    <x v="9"/>
    <x v="1"/>
    <x v="1"/>
    <x v="6"/>
  </r>
  <r>
    <x v="1"/>
    <n v="19"/>
    <x v="4"/>
    <x v="4"/>
    <x v="2"/>
    <x v="5"/>
    <n v="0"/>
    <n v="2"/>
    <d v="1899-12-30T00:02:00"/>
    <x v="3"/>
    <x v="9"/>
    <x v="7"/>
    <x v="3"/>
    <x v="13"/>
  </r>
  <r>
    <x v="1"/>
    <n v="18"/>
    <x v="10"/>
    <x v="0"/>
    <x v="2"/>
    <x v="5"/>
    <n v="0"/>
    <n v="1"/>
    <d v="1899-12-30T00:02:00"/>
    <x v="3"/>
    <x v="9"/>
    <x v="2"/>
    <x v="3"/>
    <x v="4"/>
  </r>
  <r>
    <x v="1"/>
    <n v="29"/>
    <x v="10"/>
    <x v="4"/>
    <x v="0"/>
    <x v="5"/>
    <n v="0"/>
    <n v="1"/>
    <d v="1899-12-30T00:02:00"/>
    <x v="3"/>
    <x v="9"/>
    <x v="2"/>
    <x v="0"/>
    <x v="9"/>
  </r>
  <r>
    <x v="1"/>
    <n v="1"/>
    <x v="10"/>
    <x v="4"/>
    <x v="1"/>
    <x v="5"/>
    <n v="0"/>
    <n v="2"/>
    <d v="1899-12-30T00:02:00"/>
    <x v="3"/>
    <x v="9"/>
    <x v="5"/>
    <x v="0"/>
    <x v="0"/>
  </r>
  <r>
    <x v="1"/>
    <n v="30"/>
    <x v="10"/>
    <x v="1"/>
    <x v="1"/>
    <x v="5"/>
    <n v="0"/>
    <n v="1"/>
    <d v="1899-12-30T00:02:00"/>
    <x v="3"/>
    <x v="9"/>
    <x v="6"/>
    <x v="2"/>
    <x v="8"/>
  </r>
  <r>
    <x v="1"/>
    <n v="3"/>
    <x v="9"/>
    <x v="1"/>
    <x v="1"/>
    <x v="5"/>
    <n v="0"/>
    <n v="2"/>
    <d v="1899-12-30T00:02:00"/>
    <x v="3"/>
    <x v="9"/>
    <x v="6"/>
    <x v="1"/>
    <x v="1"/>
  </r>
  <r>
    <x v="0"/>
    <n v="11"/>
    <x v="5"/>
    <x v="4"/>
    <x v="0"/>
    <x v="3"/>
    <n v="20000000"/>
    <n v="2"/>
    <d v="1899-12-30T00:02:00"/>
    <x v="2"/>
    <x v="3"/>
    <x v="2"/>
    <x v="3"/>
    <x v="13"/>
  </r>
  <r>
    <x v="0"/>
    <n v="14"/>
    <x v="5"/>
    <x v="4"/>
    <x v="0"/>
    <x v="1"/>
    <n v="15000000"/>
    <n v="2"/>
    <d v="1899-12-30T00:02:00"/>
    <x v="0"/>
    <x v="7"/>
    <x v="2"/>
    <x v="1"/>
    <x v="6"/>
  </r>
  <r>
    <x v="0"/>
    <n v="11"/>
    <x v="6"/>
    <x v="4"/>
    <x v="2"/>
    <x v="2"/>
    <n v="10000000"/>
    <n v="1"/>
    <d v="1899-12-30T00:02:00"/>
    <x v="0"/>
    <x v="4"/>
    <x v="3"/>
    <x v="0"/>
    <x v="10"/>
  </r>
  <r>
    <x v="0"/>
    <n v="1"/>
    <x v="0"/>
    <x v="1"/>
    <x v="2"/>
    <x v="4"/>
    <n v="25000000"/>
    <n v="1"/>
    <d v="1899-12-30T00:02:00"/>
    <x v="0"/>
    <x v="4"/>
    <x v="4"/>
    <x v="0"/>
    <x v="5"/>
  </r>
  <r>
    <x v="0"/>
    <n v="1"/>
    <x v="11"/>
    <x v="5"/>
    <x v="1"/>
    <x v="2"/>
    <n v="12000000"/>
    <n v="5"/>
    <d v="1899-12-30T00:02:00"/>
    <x v="0"/>
    <x v="7"/>
    <x v="6"/>
    <x v="2"/>
    <x v="8"/>
  </r>
  <r>
    <x v="0"/>
    <n v="30"/>
    <x v="2"/>
    <x v="0"/>
    <x v="2"/>
    <x v="2"/>
    <n v="12000000"/>
    <n v="1"/>
    <d v="1899-12-30T00:02:00"/>
    <x v="0"/>
    <x v="0"/>
    <x v="2"/>
    <x v="3"/>
    <x v="13"/>
  </r>
  <r>
    <x v="0"/>
    <n v="13"/>
    <x v="2"/>
    <x v="3"/>
    <x v="2"/>
    <x v="1"/>
    <n v="12000000"/>
    <n v="1"/>
    <d v="1899-12-30T00:02:00"/>
    <x v="0"/>
    <x v="5"/>
    <x v="6"/>
    <x v="0"/>
    <x v="9"/>
  </r>
  <r>
    <x v="0"/>
    <n v="1"/>
    <x v="2"/>
    <x v="0"/>
    <x v="2"/>
    <x v="0"/>
    <n v="7000000"/>
    <n v="4"/>
    <d v="1899-12-30T00:02:00"/>
    <x v="0"/>
    <x v="3"/>
    <x v="7"/>
    <x v="0"/>
    <x v="9"/>
  </r>
  <r>
    <x v="0"/>
    <n v="21"/>
    <x v="3"/>
    <x v="2"/>
    <x v="2"/>
    <x v="0"/>
    <n v="19000000"/>
    <n v="1"/>
    <d v="1899-12-30T00:02:00"/>
    <x v="1"/>
    <x v="4"/>
    <x v="2"/>
    <x v="0"/>
    <x v="10"/>
  </r>
  <r>
    <x v="0"/>
    <n v="3"/>
    <x v="3"/>
    <x v="2"/>
    <x v="2"/>
    <x v="2"/>
    <n v="38000000"/>
    <n v="2"/>
    <d v="1899-12-30T00:02:00"/>
    <x v="1"/>
    <x v="0"/>
    <x v="7"/>
    <x v="1"/>
    <x v="2"/>
  </r>
  <r>
    <x v="0"/>
    <n v="8"/>
    <x v="3"/>
    <x v="4"/>
    <x v="2"/>
    <x v="3"/>
    <n v="20000000"/>
    <n v="2"/>
    <d v="1899-12-30T00:02:00"/>
    <x v="2"/>
    <x v="4"/>
    <x v="2"/>
    <x v="1"/>
    <x v="1"/>
  </r>
  <r>
    <x v="0"/>
    <n v="14"/>
    <x v="3"/>
    <x v="0"/>
    <x v="1"/>
    <x v="0"/>
    <n v="7000000"/>
    <n v="5"/>
    <d v="1899-12-30T00:02:00"/>
    <x v="0"/>
    <x v="3"/>
    <x v="5"/>
    <x v="3"/>
    <x v="13"/>
  </r>
  <r>
    <x v="0"/>
    <n v="31"/>
    <x v="3"/>
    <x v="1"/>
    <x v="1"/>
    <x v="1"/>
    <n v="15000000"/>
    <n v="3"/>
    <d v="1899-12-30T00:02:00"/>
    <x v="0"/>
    <x v="2"/>
    <x v="1"/>
    <x v="2"/>
    <x v="11"/>
  </r>
  <r>
    <x v="0"/>
    <n v="20"/>
    <x v="3"/>
    <x v="2"/>
    <x v="3"/>
    <x v="1"/>
    <n v="15000000"/>
    <n v="1"/>
    <d v="1899-12-30T00:02:00"/>
    <x v="0"/>
    <x v="8"/>
    <x v="6"/>
    <x v="2"/>
    <x v="8"/>
  </r>
  <r>
    <x v="0"/>
    <n v="25"/>
    <x v="4"/>
    <x v="0"/>
    <x v="1"/>
    <x v="2"/>
    <n v="38000000"/>
    <n v="1"/>
    <d v="1899-12-30T00:02:00"/>
    <x v="1"/>
    <x v="5"/>
    <x v="2"/>
    <x v="0"/>
    <x v="7"/>
  </r>
  <r>
    <x v="0"/>
    <n v="5"/>
    <x v="4"/>
    <x v="2"/>
    <x v="3"/>
    <x v="1"/>
    <n v="12000000"/>
    <n v="2"/>
    <d v="1899-12-30T00:02:00"/>
    <x v="0"/>
    <x v="1"/>
    <x v="5"/>
    <x v="1"/>
    <x v="6"/>
  </r>
  <r>
    <x v="0"/>
    <n v="16"/>
    <x v="4"/>
    <x v="1"/>
    <x v="2"/>
    <x v="2"/>
    <n v="12000000"/>
    <n v="3"/>
    <d v="1899-12-30T00:02:00"/>
    <x v="0"/>
    <x v="0"/>
    <x v="7"/>
    <x v="1"/>
    <x v="1"/>
  </r>
  <r>
    <x v="0"/>
    <n v="26"/>
    <x v="10"/>
    <x v="3"/>
    <x v="1"/>
    <x v="4"/>
    <n v="25000000"/>
    <n v="5"/>
    <d v="1899-12-30T00:02:00"/>
    <x v="0"/>
    <x v="8"/>
    <x v="4"/>
    <x v="2"/>
    <x v="8"/>
  </r>
  <r>
    <x v="0"/>
    <n v="11"/>
    <x v="5"/>
    <x v="4"/>
    <x v="0"/>
    <x v="3"/>
    <n v="20000000"/>
    <n v="2"/>
    <d v="1899-12-30T00:02:00"/>
    <x v="2"/>
    <x v="3"/>
    <x v="2"/>
    <x v="3"/>
    <x v="13"/>
  </r>
  <r>
    <x v="0"/>
    <n v="14"/>
    <x v="5"/>
    <x v="4"/>
    <x v="0"/>
    <x v="1"/>
    <n v="15000000"/>
    <n v="2"/>
    <d v="1899-12-30T00:02:00"/>
    <x v="0"/>
    <x v="7"/>
    <x v="2"/>
    <x v="1"/>
    <x v="6"/>
  </r>
  <r>
    <x v="0"/>
    <n v="11"/>
    <x v="6"/>
    <x v="4"/>
    <x v="2"/>
    <x v="2"/>
    <n v="10000000"/>
    <n v="1"/>
    <d v="1899-12-30T00:02:00"/>
    <x v="0"/>
    <x v="4"/>
    <x v="3"/>
    <x v="0"/>
    <x v="10"/>
  </r>
  <r>
    <x v="0"/>
    <n v="1"/>
    <x v="0"/>
    <x v="1"/>
    <x v="2"/>
    <x v="4"/>
    <n v="25000000"/>
    <n v="1"/>
    <d v="1899-12-30T00:02:00"/>
    <x v="0"/>
    <x v="4"/>
    <x v="4"/>
    <x v="0"/>
    <x v="5"/>
  </r>
  <r>
    <x v="0"/>
    <n v="1"/>
    <x v="11"/>
    <x v="5"/>
    <x v="1"/>
    <x v="2"/>
    <n v="12000000"/>
    <n v="5"/>
    <d v="1899-12-30T00:02:00"/>
    <x v="0"/>
    <x v="7"/>
    <x v="6"/>
    <x v="2"/>
    <x v="8"/>
  </r>
  <r>
    <x v="1"/>
    <n v="13"/>
    <x v="9"/>
    <x v="0"/>
    <x v="4"/>
    <x v="5"/>
    <n v="0"/>
    <n v="3"/>
    <d v="1899-12-30T00:02:00"/>
    <x v="3"/>
    <x v="9"/>
    <x v="1"/>
    <x v="1"/>
    <x v="1"/>
  </r>
  <r>
    <x v="1"/>
    <n v="15"/>
    <x v="2"/>
    <x v="3"/>
    <x v="1"/>
    <x v="5"/>
    <n v="0"/>
    <n v="4"/>
    <d v="1899-12-30T00:02:00"/>
    <x v="3"/>
    <x v="9"/>
    <x v="0"/>
    <x v="0"/>
    <x v="12"/>
  </r>
  <r>
    <x v="1"/>
    <n v="28"/>
    <x v="3"/>
    <x v="2"/>
    <x v="1"/>
    <x v="5"/>
    <n v="0"/>
    <n v="3"/>
    <d v="1899-12-30T00:02:00"/>
    <x v="3"/>
    <x v="9"/>
    <x v="3"/>
    <x v="1"/>
    <x v="2"/>
  </r>
  <r>
    <x v="1"/>
    <n v="20"/>
    <x v="3"/>
    <x v="0"/>
    <x v="2"/>
    <x v="5"/>
    <n v="0"/>
    <n v="2"/>
    <d v="1899-12-30T00:02:00"/>
    <x v="3"/>
    <x v="9"/>
    <x v="0"/>
    <x v="0"/>
    <x v="9"/>
  </r>
  <r>
    <x v="1"/>
    <n v="14"/>
    <x v="3"/>
    <x v="0"/>
    <x v="2"/>
    <x v="5"/>
    <n v="0"/>
    <n v="1"/>
    <d v="1899-12-30T00:02:00"/>
    <x v="3"/>
    <x v="9"/>
    <x v="6"/>
    <x v="3"/>
    <x v="13"/>
  </r>
  <r>
    <x v="1"/>
    <n v="13"/>
    <x v="4"/>
    <x v="0"/>
    <x v="1"/>
    <x v="5"/>
    <n v="0"/>
    <n v="1"/>
    <d v="1899-12-30T00:02:00"/>
    <x v="3"/>
    <x v="9"/>
    <x v="3"/>
    <x v="0"/>
    <x v="5"/>
  </r>
  <r>
    <x v="1"/>
    <n v="15"/>
    <x v="4"/>
    <x v="4"/>
    <x v="1"/>
    <x v="5"/>
    <n v="0"/>
    <n v="4"/>
    <d v="1899-12-30T00:02:00"/>
    <x v="3"/>
    <x v="9"/>
    <x v="3"/>
    <x v="2"/>
    <x v="8"/>
  </r>
  <r>
    <x v="1"/>
    <n v="26"/>
    <x v="4"/>
    <x v="0"/>
    <x v="2"/>
    <x v="5"/>
    <n v="0"/>
    <n v="2"/>
    <d v="1899-12-30T00:02:00"/>
    <x v="3"/>
    <x v="9"/>
    <x v="7"/>
    <x v="1"/>
    <x v="2"/>
  </r>
  <r>
    <x v="1"/>
    <n v="13"/>
    <x v="9"/>
    <x v="0"/>
    <x v="4"/>
    <x v="5"/>
    <n v="0"/>
    <n v="3"/>
    <d v="1899-12-30T00:02:00"/>
    <x v="3"/>
    <x v="9"/>
    <x v="1"/>
    <x v="1"/>
    <x v="1"/>
  </r>
  <r>
    <x v="0"/>
    <n v="16"/>
    <x v="5"/>
    <x v="3"/>
    <x v="1"/>
    <x v="4"/>
    <n v="25000000"/>
    <n v="1"/>
    <d v="1899-12-30T00:02:00"/>
    <x v="0"/>
    <x v="5"/>
    <x v="6"/>
    <x v="1"/>
    <x v="2"/>
  </r>
  <r>
    <x v="0"/>
    <n v="1"/>
    <x v="6"/>
    <x v="2"/>
    <x v="1"/>
    <x v="0"/>
    <n v="7000000"/>
    <n v="2"/>
    <d v="1899-12-30T00:02:00"/>
    <x v="0"/>
    <x v="1"/>
    <x v="3"/>
    <x v="1"/>
    <x v="2"/>
  </r>
  <r>
    <x v="0"/>
    <n v="11"/>
    <x v="6"/>
    <x v="2"/>
    <x v="3"/>
    <x v="2"/>
    <n v="12000000"/>
    <n v="2"/>
    <d v="1899-12-30T00:02:00"/>
    <x v="0"/>
    <x v="1"/>
    <x v="4"/>
    <x v="0"/>
    <x v="10"/>
  </r>
  <r>
    <x v="0"/>
    <n v="11"/>
    <x v="6"/>
    <x v="0"/>
    <x v="1"/>
    <x v="1"/>
    <n v="15000000"/>
    <n v="1"/>
    <d v="1899-12-30T00:02:00"/>
    <x v="0"/>
    <x v="4"/>
    <x v="6"/>
    <x v="3"/>
    <x v="4"/>
  </r>
  <r>
    <x v="0"/>
    <n v="1"/>
    <x v="0"/>
    <x v="0"/>
    <x v="0"/>
    <x v="0"/>
    <n v="19000000"/>
    <n v="1"/>
    <d v="1899-12-30T00:02:00"/>
    <x v="1"/>
    <x v="4"/>
    <x v="5"/>
    <x v="0"/>
    <x v="12"/>
  </r>
  <r>
    <x v="0"/>
    <n v="1"/>
    <x v="0"/>
    <x v="3"/>
    <x v="1"/>
    <x v="3"/>
    <n v="20000000"/>
    <n v="3"/>
    <d v="1899-12-30T00:02:00"/>
    <x v="2"/>
    <x v="4"/>
    <x v="6"/>
    <x v="3"/>
    <x v="13"/>
  </r>
  <r>
    <x v="0"/>
    <n v="1"/>
    <x v="0"/>
    <x v="0"/>
    <x v="2"/>
    <x v="1"/>
    <n v="15000000"/>
    <n v="1"/>
    <d v="1899-12-30T00:02:00"/>
    <x v="0"/>
    <x v="7"/>
    <x v="7"/>
    <x v="2"/>
    <x v="3"/>
  </r>
  <r>
    <x v="0"/>
    <n v="1"/>
    <x v="8"/>
    <x v="0"/>
    <x v="0"/>
    <x v="3"/>
    <n v="20000000"/>
    <n v="4"/>
    <d v="1899-12-30T00:02:00"/>
    <x v="2"/>
    <x v="4"/>
    <x v="1"/>
    <x v="0"/>
    <x v="9"/>
  </r>
  <r>
    <x v="0"/>
    <n v="4"/>
    <x v="8"/>
    <x v="5"/>
    <x v="0"/>
    <x v="1"/>
    <n v="15000000"/>
    <n v="1"/>
    <d v="1899-12-30T00:02:00"/>
    <x v="0"/>
    <x v="3"/>
    <x v="5"/>
    <x v="1"/>
    <x v="2"/>
  </r>
  <r>
    <x v="0"/>
    <n v="11"/>
    <x v="8"/>
    <x v="3"/>
    <x v="1"/>
    <x v="4"/>
    <n v="25000000"/>
    <n v="4"/>
    <d v="1899-12-30T00:02:00"/>
    <x v="0"/>
    <x v="2"/>
    <x v="5"/>
    <x v="1"/>
    <x v="6"/>
  </r>
  <r>
    <x v="0"/>
    <n v="12"/>
    <x v="11"/>
    <x v="3"/>
    <x v="1"/>
    <x v="2"/>
    <n v="12000000"/>
    <n v="4"/>
    <d v="1899-12-30T00:02:00"/>
    <x v="0"/>
    <x v="3"/>
    <x v="1"/>
    <x v="2"/>
    <x v="8"/>
  </r>
  <r>
    <x v="0"/>
    <n v="31"/>
    <x v="1"/>
    <x v="0"/>
    <x v="1"/>
    <x v="0"/>
    <n v="19000000"/>
    <n v="3"/>
    <d v="1899-12-30T00:02:00"/>
    <x v="1"/>
    <x v="7"/>
    <x v="1"/>
    <x v="1"/>
    <x v="6"/>
  </r>
  <r>
    <x v="0"/>
    <n v="2"/>
    <x v="1"/>
    <x v="1"/>
    <x v="3"/>
    <x v="2"/>
    <n v="12000000"/>
    <n v="2"/>
    <d v="1899-12-30T00:02:00"/>
    <x v="0"/>
    <x v="7"/>
    <x v="2"/>
    <x v="0"/>
    <x v="12"/>
  </r>
  <r>
    <x v="0"/>
    <n v="9"/>
    <x v="1"/>
    <x v="0"/>
    <x v="2"/>
    <x v="1"/>
    <n v="12000000"/>
    <n v="5"/>
    <d v="1899-12-30T00:02:00"/>
    <x v="0"/>
    <x v="8"/>
    <x v="4"/>
    <x v="1"/>
    <x v="6"/>
  </r>
  <r>
    <x v="0"/>
    <n v="25"/>
    <x v="1"/>
    <x v="2"/>
    <x v="2"/>
    <x v="2"/>
    <n v="10000000"/>
    <n v="4"/>
    <d v="1899-12-30T00:02:00"/>
    <x v="0"/>
    <x v="8"/>
    <x v="3"/>
    <x v="1"/>
    <x v="2"/>
  </r>
  <r>
    <x v="0"/>
    <n v="9"/>
    <x v="1"/>
    <x v="0"/>
    <x v="2"/>
    <x v="2"/>
    <n v="12000000"/>
    <n v="1"/>
    <d v="1899-12-30T00:02:00"/>
    <x v="0"/>
    <x v="5"/>
    <x v="4"/>
    <x v="0"/>
    <x v="10"/>
  </r>
  <r>
    <x v="0"/>
    <n v="10"/>
    <x v="1"/>
    <x v="2"/>
    <x v="2"/>
    <x v="1"/>
    <n v="15000000"/>
    <n v="1"/>
    <d v="1899-12-30T00:02:00"/>
    <x v="0"/>
    <x v="7"/>
    <x v="4"/>
    <x v="1"/>
    <x v="6"/>
  </r>
  <r>
    <x v="0"/>
    <n v="14"/>
    <x v="1"/>
    <x v="4"/>
    <x v="1"/>
    <x v="3"/>
    <n v="20000000"/>
    <n v="3"/>
    <d v="1899-12-30T00:02:00"/>
    <x v="0"/>
    <x v="2"/>
    <x v="0"/>
    <x v="0"/>
    <x v="10"/>
  </r>
  <r>
    <x v="0"/>
    <n v="10"/>
    <x v="2"/>
    <x v="1"/>
    <x v="3"/>
    <x v="3"/>
    <n v="11000000"/>
    <n v="1"/>
    <d v="1899-12-30T00:02:00"/>
    <x v="2"/>
    <x v="0"/>
    <x v="5"/>
    <x v="2"/>
    <x v="3"/>
  </r>
  <r>
    <x v="0"/>
    <n v="27"/>
    <x v="2"/>
    <x v="2"/>
    <x v="0"/>
    <x v="1"/>
    <n v="12000000"/>
    <n v="3"/>
    <d v="1899-12-30T00:02:00"/>
    <x v="0"/>
    <x v="2"/>
    <x v="2"/>
    <x v="0"/>
    <x v="9"/>
  </r>
  <r>
    <x v="0"/>
    <n v="28"/>
    <x v="2"/>
    <x v="0"/>
    <x v="2"/>
    <x v="1"/>
    <n v="15000000"/>
    <n v="1"/>
    <d v="1899-12-30T00:02:00"/>
    <x v="0"/>
    <x v="2"/>
    <x v="6"/>
    <x v="1"/>
    <x v="2"/>
  </r>
  <r>
    <x v="0"/>
    <n v="28"/>
    <x v="2"/>
    <x v="0"/>
    <x v="2"/>
    <x v="4"/>
    <n v="25000000"/>
    <n v="2"/>
    <d v="1899-12-30T00:02:00"/>
    <x v="0"/>
    <x v="3"/>
    <x v="2"/>
    <x v="1"/>
    <x v="1"/>
  </r>
  <r>
    <x v="0"/>
    <n v="29"/>
    <x v="2"/>
    <x v="2"/>
    <x v="1"/>
    <x v="0"/>
    <n v="7000000"/>
    <n v="3"/>
    <d v="1899-12-30T00:02:00"/>
    <x v="0"/>
    <x v="4"/>
    <x v="3"/>
    <x v="3"/>
    <x v="13"/>
  </r>
  <r>
    <x v="0"/>
    <n v="30"/>
    <x v="2"/>
    <x v="5"/>
    <x v="1"/>
    <x v="2"/>
    <n v="12000000"/>
    <n v="4"/>
    <d v="1899-12-30T00:02:00"/>
    <x v="0"/>
    <x v="2"/>
    <x v="2"/>
    <x v="0"/>
    <x v="7"/>
  </r>
  <r>
    <x v="0"/>
    <n v="11"/>
    <x v="2"/>
    <x v="3"/>
    <x v="2"/>
    <x v="1"/>
    <n v="15000000"/>
    <n v="1"/>
    <d v="1899-12-30T00:02:00"/>
    <x v="0"/>
    <x v="0"/>
    <x v="3"/>
    <x v="3"/>
    <x v="13"/>
  </r>
  <r>
    <x v="0"/>
    <n v="15"/>
    <x v="2"/>
    <x v="1"/>
    <x v="1"/>
    <x v="3"/>
    <n v="15000000"/>
    <n v="3"/>
    <d v="1899-12-30T00:02:00"/>
    <x v="0"/>
    <x v="2"/>
    <x v="5"/>
    <x v="0"/>
    <x v="9"/>
  </r>
  <r>
    <x v="0"/>
    <n v="20"/>
    <x v="3"/>
    <x v="2"/>
    <x v="1"/>
    <x v="2"/>
    <n v="38000000"/>
    <n v="1"/>
    <d v="1899-12-30T00:02:00"/>
    <x v="4"/>
    <x v="0"/>
    <x v="5"/>
    <x v="3"/>
    <x v="13"/>
  </r>
  <r>
    <x v="0"/>
    <n v="8"/>
    <x v="3"/>
    <x v="3"/>
    <x v="3"/>
    <x v="2"/>
    <n v="38000000"/>
    <n v="4"/>
    <d v="1899-12-30T00:02:00"/>
    <x v="1"/>
    <x v="0"/>
    <x v="3"/>
    <x v="3"/>
    <x v="13"/>
  </r>
  <r>
    <x v="0"/>
    <n v="27"/>
    <x v="3"/>
    <x v="0"/>
    <x v="4"/>
    <x v="2"/>
    <n v="38000000"/>
    <n v="1"/>
    <d v="1899-12-30T00:02:00"/>
    <x v="1"/>
    <x v="3"/>
    <x v="6"/>
    <x v="3"/>
    <x v="13"/>
  </r>
  <r>
    <x v="0"/>
    <n v="5"/>
    <x v="3"/>
    <x v="4"/>
    <x v="1"/>
    <x v="3"/>
    <n v="15000000"/>
    <n v="1"/>
    <d v="1899-12-30T00:02:00"/>
    <x v="0"/>
    <x v="0"/>
    <x v="3"/>
    <x v="3"/>
    <x v="4"/>
  </r>
  <r>
    <x v="0"/>
    <n v="27"/>
    <x v="3"/>
    <x v="1"/>
    <x v="1"/>
    <x v="3"/>
    <n v="15000000"/>
    <n v="1"/>
    <d v="1899-12-30T00:02:00"/>
    <x v="0"/>
    <x v="0"/>
    <x v="0"/>
    <x v="2"/>
    <x v="8"/>
  </r>
  <r>
    <x v="0"/>
    <n v="30"/>
    <x v="3"/>
    <x v="3"/>
    <x v="1"/>
    <x v="1"/>
    <n v="15000000"/>
    <n v="1"/>
    <d v="1899-12-30T00:02:00"/>
    <x v="0"/>
    <x v="5"/>
    <x v="0"/>
    <x v="2"/>
    <x v="8"/>
  </r>
  <r>
    <x v="0"/>
    <n v="1"/>
    <x v="3"/>
    <x v="3"/>
    <x v="2"/>
    <x v="2"/>
    <n v="10000000"/>
    <n v="1"/>
    <d v="1899-12-30T00:02:00"/>
    <x v="0"/>
    <x v="4"/>
    <x v="5"/>
    <x v="0"/>
    <x v="12"/>
  </r>
  <r>
    <x v="0"/>
    <n v="2"/>
    <x v="3"/>
    <x v="0"/>
    <x v="2"/>
    <x v="1"/>
    <n v="11000000"/>
    <n v="1"/>
    <d v="1899-12-30T00:02:00"/>
    <x v="0"/>
    <x v="5"/>
    <x v="7"/>
    <x v="2"/>
    <x v="8"/>
  </r>
  <r>
    <x v="0"/>
    <n v="6"/>
    <x v="3"/>
    <x v="0"/>
    <x v="1"/>
    <x v="4"/>
    <n v="20000000"/>
    <n v="1"/>
    <d v="1899-12-30T00:02:00"/>
    <x v="0"/>
    <x v="2"/>
    <x v="7"/>
    <x v="3"/>
    <x v="4"/>
  </r>
  <r>
    <x v="0"/>
    <n v="29"/>
    <x v="3"/>
    <x v="3"/>
    <x v="0"/>
    <x v="4"/>
    <n v="25000000"/>
    <n v="6"/>
    <d v="1899-12-30T00:02:00"/>
    <x v="0"/>
    <x v="0"/>
    <x v="7"/>
    <x v="0"/>
    <x v="0"/>
  </r>
  <r>
    <x v="0"/>
    <n v="22"/>
    <x v="4"/>
    <x v="2"/>
    <x v="2"/>
    <x v="0"/>
    <n v="19000000"/>
    <n v="5"/>
    <d v="1899-12-30T00:02:00"/>
    <x v="1"/>
    <x v="2"/>
    <x v="0"/>
    <x v="0"/>
    <x v="7"/>
  </r>
  <r>
    <x v="0"/>
    <n v="22"/>
    <x v="4"/>
    <x v="0"/>
    <x v="1"/>
    <x v="3"/>
    <n v="20000000"/>
    <n v="4"/>
    <d v="1899-12-30T00:02:00"/>
    <x v="2"/>
    <x v="7"/>
    <x v="0"/>
    <x v="1"/>
    <x v="6"/>
  </r>
  <r>
    <x v="0"/>
    <n v="15"/>
    <x v="4"/>
    <x v="1"/>
    <x v="2"/>
    <x v="2"/>
    <n v="12000000"/>
    <n v="2"/>
    <d v="1899-12-30T00:02:00"/>
    <x v="0"/>
    <x v="2"/>
    <x v="2"/>
    <x v="0"/>
    <x v="0"/>
  </r>
  <r>
    <x v="0"/>
    <n v="19"/>
    <x v="4"/>
    <x v="0"/>
    <x v="0"/>
    <x v="1"/>
    <n v="15000000"/>
    <n v="3"/>
    <d v="1899-12-30T00:02:00"/>
    <x v="0"/>
    <x v="4"/>
    <x v="2"/>
    <x v="1"/>
    <x v="1"/>
  </r>
  <r>
    <x v="0"/>
    <n v="17"/>
    <x v="4"/>
    <x v="1"/>
    <x v="2"/>
    <x v="0"/>
    <n v="7000000"/>
    <n v="3"/>
    <d v="1899-12-30T00:02:00"/>
    <x v="0"/>
    <x v="0"/>
    <x v="5"/>
    <x v="0"/>
    <x v="5"/>
  </r>
  <r>
    <x v="0"/>
    <n v="19"/>
    <x v="4"/>
    <x v="5"/>
    <x v="2"/>
    <x v="2"/>
    <n v="12000000"/>
    <n v="1"/>
    <d v="1899-12-30T00:02:00"/>
    <x v="0"/>
    <x v="1"/>
    <x v="6"/>
    <x v="1"/>
    <x v="2"/>
  </r>
  <r>
    <x v="0"/>
    <n v="14"/>
    <x v="4"/>
    <x v="3"/>
    <x v="0"/>
    <x v="4"/>
    <n v="25000000"/>
    <n v="1"/>
    <d v="1899-12-30T00:02:00"/>
    <x v="0"/>
    <x v="4"/>
    <x v="7"/>
    <x v="2"/>
    <x v="11"/>
  </r>
  <r>
    <x v="0"/>
    <n v="29"/>
    <x v="10"/>
    <x v="1"/>
    <x v="2"/>
    <x v="0"/>
    <n v="19000000"/>
    <n v="1"/>
    <d v="1899-12-30T00:02:00"/>
    <x v="1"/>
    <x v="6"/>
    <x v="0"/>
    <x v="1"/>
    <x v="15"/>
  </r>
  <r>
    <x v="0"/>
    <n v="13"/>
    <x v="10"/>
    <x v="4"/>
    <x v="2"/>
    <x v="2"/>
    <n v="12000000"/>
    <n v="5"/>
    <d v="1899-12-30T00:02:00"/>
    <x v="0"/>
    <x v="0"/>
    <x v="2"/>
    <x v="0"/>
    <x v="9"/>
  </r>
  <r>
    <x v="0"/>
    <n v="26"/>
    <x v="10"/>
    <x v="2"/>
    <x v="1"/>
    <x v="4"/>
    <n v="25000000"/>
    <n v="2"/>
    <d v="1899-12-30T00:02:00"/>
    <x v="0"/>
    <x v="2"/>
    <x v="2"/>
    <x v="3"/>
    <x v="4"/>
  </r>
  <r>
    <x v="0"/>
    <n v="16"/>
    <x v="10"/>
    <x v="0"/>
    <x v="1"/>
    <x v="1"/>
    <n v="15000000"/>
    <n v="3"/>
    <d v="1899-12-30T00:02:00"/>
    <x v="0"/>
    <x v="1"/>
    <x v="3"/>
    <x v="1"/>
    <x v="2"/>
  </r>
  <r>
    <x v="0"/>
    <n v="14"/>
    <x v="10"/>
    <x v="2"/>
    <x v="0"/>
    <x v="0"/>
    <n v="7000000"/>
    <n v="1"/>
    <d v="1899-12-30T00:02:00"/>
    <x v="0"/>
    <x v="4"/>
    <x v="6"/>
    <x v="0"/>
    <x v="7"/>
  </r>
  <r>
    <x v="0"/>
    <n v="16"/>
    <x v="5"/>
    <x v="3"/>
    <x v="1"/>
    <x v="4"/>
    <n v="25000000"/>
    <n v="1"/>
    <d v="1899-12-30T00:02:00"/>
    <x v="0"/>
    <x v="5"/>
    <x v="6"/>
    <x v="1"/>
    <x v="2"/>
  </r>
  <r>
    <x v="0"/>
    <n v="1"/>
    <x v="6"/>
    <x v="2"/>
    <x v="1"/>
    <x v="0"/>
    <n v="7000000"/>
    <n v="2"/>
    <d v="1899-12-30T00:02:00"/>
    <x v="0"/>
    <x v="1"/>
    <x v="3"/>
    <x v="1"/>
    <x v="2"/>
  </r>
  <r>
    <x v="0"/>
    <n v="11"/>
    <x v="6"/>
    <x v="2"/>
    <x v="3"/>
    <x v="2"/>
    <n v="12000000"/>
    <n v="2"/>
    <d v="1899-12-30T00:02:00"/>
    <x v="0"/>
    <x v="1"/>
    <x v="4"/>
    <x v="0"/>
    <x v="10"/>
  </r>
  <r>
    <x v="0"/>
    <n v="11"/>
    <x v="6"/>
    <x v="0"/>
    <x v="1"/>
    <x v="1"/>
    <n v="15000000"/>
    <n v="1"/>
    <d v="1899-12-30T00:02:00"/>
    <x v="0"/>
    <x v="4"/>
    <x v="6"/>
    <x v="3"/>
    <x v="4"/>
  </r>
  <r>
    <x v="0"/>
    <n v="1"/>
    <x v="0"/>
    <x v="0"/>
    <x v="0"/>
    <x v="0"/>
    <n v="19000000"/>
    <n v="1"/>
    <d v="1899-12-30T00:02:00"/>
    <x v="1"/>
    <x v="4"/>
    <x v="5"/>
    <x v="0"/>
    <x v="12"/>
  </r>
  <r>
    <x v="0"/>
    <n v="1"/>
    <x v="0"/>
    <x v="3"/>
    <x v="1"/>
    <x v="3"/>
    <n v="20000000"/>
    <n v="3"/>
    <d v="1899-12-30T00:02:00"/>
    <x v="2"/>
    <x v="4"/>
    <x v="6"/>
    <x v="3"/>
    <x v="13"/>
  </r>
  <r>
    <x v="0"/>
    <n v="1"/>
    <x v="0"/>
    <x v="0"/>
    <x v="2"/>
    <x v="1"/>
    <n v="15000000"/>
    <n v="1"/>
    <d v="1899-12-30T00:02:00"/>
    <x v="0"/>
    <x v="7"/>
    <x v="7"/>
    <x v="2"/>
    <x v="3"/>
  </r>
  <r>
    <x v="0"/>
    <n v="1"/>
    <x v="8"/>
    <x v="0"/>
    <x v="0"/>
    <x v="3"/>
    <n v="20000000"/>
    <n v="4"/>
    <d v="1899-12-30T00:02:00"/>
    <x v="2"/>
    <x v="4"/>
    <x v="1"/>
    <x v="0"/>
    <x v="9"/>
  </r>
  <r>
    <x v="0"/>
    <n v="4"/>
    <x v="8"/>
    <x v="5"/>
    <x v="0"/>
    <x v="1"/>
    <n v="15000000"/>
    <n v="1"/>
    <d v="1899-12-30T00:02:00"/>
    <x v="0"/>
    <x v="3"/>
    <x v="5"/>
    <x v="1"/>
    <x v="2"/>
  </r>
  <r>
    <x v="0"/>
    <n v="11"/>
    <x v="8"/>
    <x v="3"/>
    <x v="1"/>
    <x v="4"/>
    <n v="25000000"/>
    <n v="4"/>
    <d v="1899-12-30T00:02:00"/>
    <x v="0"/>
    <x v="2"/>
    <x v="5"/>
    <x v="1"/>
    <x v="6"/>
  </r>
  <r>
    <x v="0"/>
    <n v="12"/>
    <x v="11"/>
    <x v="3"/>
    <x v="1"/>
    <x v="2"/>
    <n v="12000000"/>
    <n v="4"/>
    <d v="1899-12-30T00:02:00"/>
    <x v="0"/>
    <x v="3"/>
    <x v="1"/>
    <x v="2"/>
    <x v="8"/>
  </r>
  <r>
    <x v="0"/>
    <n v="31"/>
    <x v="1"/>
    <x v="0"/>
    <x v="1"/>
    <x v="0"/>
    <n v="19000000"/>
    <n v="3"/>
    <d v="1899-12-30T00:02:00"/>
    <x v="1"/>
    <x v="7"/>
    <x v="1"/>
    <x v="1"/>
    <x v="6"/>
  </r>
  <r>
    <x v="0"/>
    <n v="2"/>
    <x v="1"/>
    <x v="1"/>
    <x v="3"/>
    <x v="2"/>
    <n v="12000000"/>
    <n v="2"/>
    <d v="1899-12-30T00:02:00"/>
    <x v="0"/>
    <x v="7"/>
    <x v="2"/>
    <x v="0"/>
    <x v="12"/>
  </r>
  <r>
    <x v="0"/>
    <n v="9"/>
    <x v="1"/>
    <x v="0"/>
    <x v="2"/>
    <x v="1"/>
    <n v="12000000"/>
    <n v="5"/>
    <d v="1899-12-30T00:02:00"/>
    <x v="0"/>
    <x v="8"/>
    <x v="4"/>
    <x v="1"/>
    <x v="6"/>
  </r>
  <r>
    <x v="0"/>
    <n v="25"/>
    <x v="1"/>
    <x v="2"/>
    <x v="2"/>
    <x v="2"/>
    <n v="10000000"/>
    <n v="4"/>
    <d v="1899-12-30T00:02:00"/>
    <x v="0"/>
    <x v="8"/>
    <x v="3"/>
    <x v="1"/>
    <x v="2"/>
  </r>
  <r>
    <x v="1"/>
    <n v="8"/>
    <x v="11"/>
    <x v="1"/>
    <x v="0"/>
    <x v="5"/>
    <n v="0"/>
    <n v="3"/>
    <d v="1899-12-30T00:02:00"/>
    <x v="3"/>
    <x v="9"/>
    <x v="2"/>
    <x v="1"/>
    <x v="6"/>
  </r>
  <r>
    <x v="1"/>
    <n v="5"/>
    <x v="11"/>
    <x v="3"/>
    <x v="2"/>
    <x v="5"/>
    <n v="0"/>
    <n v="1"/>
    <d v="1899-12-30T00:02:00"/>
    <x v="3"/>
    <x v="9"/>
    <x v="3"/>
    <x v="0"/>
    <x v="5"/>
  </r>
  <r>
    <x v="1"/>
    <n v="2"/>
    <x v="2"/>
    <x v="4"/>
    <x v="2"/>
    <x v="5"/>
    <n v="0"/>
    <n v="2"/>
    <d v="1899-12-30T00:02:00"/>
    <x v="3"/>
    <x v="9"/>
    <x v="2"/>
    <x v="2"/>
    <x v="11"/>
  </r>
  <r>
    <x v="1"/>
    <n v="20"/>
    <x v="2"/>
    <x v="3"/>
    <x v="2"/>
    <x v="5"/>
    <n v="0"/>
    <n v="1"/>
    <d v="1899-12-30T00:02:00"/>
    <x v="3"/>
    <x v="9"/>
    <x v="4"/>
    <x v="1"/>
    <x v="2"/>
  </r>
  <r>
    <x v="1"/>
    <n v="22"/>
    <x v="2"/>
    <x v="0"/>
    <x v="1"/>
    <x v="5"/>
    <n v="0"/>
    <n v="3"/>
    <d v="1899-12-30T00:02:00"/>
    <x v="3"/>
    <x v="9"/>
    <x v="5"/>
    <x v="1"/>
    <x v="2"/>
  </r>
  <r>
    <x v="1"/>
    <n v="15"/>
    <x v="2"/>
    <x v="0"/>
    <x v="1"/>
    <x v="5"/>
    <n v="0"/>
    <n v="3"/>
    <d v="1899-12-30T00:02:00"/>
    <x v="3"/>
    <x v="9"/>
    <x v="7"/>
    <x v="3"/>
    <x v="13"/>
  </r>
  <r>
    <x v="1"/>
    <n v="21"/>
    <x v="2"/>
    <x v="3"/>
    <x v="2"/>
    <x v="5"/>
    <n v="0"/>
    <n v="2"/>
    <d v="1899-12-30T00:02:00"/>
    <x v="3"/>
    <x v="9"/>
    <x v="7"/>
    <x v="2"/>
    <x v="3"/>
  </r>
  <r>
    <x v="1"/>
    <n v="24"/>
    <x v="3"/>
    <x v="3"/>
    <x v="1"/>
    <x v="5"/>
    <n v="0"/>
    <n v="1"/>
    <d v="1899-12-30T00:02:00"/>
    <x v="3"/>
    <x v="9"/>
    <x v="3"/>
    <x v="3"/>
    <x v="13"/>
  </r>
  <r>
    <x v="1"/>
    <n v="5"/>
    <x v="3"/>
    <x v="2"/>
    <x v="0"/>
    <x v="5"/>
    <n v="0"/>
    <n v="5"/>
    <d v="1899-12-30T00:02:00"/>
    <x v="3"/>
    <x v="9"/>
    <x v="6"/>
    <x v="0"/>
    <x v="12"/>
  </r>
  <r>
    <x v="1"/>
    <n v="15"/>
    <x v="4"/>
    <x v="0"/>
    <x v="1"/>
    <x v="5"/>
    <n v="0"/>
    <n v="1"/>
    <d v="1899-12-30T00:02:00"/>
    <x v="3"/>
    <x v="9"/>
    <x v="2"/>
    <x v="1"/>
    <x v="2"/>
  </r>
  <r>
    <x v="1"/>
    <n v="29"/>
    <x v="4"/>
    <x v="2"/>
    <x v="0"/>
    <x v="5"/>
    <n v="0"/>
    <n v="4"/>
    <d v="1899-12-30T00:02:00"/>
    <x v="3"/>
    <x v="9"/>
    <x v="4"/>
    <x v="0"/>
    <x v="10"/>
  </r>
  <r>
    <x v="1"/>
    <n v="11"/>
    <x v="4"/>
    <x v="2"/>
    <x v="1"/>
    <x v="5"/>
    <n v="0"/>
    <n v="3"/>
    <d v="1899-12-30T00:02:00"/>
    <x v="3"/>
    <x v="9"/>
    <x v="3"/>
    <x v="0"/>
    <x v="7"/>
  </r>
  <r>
    <x v="1"/>
    <n v="26"/>
    <x v="4"/>
    <x v="1"/>
    <x v="1"/>
    <x v="5"/>
    <n v="0"/>
    <n v="6"/>
    <d v="1899-12-30T00:02:00"/>
    <x v="3"/>
    <x v="9"/>
    <x v="7"/>
    <x v="1"/>
    <x v="2"/>
  </r>
  <r>
    <x v="1"/>
    <n v="31"/>
    <x v="10"/>
    <x v="3"/>
    <x v="0"/>
    <x v="5"/>
    <n v="0"/>
    <n v="1"/>
    <d v="1899-12-30T00:02:00"/>
    <x v="3"/>
    <x v="9"/>
    <x v="2"/>
    <x v="0"/>
    <x v="10"/>
  </r>
  <r>
    <x v="1"/>
    <n v="30"/>
    <x v="10"/>
    <x v="4"/>
    <x v="2"/>
    <x v="5"/>
    <n v="0"/>
    <n v="4"/>
    <d v="1899-12-30T00:02:00"/>
    <x v="3"/>
    <x v="9"/>
    <x v="4"/>
    <x v="3"/>
    <x v="4"/>
  </r>
  <r>
    <x v="1"/>
    <n v="14"/>
    <x v="10"/>
    <x v="2"/>
    <x v="2"/>
    <x v="5"/>
    <n v="0"/>
    <n v="1"/>
    <d v="1899-12-30T00:02:00"/>
    <x v="3"/>
    <x v="9"/>
    <x v="1"/>
    <x v="0"/>
    <x v="5"/>
  </r>
  <r>
    <x v="1"/>
    <n v="30"/>
    <x v="10"/>
    <x v="2"/>
    <x v="0"/>
    <x v="5"/>
    <n v="0"/>
    <n v="4"/>
    <d v="1899-12-30T00:02:00"/>
    <x v="3"/>
    <x v="9"/>
    <x v="6"/>
    <x v="1"/>
    <x v="6"/>
  </r>
  <r>
    <x v="1"/>
    <n v="8"/>
    <x v="11"/>
    <x v="1"/>
    <x v="0"/>
    <x v="5"/>
    <n v="0"/>
    <n v="3"/>
    <d v="1899-12-30T00:02:00"/>
    <x v="3"/>
    <x v="9"/>
    <x v="2"/>
    <x v="1"/>
    <x v="6"/>
  </r>
  <r>
    <x v="1"/>
    <n v="5"/>
    <x v="11"/>
    <x v="3"/>
    <x v="2"/>
    <x v="5"/>
    <n v="0"/>
    <n v="1"/>
    <d v="1899-12-30T00:02:00"/>
    <x v="3"/>
    <x v="9"/>
    <x v="3"/>
    <x v="0"/>
    <x v="5"/>
  </r>
  <r>
    <x v="0"/>
    <n v="11"/>
    <x v="6"/>
    <x v="5"/>
    <x v="0"/>
    <x v="2"/>
    <n v="38000000"/>
    <n v="3"/>
    <d v="1899-12-30T00:02:00"/>
    <x v="1"/>
    <x v="4"/>
    <x v="3"/>
    <x v="0"/>
    <x v="7"/>
  </r>
  <r>
    <x v="0"/>
    <n v="13"/>
    <x v="2"/>
    <x v="2"/>
    <x v="4"/>
    <x v="0"/>
    <n v="19000000"/>
    <n v="6"/>
    <d v="1899-12-30T00:02:00"/>
    <x v="1"/>
    <x v="3"/>
    <x v="0"/>
    <x v="0"/>
    <x v="9"/>
  </r>
  <r>
    <x v="0"/>
    <n v="25"/>
    <x v="2"/>
    <x v="2"/>
    <x v="2"/>
    <x v="1"/>
    <n v="15000000"/>
    <n v="4"/>
    <d v="1899-12-30T00:02:00"/>
    <x v="0"/>
    <x v="0"/>
    <x v="2"/>
    <x v="3"/>
    <x v="13"/>
  </r>
  <r>
    <x v="0"/>
    <n v="30"/>
    <x v="2"/>
    <x v="5"/>
    <x v="1"/>
    <x v="2"/>
    <n v="12000000"/>
    <n v="4"/>
    <d v="1899-12-30T00:02:00"/>
    <x v="0"/>
    <x v="0"/>
    <x v="2"/>
    <x v="1"/>
    <x v="1"/>
  </r>
  <r>
    <x v="0"/>
    <n v="26"/>
    <x v="3"/>
    <x v="0"/>
    <x v="3"/>
    <x v="3"/>
    <n v="11000000"/>
    <n v="1"/>
    <d v="1899-12-30T00:02:00"/>
    <x v="2"/>
    <x v="1"/>
    <x v="1"/>
    <x v="3"/>
    <x v="13"/>
  </r>
  <r>
    <x v="0"/>
    <n v="28"/>
    <x v="3"/>
    <x v="1"/>
    <x v="1"/>
    <x v="2"/>
    <n v="12000000"/>
    <n v="1"/>
    <d v="1899-12-30T00:02:00"/>
    <x v="0"/>
    <x v="8"/>
    <x v="2"/>
    <x v="3"/>
    <x v="4"/>
  </r>
  <r>
    <x v="0"/>
    <n v="28"/>
    <x v="3"/>
    <x v="4"/>
    <x v="1"/>
    <x v="0"/>
    <n v="7000000"/>
    <n v="3"/>
    <d v="1899-12-30T00:02:00"/>
    <x v="0"/>
    <x v="4"/>
    <x v="7"/>
    <x v="0"/>
    <x v="7"/>
  </r>
  <r>
    <x v="0"/>
    <n v="24"/>
    <x v="4"/>
    <x v="1"/>
    <x v="3"/>
    <x v="3"/>
    <n v="20000000"/>
    <n v="7"/>
    <d v="1899-12-30T00:02:00"/>
    <x v="0"/>
    <x v="2"/>
    <x v="2"/>
    <x v="1"/>
    <x v="15"/>
  </r>
  <r>
    <x v="0"/>
    <n v="26"/>
    <x v="4"/>
    <x v="0"/>
    <x v="2"/>
    <x v="4"/>
    <n v="25000000"/>
    <n v="3"/>
    <d v="1899-12-30T00:02:00"/>
    <x v="0"/>
    <x v="7"/>
    <x v="4"/>
    <x v="0"/>
    <x v="12"/>
  </r>
  <r>
    <x v="0"/>
    <n v="1"/>
    <x v="4"/>
    <x v="0"/>
    <x v="2"/>
    <x v="1"/>
    <n v="15000000"/>
    <n v="2"/>
    <d v="1899-12-30T00:02:00"/>
    <x v="0"/>
    <x v="3"/>
    <x v="5"/>
    <x v="1"/>
    <x v="1"/>
  </r>
  <r>
    <x v="0"/>
    <n v="30"/>
    <x v="4"/>
    <x v="3"/>
    <x v="1"/>
    <x v="4"/>
    <n v="21000000"/>
    <n v="3"/>
    <d v="1899-12-30T00:02:00"/>
    <x v="0"/>
    <x v="7"/>
    <x v="6"/>
    <x v="1"/>
    <x v="6"/>
  </r>
  <r>
    <x v="0"/>
    <n v="11"/>
    <x v="6"/>
    <x v="5"/>
    <x v="0"/>
    <x v="2"/>
    <n v="38000000"/>
    <n v="3"/>
    <d v="1899-12-30T00:02:00"/>
    <x v="1"/>
    <x v="4"/>
    <x v="3"/>
    <x v="0"/>
    <x v="7"/>
  </r>
  <r>
    <x v="1"/>
    <n v="11"/>
    <x v="4"/>
    <x v="4"/>
    <x v="2"/>
    <x v="5"/>
    <n v="0"/>
    <n v="2"/>
    <d v="1899-12-30T00:02:00"/>
    <x v="3"/>
    <x v="9"/>
    <x v="1"/>
    <x v="2"/>
    <x v="3"/>
  </r>
  <r>
    <x v="1"/>
    <n v="29"/>
    <x v="4"/>
    <x v="0"/>
    <x v="2"/>
    <x v="5"/>
    <n v="0"/>
    <n v="3"/>
    <d v="1899-12-30T00:02:00"/>
    <x v="3"/>
    <x v="9"/>
    <x v="6"/>
    <x v="1"/>
    <x v="6"/>
  </r>
  <r>
    <x v="0"/>
    <n v="12"/>
    <x v="6"/>
    <x v="2"/>
    <x v="0"/>
    <x v="0"/>
    <n v="19000000"/>
    <n v="5"/>
    <d v="1899-12-30T00:02:00"/>
    <x v="1"/>
    <x v="3"/>
    <x v="6"/>
    <x v="3"/>
    <x v="13"/>
  </r>
  <r>
    <x v="0"/>
    <n v="11"/>
    <x v="7"/>
    <x v="0"/>
    <x v="2"/>
    <x v="3"/>
    <n v="20000000"/>
    <n v="1"/>
    <d v="1899-12-30T00:02:00"/>
    <x v="0"/>
    <x v="2"/>
    <x v="2"/>
    <x v="1"/>
    <x v="2"/>
  </r>
  <r>
    <x v="0"/>
    <n v="19"/>
    <x v="3"/>
    <x v="4"/>
    <x v="1"/>
    <x v="3"/>
    <n v="11000000"/>
    <n v="1"/>
    <d v="1899-12-30T00:02:00"/>
    <x v="2"/>
    <x v="7"/>
    <x v="3"/>
    <x v="0"/>
    <x v="0"/>
  </r>
  <r>
    <x v="0"/>
    <n v="5"/>
    <x v="3"/>
    <x v="4"/>
    <x v="1"/>
    <x v="4"/>
    <n v="25000000"/>
    <n v="2"/>
    <d v="1899-12-30T00:02:00"/>
    <x v="0"/>
    <x v="7"/>
    <x v="2"/>
    <x v="2"/>
    <x v="8"/>
  </r>
  <r>
    <x v="0"/>
    <n v="22"/>
    <x v="3"/>
    <x v="5"/>
    <x v="1"/>
    <x v="2"/>
    <n v="12000000"/>
    <n v="2"/>
    <d v="1899-12-30T00:02:00"/>
    <x v="0"/>
    <x v="7"/>
    <x v="4"/>
    <x v="0"/>
    <x v="5"/>
  </r>
  <r>
    <x v="0"/>
    <n v="8"/>
    <x v="3"/>
    <x v="4"/>
    <x v="2"/>
    <x v="2"/>
    <n v="12000000"/>
    <n v="3"/>
    <d v="1899-12-30T00:02:00"/>
    <x v="0"/>
    <x v="0"/>
    <x v="5"/>
    <x v="1"/>
    <x v="2"/>
  </r>
  <r>
    <x v="0"/>
    <n v="22"/>
    <x v="4"/>
    <x v="3"/>
    <x v="2"/>
    <x v="1"/>
    <n v="15000000"/>
    <n v="1"/>
    <d v="1899-12-30T00:02:00"/>
    <x v="0"/>
    <x v="6"/>
    <x v="4"/>
    <x v="0"/>
    <x v="9"/>
  </r>
  <r>
    <x v="0"/>
    <n v="11"/>
    <x v="4"/>
    <x v="1"/>
    <x v="3"/>
    <x v="4"/>
    <n v="21000000"/>
    <n v="4"/>
    <d v="1899-12-30T00:02:00"/>
    <x v="0"/>
    <x v="0"/>
    <x v="0"/>
    <x v="1"/>
    <x v="1"/>
  </r>
  <r>
    <x v="0"/>
    <n v="17"/>
    <x v="4"/>
    <x v="0"/>
    <x v="2"/>
    <x v="1"/>
    <n v="15000000"/>
    <n v="1"/>
    <d v="1899-12-30T00:02:00"/>
    <x v="0"/>
    <x v="2"/>
    <x v="6"/>
    <x v="1"/>
    <x v="2"/>
  </r>
  <r>
    <x v="0"/>
    <n v="12"/>
    <x v="6"/>
    <x v="2"/>
    <x v="0"/>
    <x v="0"/>
    <n v="19000000"/>
    <n v="5"/>
    <d v="1899-12-30T00:02:00"/>
    <x v="1"/>
    <x v="3"/>
    <x v="6"/>
    <x v="3"/>
    <x v="13"/>
  </r>
  <r>
    <x v="0"/>
    <n v="11"/>
    <x v="7"/>
    <x v="0"/>
    <x v="2"/>
    <x v="3"/>
    <n v="20000000"/>
    <n v="1"/>
    <d v="1899-12-30T00:02:00"/>
    <x v="0"/>
    <x v="2"/>
    <x v="2"/>
    <x v="1"/>
    <x v="2"/>
  </r>
  <r>
    <x v="1"/>
    <n v="5"/>
    <x v="8"/>
    <x v="0"/>
    <x v="1"/>
    <x v="5"/>
    <n v="0"/>
    <n v="1"/>
    <d v="1899-12-30T00:02:00"/>
    <x v="3"/>
    <x v="9"/>
    <x v="5"/>
    <x v="0"/>
    <x v="10"/>
  </r>
  <r>
    <x v="1"/>
    <n v="29"/>
    <x v="2"/>
    <x v="0"/>
    <x v="2"/>
    <x v="5"/>
    <n v="0"/>
    <n v="4"/>
    <d v="1899-12-30T00:02:00"/>
    <x v="3"/>
    <x v="9"/>
    <x v="6"/>
    <x v="0"/>
    <x v="9"/>
  </r>
  <r>
    <x v="1"/>
    <n v="11"/>
    <x v="3"/>
    <x v="1"/>
    <x v="2"/>
    <x v="5"/>
    <n v="0"/>
    <n v="1"/>
    <d v="1899-12-30T00:02:00"/>
    <x v="3"/>
    <x v="9"/>
    <x v="7"/>
    <x v="2"/>
    <x v="11"/>
  </r>
  <r>
    <x v="1"/>
    <n v="23"/>
    <x v="4"/>
    <x v="3"/>
    <x v="1"/>
    <x v="5"/>
    <n v="0"/>
    <n v="1"/>
    <d v="1899-12-30T00:02:00"/>
    <x v="3"/>
    <x v="9"/>
    <x v="2"/>
    <x v="1"/>
    <x v="2"/>
  </r>
  <r>
    <x v="1"/>
    <n v="5"/>
    <x v="8"/>
    <x v="0"/>
    <x v="1"/>
    <x v="5"/>
    <n v="0"/>
    <n v="1"/>
    <d v="1899-12-30T00:02:00"/>
    <x v="3"/>
    <x v="9"/>
    <x v="5"/>
    <x v="0"/>
    <x v="10"/>
  </r>
  <r>
    <x v="0"/>
    <n v="2"/>
    <x v="5"/>
    <x v="2"/>
    <x v="2"/>
    <x v="3"/>
    <n v="15000000"/>
    <n v="3"/>
    <d v="1899-12-30T00:02:00"/>
    <x v="0"/>
    <x v="1"/>
    <x v="1"/>
    <x v="0"/>
    <x v="5"/>
  </r>
  <r>
    <x v="0"/>
    <n v="11"/>
    <x v="6"/>
    <x v="3"/>
    <x v="2"/>
    <x v="2"/>
    <n v="12000000"/>
    <n v="1"/>
    <d v="1899-12-30T00:02:00"/>
    <x v="0"/>
    <x v="0"/>
    <x v="1"/>
    <x v="0"/>
    <x v="7"/>
  </r>
  <r>
    <x v="0"/>
    <n v="1"/>
    <x v="8"/>
    <x v="2"/>
    <x v="3"/>
    <x v="0"/>
    <n v="19000000"/>
    <n v="2"/>
    <d v="1899-12-30T00:02:00"/>
    <x v="1"/>
    <x v="4"/>
    <x v="2"/>
    <x v="2"/>
    <x v="11"/>
  </r>
  <r>
    <x v="0"/>
    <n v="1"/>
    <x v="9"/>
    <x v="4"/>
    <x v="1"/>
    <x v="1"/>
    <n v="15000000"/>
    <n v="2"/>
    <d v="1899-12-30T00:02:00"/>
    <x v="0"/>
    <x v="7"/>
    <x v="7"/>
    <x v="1"/>
    <x v="2"/>
  </r>
  <r>
    <x v="0"/>
    <n v="12"/>
    <x v="2"/>
    <x v="5"/>
    <x v="2"/>
    <x v="2"/>
    <n v="38000000"/>
    <n v="6"/>
    <d v="1899-12-30T00:02:00"/>
    <x v="1"/>
    <x v="3"/>
    <x v="2"/>
    <x v="0"/>
    <x v="10"/>
  </r>
  <r>
    <x v="0"/>
    <n v="7"/>
    <x v="2"/>
    <x v="0"/>
    <x v="1"/>
    <x v="4"/>
    <n v="21000000"/>
    <n v="5"/>
    <d v="1899-12-30T00:02:00"/>
    <x v="0"/>
    <x v="1"/>
    <x v="5"/>
    <x v="1"/>
    <x v="1"/>
  </r>
  <r>
    <x v="0"/>
    <n v="11"/>
    <x v="2"/>
    <x v="1"/>
    <x v="2"/>
    <x v="4"/>
    <n v="25000000"/>
    <n v="5"/>
    <d v="1899-12-30T00:02:00"/>
    <x v="0"/>
    <x v="4"/>
    <x v="3"/>
    <x v="1"/>
    <x v="2"/>
  </r>
  <r>
    <x v="0"/>
    <n v="29"/>
    <x v="2"/>
    <x v="4"/>
    <x v="2"/>
    <x v="0"/>
    <n v="7000000"/>
    <n v="2"/>
    <d v="1899-12-30T00:02:00"/>
    <x v="0"/>
    <x v="5"/>
    <x v="4"/>
    <x v="3"/>
    <x v="13"/>
  </r>
  <r>
    <x v="0"/>
    <n v="3"/>
    <x v="3"/>
    <x v="3"/>
    <x v="2"/>
    <x v="2"/>
    <n v="38000000"/>
    <n v="3"/>
    <d v="1899-12-30T00:02:00"/>
    <x v="1"/>
    <x v="2"/>
    <x v="2"/>
    <x v="2"/>
    <x v="11"/>
  </r>
  <r>
    <x v="0"/>
    <n v="6"/>
    <x v="3"/>
    <x v="3"/>
    <x v="2"/>
    <x v="0"/>
    <n v="19000000"/>
    <n v="1"/>
    <d v="1899-12-30T00:02:00"/>
    <x v="1"/>
    <x v="0"/>
    <x v="4"/>
    <x v="3"/>
    <x v="4"/>
  </r>
  <r>
    <x v="0"/>
    <n v="26"/>
    <x v="3"/>
    <x v="0"/>
    <x v="1"/>
    <x v="3"/>
    <n v="20000000"/>
    <n v="3"/>
    <d v="1899-12-30T00:02:00"/>
    <x v="2"/>
    <x v="0"/>
    <x v="6"/>
    <x v="0"/>
    <x v="10"/>
  </r>
  <r>
    <x v="0"/>
    <n v="1"/>
    <x v="3"/>
    <x v="0"/>
    <x v="0"/>
    <x v="0"/>
    <n v="7000000"/>
    <n v="4"/>
    <d v="1899-12-30T00:02:00"/>
    <x v="0"/>
    <x v="2"/>
    <x v="2"/>
    <x v="1"/>
    <x v="2"/>
  </r>
  <r>
    <x v="0"/>
    <n v="1"/>
    <x v="3"/>
    <x v="2"/>
    <x v="1"/>
    <x v="2"/>
    <n v="12000000"/>
    <n v="4"/>
    <d v="1899-12-30T00:02:00"/>
    <x v="0"/>
    <x v="7"/>
    <x v="2"/>
    <x v="0"/>
    <x v="12"/>
  </r>
  <r>
    <x v="0"/>
    <n v="30"/>
    <x v="3"/>
    <x v="3"/>
    <x v="2"/>
    <x v="1"/>
    <n v="15000000"/>
    <n v="2"/>
    <d v="1899-12-30T00:02:00"/>
    <x v="0"/>
    <x v="6"/>
    <x v="6"/>
    <x v="1"/>
    <x v="1"/>
  </r>
  <r>
    <x v="0"/>
    <n v="3"/>
    <x v="4"/>
    <x v="2"/>
    <x v="1"/>
    <x v="3"/>
    <n v="20000000"/>
    <n v="6"/>
    <d v="1899-12-30T00:02:00"/>
    <x v="2"/>
    <x v="2"/>
    <x v="3"/>
    <x v="2"/>
    <x v="8"/>
  </r>
  <r>
    <x v="0"/>
    <n v="3"/>
    <x v="4"/>
    <x v="3"/>
    <x v="3"/>
    <x v="4"/>
    <n v="25000000"/>
    <n v="2"/>
    <d v="1899-12-30T00:02:00"/>
    <x v="0"/>
    <x v="8"/>
    <x v="5"/>
    <x v="0"/>
    <x v="7"/>
  </r>
  <r>
    <x v="0"/>
    <n v="10"/>
    <x v="4"/>
    <x v="2"/>
    <x v="2"/>
    <x v="2"/>
    <n v="12000000"/>
    <n v="1"/>
    <d v="1899-12-30T00:02:00"/>
    <x v="0"/>
    <x v="5"/>
    <x v="5"/>
    <x v="0"/>
    <x v="12"/>
  </r>
  <r>
    <x v="0"/>
    <n v="2"/>
    <x v="4"/>
    <x v="1"/>
    <x v="1"/>
    <x v="4"/>
    <n v="25000000"/>
    <n v="1"/>
    <d v="1899-12-30T00:02:00"/>
    <x v="0"/>
    <x v="2"/>
    <x v="6"/>
    <x v="1"/>
    <x v="6"/>
  </r>
  <r>
    <x v="0"/>
    <n v="16"/>
    <x v="10"/>
    <x v="0"/>
    <x v="1"/>
    <x v="1"/>
    <n v="12000000"/>
    <n v="3"/>
    <d v="1899-12-30T00:02:00"/>
    <x v="0"/>
    <x v="3"/>
    <x v="3"/>
    <x v="3"/>
    <x v="4"/>
  </r>
  <r>
    <x v="0"/>
    <n v="1"/>
    <x v="10"/>
    <x v="1"/>
    <x v="2"/>
    <x v="2"/>
    <n v="10000000"/>
    <n v="2"/>
    <d v="1899-12-30T00:02:00"/>
    <x v="0"/>
    <x v="4"/>
    <x v="7"/>
    <x v="2"/>
    <x v="11"/>
  </r>
  <r>
    <x v="0"/>
    <n v="2"/>
    <x v="5"/>
    <x v="2"/>
    <x v="2"/>
    <x v="3"/>
    <n v="15000000"/>
    <n v="3"/>
    <d v="1899-12-30T00:02:00"/>
    <x v="0"/>
    <x v="1"/>
    <x v="1"/>
    <x v="0"/>
    <x v="5"/>
  </r>
  <r>
    <x v="0"/>
    <n v="11"/>
    <x v="6"/>
    <x v="3"/>
    <x v="2"/>
    <x v="2"/>
    <n v="12000000"/>
    <n v="1"/>
    <d v="1899-12-30T00:02:00"/>
    <x v="0"/>
    <x v="0"/>
    <x v="1"/>
    <x v="0"/>
    <x v="7"/>
  </r>
  <r>
    <x v="0"/>
    <n v="1"/>
    <x v="8"/>
    <x v="2"/>
    <x v="3"/>
    <x v="0"/>
    <n v="19000000"/>
    <n v="2"/>
    <d v="1899-12-30T00:02:00"/>
    <x v="1"/>
    <x v="4"/>
    <x v="2"/>
    <x v="2"/>
    <x v="11"/>
  </r>
  <r>
    <x v="0"/>
    <n v="1"/>
    <x v="9"/>
    <x v="4"/>
    <x v="1"/>
    <x v="1"/>
    <n v="15000000"/>
    <n v="2"/>
    <d v="1899-12-30T00:02:00"/>
    <x v="0"/>
    <x v="7"/>
    <x v="7"/>
    <x v="1"/>
    <x v="2"/>
  </r>
  <r>
    <x v="1"/>
    <n v="23"/>
    <x v="2"/>
    <x v="5"/>
    <x v="1"/>
    <x v="5"/>
    <n v="0"/>
    <n v="1"/>
    <d v="1899-12-30T00:02:00"/>
    <x v="3"/>
    <x v="9"/>
    <x v="6"/>
    <x v="2"/>
    <x v="8"/>
  </r>
  <r>
    <x v="1"/>
    <n v="9"/>
    <x v="3"/>
    <x v="2"/>
    <x v="4"/>
    <x v="5"/>
    <n v="0"/>
    <n v="1"/>
    <d v="1899-12-30T00:02:00"/>
    <x v="3"/>
    <x v="9"/>
    <x v="3"/>
    <x v="2"/>
    <x v="8"/>
  </r>
  <r>
    <x v="1"/>
    <n v="23"/>
    <x v="3"/>
    <x v="2"/>
    <x v="3"/>
    <x v="5"/>
    <n v="0"/>
    <n v="1"/>
    <d v="1899-12-30T00:02:00"/>
    <x v="3"/>
    <x v="9"/>
    <x v="0"/>
    <x v="3"/>
    <x v="4"/>
  </r>
  <r>
    <x v="1"/>
    <n v="4"/>
    <x v="3"/>
    <x v="0"/>
    <x v="2"/>
    <x v="5"/>
    <n v="0"/>
    <n v="2"/>
    <d v="1899-12-30T00:02:00"/>
    <x v="3"/>
    <x v="9"/>
    <x v="5"/>
    <x v="1"/>
    <x v="6"/>
  </r>
  <r>
    <x v="1"/>
    <n v="8"/>
    <x v="10"/>
    <x v="0"/>
    <x v="0"/>
    <x v="5"/>
    <n v="0"/>
    <n v="6"/>
    <d v="1899-12-30T00:02:00"/>
    <x v="3"/>
    <x v="9"/>
    <x v="5"/>
    <x v="1"/>
    <x v="15"/>
  </r>
  <r>
    <x v="1"/>
    <n v="10"/>
    <x v="10"/>
    <x v="2"/>
    <x v="2"/>
    <x v="5"/>
    <n v="0"/>
    <n v="1"/>
    <d v="1899-12-30T00:02:00"/>
    <x v="3"/>
    <x v="9"/>
    <x v="7"/>
    <x v="3"/>
    <x v="4"/>
  </r>
  <r>
    <x v="0"/>
    <n v="11"/>
    <x v="6"/>
    <x v="0"/>
    <x v="1"/>
    <x v="3"/>
    <n v="20000000"/>
    <n v="1"/>
    <d v="1899-12-30T00:02:00"/>
    <x v="0"/>
    <x v="5"/>
    <x v="1"/>
    <x v="3"/>
    <x v="13"/>
  </r>
  <r>
    <x v="0"/>
    <n v="1"/>
    <x v="0"/>
    <x v="4"/>
    <x v="2"/>
    <x v="2"/>
    <n v="12000000"/>
    <n v="1"/>
    <d v="1899-12-30T00:02:00"/>
    <x v="0"/>
    <x v="2"/>
    <x v="3"/>
    <x v="1"/>
    <x v="14"/>
  </r>
  <r>
    <x v="0"/>
    <n v="13"/>
    <x v="9"/>
    <x v="0"/>
    <x v="1"/>
    <x v="4"/>
    <n v="21000000"/>
    <n v="4"/>
    <d v="1899-12-30T00:02:00"/>
    <x v="0"/>
    <x v="6"/>
    <x v="4"/>
    <x v="3"/>
    <x v="4"/>
  </r>
  <r>
    <x v="0"/>
    <n v="28"/>
    <x v="1"/>
    <x v="3"/>
    <x v="2"/>
    <x v="3"/>
    <n v="11000000"/>
    <n v="2"/>
    <d v="1899-12-30T00:02:00"/>
    <x v="2"/>
    <x v="0"/>
    <x v="4"/>
    <x v="2"/>
    <x v="8"/>
  </r>
  <r>
    <x v="0"/>
    <n v="27"/>
    <x v="3"/>
    <x v="0"/>
    <x v="2"/>
    <x v="0"/>
    <n v="19000000"/>
    <n v="2"/>
    <d v="1899-12-30T00:02:00"/>
    <x v="1"/>
    <x v="7"/>
    <x v="5"/>
    <x v="0"/>
    <x v="7"/>
  </r>
  <r>
    <x v="0"/>
    <n v="9"/>
    <x v="3"/>
    <x v="0"/>
    <x v="0"/>
    <x v="1"/>
    <n v="15000000"/>
    <n v="1"/>
    <d v="1899-12-30T00:02:00"/>
    <x v="0"/>
    <x v="5"/>
    <x v="7"/>
    <x v="1"/>
    <x v="1"/>
  </r>
  <r>
    <x v="0"/>
    <n v="19"/>
    <x v="3"/>
    <x v="0"/>
    <x v="2"/>
    <x v="4"/>
    <n v="25000000"/>
    <n v="3"/>
    <d v="1899-12-30T00:02:00"/>
    <x v="0"/>
    <x v="0"/>
    <x v="6"/>
    <x v="1"/>
    <x v="1"/>
  </r>
  <r>
    <x v="0"/>
    <n v="3"/>
    <x v="4"/>
    <x v="0"/>
    <x v="2"/>
    <x v="2"/>
    <n v="12000000"/>
    <n v="4"/>
    <d v="1899-12-30T00:02:00"/>
    <x v="0"/>
    <x v="0"/>
    <x v="0"/>
    <x v="2"/>
    <x v="11"/>
  </r>
  <r>
    <x v="0"/>
    <n v="12"/>
    <x v="4"/>
    <x v="4"/>
    <x v="0"/>
    <x v="1"/>
    <n v="15000000"/>
    <n v="2"/>
    <d v="1899-12-30T00:02:00"/>
    <x v="0"/>
    <x v="8"/>
    <x v="5"/>
    <x v="2"/>
    <x v="3"/>
  </r>
  <r>
    <x v="0"/>
    <n v="15"/>
    <x v="10"/>
    <x v="0"/>
    <x v="1"/>
    <x v="2"/>
    <n v="38000000"/>
    <n v="1"/>
    <d v="1899-12-30T00:02:00"/>
    <x v="1"/>
    <x v="2"/>
    <x v="3"/>
    <x v="1"/>
    <x v="14"/>
  </r>
  <r>
    <x v="0"/>
    <n v="11"/>
    <x v="6"/>
    <x v="0"/>
    <x v="1"/>
    <x v="3"/>
    <n v="20000000"/>
    <n v="1"/>
    <d v="1899-12-30T00:02:00"/>
    <x v="0"/>
    <x v="5"/>
    <x v="1"/>
    <x v="3"/>
    <x v="13"/>
  </r>
  <r>
    <x v="0"/>
    <n v="1"/>
    <x v="0"/>
    <x v="4"/>
    <x v="2"/>
    <x v="2"/>
    <n v="12000000"/>
    <n v="1"/>
    <d v="1899-12-30T00:02:00"/>
    <x v="0"/>
    <x v="2"/>
    <x v="3"/>
    <x v="1"/>
    <x v="14"/>
  </r>
  <r>
    <x v="0"/>
    <n v="13"/>
    <x v="9"/>
    <x v="0"/>
    <x v="1"/>
    <x v="4"/>
    <n v="21000000"/>
    <n v="4"/>
    <d v="1899-12-30T00:02:00"/>
    <x v="0"/>
    <x v="6"/>
    <x v="4"/>
    <x v="3"/>
    <x v="4"/>
  </r>
  <r>
    <x v="0"/>
    <n v="28"/>
    <x v="1"/>
    <x v="3"/>
    <x v="2"/>
    <x v="3"/>
    <n v="11000000"/>
    <n v="2"/>
    <d v="1899-12-30T00:02:00"/>
    <x v="2"/>
    <x v="0"/>
    <x v="4"/>
    <x v="2"/>
    <x v="8"/>
  </r>
  <r>
    <x v="1"/>
    <n v="12"/>
    <x v="5"/>
    <x v="0"/>
    <x v="1"/>
    <x v="5"/>
    <n v="0"/>
    <n v="1"/>
    <d v="1899-12-30T00:02:00"/>
    <x v="3"/>
    <x v="9"/>
    <x v="3"/>
    <x v="1"/>
    <x v="15"/>
  </r>
  <r>
    <x v="1"/>
    <n v="30"/>
    <x v="10"/>
    <x v="1"/>
    <x v="3"/>
    <x v="5"/>
    <n v="0"/>
    <n v="5"/>
    <d v="1899-12-30T00:02:00"/>
    <x v="3"/>
    <x v="9"/>
    <x v="2"/>
    <x v="0"/>
    <x v="12"/>
  </r>
  <r>
    <x v="1"/>
    <n v="30"/>
    <x v="10"/>
    <x v="1"/>
    <x v="2"/>
    <x v="5"/>
    <n v="0"/>
    <n v="3"/>
    <d v="1899-12-30T00:02:00"/>
    <x v="3"/>
    <x v="9"/>
    <x v="7"/>
    <x v="0"/>
    <x v="7"/>
  </r>
  <r>
    <x v="1"/>
    <n v="12"/>
    <x v="5"/>
    <x v="0"/>
    <x v="1"/>
    <x v="5"/>
    <n v="0"/>
    <n v="1"/>
    <d v="1899-12-30T00:02:00"/>
    <x v="3"/>
    <x v="9"/>
    <x v="3"/>
    <x v="1"/>
    <x v="15"/>
  </r>
  <r>
    <x v="0"/>
    <n v="11"/>
    <x v="6"/>
    <x v="3"/>
    <x v="2"/>
    <x v="2"/>
    <n v="38000000"/>
    <n v="5"/>
    <d v="1899-12-30T00:02:00"/>
    <x v="1"/>
    <x v="6"/>
    <x v="3"/>
    <x v="1"/>
    <x v="1"/>
  </r>
  <r>
    <x v="0"/>
    <n v="15"/>
    <x v="1"/>
    <x v="0"/>
    <x v="1"/>
    <x v="1"/>
    <n v="15000000"/>
    <n v="2"/>
    <d v="1899-12-30T00:02:00"/>
    <x v="0"/>
    <x v="7"/>
    <x v="5"/>
    <x v="0"/>
    <x v="7"/>
  </r>
  <r>
    <x v="0"/>
    <n v="30"/>
    <x v="2"/>
    <x v="3"/>
    <x v="1"/>
    <x v="0"/>
    <n v="19000000"/>
    <n v="4"/>
    <d v="1899-12-30T00:02:00"/>
    <x v="1"/>
    <x v="2"/>
    <x v="7"/>
    <x v="0"/>
    <x v="0"/>
  </r>
  <r>
    <x v="0"/>
    <n v="23"/>
    <x v="2"/>
    <x v="0"/>
    <x v="1"/>
    <x v="2"/>
    <n v="12000000"/>
    <n v="2"/>
    <d v="1899-12-30T00:02:00"/>
    <x v="0"/>
    <x v="4"/>
    <x v="1"/>
    <x v="2"/>
    <x v="8"/>
  </r>
  <r>
    <x v="0"/>
    <n v="30"/>
    <x v="2"/>
    <x v="3"/>
    <x v="2"/>
    <x v="3"/>
    <n v="20000000"/>
    <n v="4"/>
    <d v="1899-12-30T00:02:00"/>
    <x v="0"/>
    <x v="0"/>
    <x v="2"/>
    <x v="0"/>
    <x v="5"/>
  </r>
  <r>
    <x v="0"/>
    <n v="11"/>
    <x v="2"/>
    <x v="3"/>
    <x v="1"/>
    <x v="1"/>
    <n v="15000000"/>
    <n v="3"/>
    <d v="1899-12-30T00:02:00"/>
    <x v="0"/>
    <x v="2"/>
    <x v="4"/>
    <x v="1"/>
    <x v="6"/>
  </r>
  <r>
    <x v="0"/>
    <n v="4"/>
    <x v="2"/>
    <x v="0"/>
    <x v="0"/>
    <x v="1"/>
    <n v="11000000"/>
    <n v="2"/>
    <d v="1899-12-30T00:02:00"/>
    <x v="0"/>
    <x v="2"/>
    <x v="6"/>
    <x v="3"/>
    <x v="13"/>
  </r>
  <r>
    <x v="0"/>
    <n v="12"/>
    <x v="2"/>
    <x v="0"/>
    <x v="1"/>
    <x v="2"/>
    <n v="12000000"/>
    <n v="1"/>
    <d v="1899-12-30T00:02:00"/>
    <x v="0"/>
    <x v="7"/>
    <x v="6"/>
    <x v="1"/>
    <x v="6"/>
  </r>
  <r>
    <x v="0"/>
    <n v="9"/>
    <x v="2"/>
    <x v="3"/>
    <x v="4"/>
    <x v="4"/>
    <n v="21000000"/>
    <n v="1"/>
    <d v="1899-12-30T00:02:00"/>
    <x v="0"/>
    <x v="3"/>
    <x v="7"/>
    <x v="1"/>
    <x v="6"/>
  </r>
  <r>
    <x v="0"/>
    <n v="26"/>
    <x v="3"/>
    <x v="2"/>
    <x v="2"/>
    <x v="2"/>
    <n v="38000000"/>
    <n v="3"/>
    <d v="1899-12-30T00:02:00"/>
    <x v="1"/>
    <x v="4"/>
    <x v="6"/>
    <x v="0"/>
    <x v="7"/>
  </r>
  <r>
    <x v="0"/>
    <n v="18"/>
    <x v="3"/>
    <x v="4"/>
    <x v="2"/>
    <x v="3"/>
    <n v="11000000"/>
    <n v="2"/>
    <d v="1899-12-30T00:02:00"/>
    <x v="2"/>
    <x v="8"/>
    <x v="0"/>
    <x v="3"/>
    <x v="4"/>
  </r>
  <r>
    <x v="0"/>
    <n v="29"/>
    <x v="3"/>
    <x v="4"/>
    <x v="1"/>
    <x v="1"/>
    <n v="15000000"/>
    <n v="2"/>
    <d v="1899-12-30T00:02:00"/>
    <x v="0"/>
    <x v="0"/>
    <x v="3"/>
    <x v="2"/>
    <x v="3"/>
  </r>
  <r>
    <x v="0"/>
    <n v="27"/>
    <x v="3"/>
    <x v="4"/>
    <x v="2"/>
    <x v="4"/>
    <n v="25000000"/>
    <n v="4"/>
    <d v="1899-12-30T00:02:00"/>
    <x v="0"/>
    <x v="7"/>
    <x v="5"/>
    <x v="1"/>
    <x v="2"/>
  </r>
  <r>
    <x v="0"/>
    <n v="15"/>
    <x v="4"/>
    <x v="3"/>
    <x v="0"/>
    <x v="3"/>
    <n v="15000000"/>
    <n v="1"/>
    <d v="1899-12-30T00:02:00"/>
    <x v="0"/>
    <x v="7"/>
    <x v="2"/>
    <x v="1"/>
    <x v="6"/>
  </r>
  <r>
    <x v="0"/>
    <n v="16"/>
    <x v="4"/>
    <x v="5"/>
    <x v="1"/>
    <x v="2"/>
    <n v="12000000"/>
    <n v="3"/>
    <d v="1899-12-30T00:02:00"/>
    <x v="0"/>
    <x v="6"/>
    <x v="5"/>
    <x v="3"/>
    <x v="4"/>
  </r>
  <r>
    <x v="0"/>
    <n v="27"/>
    <x v="4"/>
    <x v="4"/>
    <x v="0"/>
    <x v="4"/>
    <n v="20000000"/>
    <n v="1"/>
    <d v="1899-12-30T00:02:00"/>
    <x v="0"/>
    <x v="0"/>
    <x v="2"/>
    <x v="0"/>
    <x v="10"/>
  </r>
  <r>
    <x v="0"/>
    <n v="3"/>
    <x v="4"/>
    <x v="2"/>
    <x v="1"/>
    <x v="2"/>
    <n v="12000000"/>
    <n v="4"/>
    <d v="1899-12-30T00:02:00"/>
    <x v="0"/>
    <x v="0"/>
    <x v="5"/>
    <x v="3"/>
    <x v="13"/>
  </r>
  <r>
    <x v="0"/>
    <n v="26"/>
    <x v="4"/>
    <x v="3"/>
    <x v="1"/>
    <x v="1"/>
    <n v="12000000"/>
    <n v="1"/>
    <d v="1899-12-30T00:02:00"/>
    <x v="0"/>
    <x v="0"/>
    <x v="7"/>
    <x v="2"/>
    <x v="11"/>
  </r>
  <r>
    <x v="0"/>
    <n v="22"/>
    <x v="10"/>
    <x v="0"/>
    <x v="2"/>
    <x v="2"/>
    <n v="12000000"/>
    <n v="4"/>
    <d v="1899-12-30T00:02:00"/>
    <x v="0"/>
    <x v="8"/>
    <x v="3"/>
    <x v="0"/>
    <x v="7"/>
  </r>
  <r>
    <x v="0"/>
    <n v="24"/>
    <x v="10"/>
    <x v="0"/>
    <x v="2"/>
    <x v="0"/>
    <n v="7000000"/>
    <n v="2"/>
    <d v="1899-12-30T00:02:00"/>
    <x v="0"/>
    <x v="7"/>
    <x v="3"/>
    <x v="2"/>
    <x v="11"/>
  </r>
  <r>
    <x v="0"/>
    <n v="24"/>
    <x v="10"/>
    <x v="0"/>
    <x v="4"/>
    <x v="4"/>
    <n v="25000000"/>
    <n v="2"/>
    <d v="1899-12-30T00:02:00"/>
    <x v="0"/>
    <x v="0"/>
    <x v="5"/>
    <x v="3"/>
    <x v="4"/>
  </r>
  <r>
    <x v="0"/>
    <n v="11"/>
    <x v="6"/>
    <x v="3"/>
    <x v="2"/>
    <x v="2"/>
    <n v="38000000"/>
    <n v="5"/>
    <d v="1899-12-30T00:02:00"/>
    <x v="1"/>
    <x v="6"/>
    <x v="3"/>
    <x v="1"/>
    <x v="1"/>
  </r>
  <r>
    <x v="0"/>
    <n v="15"/>
    <x v="1"/>
    <x v="0"/>
    <x v="1"/>
    <x v="1"/>
    <n v="15000000"/>
    <n v="2"/>
    <d v="1899-12-30T00:02:00"/>
    <x v="0"/>
    <x v="7"/>
    <x v="5"/>
    <x v="0"/>
    <x v="7"/>
  </r>
  <r>
    <x v="1"/>
    <n v="17"/>
    <x v="7"/>
    <x v="1"/>
    <x v="1"/>
    <x v="5"/>
    <n v="0"/>
    <n v="2"/>
    <d v="1899-12-30T00:02:00"/>
    <x v="3"/>
    <x v="9"/>
    <x v="2"/>
    <x v="1"/>
    <x v="2"/>
  </r>
  <r>
    <x v="1"/>
    <n v="6"/>
    <x v="1"/>
    <x v="0"/>
    <x v="0"/>
    <x v="5"/>
    <n v="0"/>
    <n v="1"/>
    <d v="1899-12-30T00:02:00"/>
    <x v="3"/>
    <x v="9"/>
    <x v="5"/>
    <x v="2"/>
    <x v="11"/>
  </r>
  <r>
    <x v="1"/>
    <n v="18"/>
    <x v="2"/>
    <x v="0"/>
    <x v="1"/>
    <x v="5"/>
    <n v="0"/>
    <n v="1"/>
    <d v="1899-12-30T00:02:00"/>
    <x v="3"/>
    <x v="9"/>
    <x v="7"/>
    <x v="2"/>
    <x v="8"/>
  </r>
  <r>
    <x v="1"/>
    <n v="11"/>
    <x v="4"/>
    <x v="5"/>
    <x v="2"/>
    <x v="5"/>
    <n v="0"/>
    <n v="4"/>
    <d v="1899-12-30T00:02:00"/>
    <x v="3"/>
    <x v="9"/>
    <x v="6"/>
    <x v="1"/>
    <x v="1"/>
  </r>
  <r>
    <x v="1"/>
    <n v="21"/>
    <x v="10"/>
    <x v="4"/>
    <x v="1"/>
    <x v="5"/>
    <n v="0"/>
    <n v="1"/>
    <d v="1899-12-30T00:02:00"/>
    <x v="3"/>
    <x v="9"/>
    <x v="4"/>
    <x v="0"/>
    <x v="10"/>
  </r>
  <r>
    <x v="1"/>
    <n v="17"/>
    <x v="7"/>
    <x v="1"/>
    <x v="1"/>
    <x v="5"/>
    <n v="0"/>
    <n v="2"/>
    <d v="1899-12-30T00:02:00"/>
    <x v="3"/>
    <x v="9"/>
    <x v="2"/>
    <x v="1"/>
    <x v="2"/>
  </r>
  <r>
    <x v="0"/>
    <n v="12"/>
    <x v="5"/>
    <x v="1"/>
    <x v="1"/>
    <x v="2"/>
    <n v="12000000"/>
    <n v="1"/>
    <d v="1899-12-30T00:02:00"/>
    <x v="0"/>
    <x v="2"/>
    <x v="3"/>
    <x v="1"/>
    <x v="14"/>
  </r>
  <r>
    <x v="0"/>
    <n v="1"/>
    <x v="0"/>
    <x v="2"/>
    <x v="2"/>
    <x v="3"/>
    <n v="20000000"/>
    <n v="1"/>
    <d v="1899-12-30T00:02:00"/>
    <x v="0"/>
    <x v="3"/>
    <x v="3"/>
    <x v="1"/>
    <x v="15"/>
  </r>
  <r>
    <x v="0"/>
    <n v="27"/>
    <x v="1"/>
    <x v="0"/>
    <x v="1"/>
    <x v="3"/>
    <n v="11000000"/>
    <n v="1"/>
    <d v="1899-12-30T00:02:00"/>
    <x v="2"/>
    <x v="5"/>
    <x v="1"/>
    <x v="2"/>
    <x v="8"/>
  </r>
  <r>
    <x v="0"/>
    <n v="26"/>
    <x v="1"/>
    <x v="5"/>
    <x v="0"/>
    <x v="1"/>
    <n v="15000000"/>
    <n v="1"/>
    <d v="1899-12-30T00:02:00"/>
    <x v="0"/>
    <x v="8"/>
    <x v="5"/>
    <x v="1"/>
    <x v="2"/>
  </r>
  <r>
    <x v="0"/>
    <n v="30"/>
    <x v="2"/>
    <x v="2"/>
    <x v="2"/>
    <x v="1"/>
    <n v="15000000"/>
    <n v="1"/>
    <d v="1899-12-30T00:02:00"/>
    <x v="0"/>
    <x v="2"/>
    <x v="5"/>
    <x v="2"/>
    <x v="11"/>
  </r>
  <r>
    <x v="0"/>
    <n v="11"/>
    <x v="2"/>
    <x v="2"/>
    <x v="0"/>
    <x v="2"/>
    <n v="12000000"/>
    <n v="5"/>
    <d v="1899-12-30T00:02:00"/>
    <x v="0"/>
    <x v="1"/>
    <x v="6"/>
    <x v="0"/>
    <x v="9"/>
  </r>
  <r>
    <x v="0"/>
    <n v="28"/>
    <x v="3"/>
    <x v="0"/>
    <x v="0"/>
    <x v="4"/>
    <n v="21000000"/>
    <n v="3"/>
    <d v="1899-12-30T00:02:00"/>
    <x v="0"/>
    <x v="4"/>
    <x v="1"/>
    <x v="1"/>
    <x v="6"/>
  </r>
  <r>
    <x v="0"/>
    <n v="8"/>
    <x v="3"/>
    <x v="4"/>
    <x v="0"/>
    <x v="2"/>
    <n v="12000000"/>
    <n v="2"/>
    <d v="1899-12-30T00:02:00"/>
    <x v="0"/>
    <x v="4"/>
    <x v="3"/>
    <x v="0"/>
    <x v="12"/>
  </r>
  <r>
    <x v="0"/>
    <n v="25"/>
    <x v="3"/>
    <x v="0"/>
    <x v="1"/>
    <x v="4"/>
    <n v="25000000"/>
    <n v="1"/>
    <d v="1899-12-30T00:02:00"/>
    <x v="0"/>
    <x v="0"/>
    <x v="6"/>
    <x v="3"/>
    <x v="4"/>
  </r>
  <r>
    <x v="0"/>
    <n v="2"/>
    <x v="3"/>
    <x v="2"/>
    <x v="1"/>
    <x v="1"/>
    <n v="15000000"/>
    <n v="3"/>
    <d v="1899-12-30T00:02:00"/>
    <x v="0"/>
    <x v="0"/>
    <x v="7"/>
    <x v="0"/>
    <x v="12"/>
  </r>
  <r>
    <x v="0"/>
    <n v="29"/>
    <x v="3"/>
    <x v="0"/>
    <x v="1"/>
    <x v="2"/>
    <n v="12000000"/>
    <n v="1"/>
    <d v="1899-12-30T00:02:00"/>
    <x v="0"/>
    <x v="7"/>
    <x v="7"/>
    <x v="1"/>
    <x v="2"/>
  </r>
  <r>
    <x v="0"/>
    <n v="6"/>
    <x v="4"/>
    <x v="1"/>
    <x v="1"/>
    <x v="1"/>
    <n v="15000000"/>
    <n v="1"/>
    <d v="1899-12-30T00:02:00"/>
    <x v="0"/>
    <x v="0"/>
    <x v="2"/>
    <x v="1"/>
    <x v="6"/>
  </r>
  <r>
    <x v="0"/>
    <n v="19"/>
    <x v="4"/>
    <x v="0"/>
    <x v="1"/>
    <x v="1"/>
    <n v="15000000"/>
    <n v="5"/>
    <d v="1899-12-30T00:02:00"/>
    <x v="0"/>
    <x v="7"/>
    <x v="2"/>
    <x v="1"/>
    <x v="6"/>
  </r>
  <r>
    <x v="0"/>
    <n v="22"/>
    <x v="4"/>
    <x v="4"/>
    <x v="1"/>
    <x v="2"/>
    <n v="12000000"/>
    <n v="2"/>
    <d v="1899-12-30T00:02:00"/>
    <x v="0"/>
    <x v="2"/>
    <x v="1"/>
    <x v="0"/>
    <x v="7"/>
  </r>
  <r>
    <x v="0"/>
    <n v="3"/>
    <x v="4"/>
    <x v="1"/>
    <x v="2"/>
    <x v="4"/>
    <n v="25000000"/>
    <n v="3"/>
    <d v="1899-12-30T00:02:00"/>
    <x v="0"/>
    <x v="4"/>
    <x v="4"/>
    <x v="0"/>
    <x v="5"/>
  </r>
  <r>
    <x v="0"/>
    <n v="2"/>
    <x v="4"/>
    <x v="1"/>
    <x v="2"/>
    <x v="4"/>
    <n v="25000000"/>
    <n v="1"/>
    <d v="1899-12-30T00:02:00"/>
    <x v="0"/>
    <x v="7"/>
    <x v="7"/>
    <x v="0"/>
    <x v="12"/>
  </r>
  <r>
    <x v="0"/>
    <n v="1"/>
    <x v="10"/>
    <x v="2"/>
    <x v="2"/>
    <x v="3"/>
    <n v="20000000"/>
    <n v="4"/>
    <d v="1899-12-30T00:02:00"/>
    <x v="0"/>
    <x v="1"/>
    <x v="7"/>
    <x v="1"/>
    <x v="6"/>
  </r>
  <r>
    <x v="0"/>
    <n v="17"/>
    <x v="10"/>
    <x v="5"/>
    <x v="0"/>
    <x v="1"/>
    <n v="15000000"/>
    <n v="5"/>
    <d v="1899-12-30T00:02:00"/>
    <x v="0"/>
    <x v="4"/>
    <x v="7"/>
    <x v="2"/>
    <x v="8"/>
  </r>
  <r>
    <x v="0"/>
    <n v="2"/>
    <x v="10"/>
    <x v="2"/>
    <x v="0"/>
    <x v="2"/>
    <n v="12000000"/>
    <n v="2"/>
    <d v="1899-12-30T00:02:00"/>
    <x v="0"/>
    <x v="7"/>
    <x v="0"/>
    <x v="0"/>
    <x v="5"/>
  </r>
  <r>
    <x v="0"/>
    <n v="12"/>
    <x v="5"/>
    <x v="1"/>
    <x v="1"/>
    <x v="2"/>
    <n v="12000000"/>
    <n v="1"/>
    <d v="1899-12-30T00:02:00"/>
    <x v="0"/>
    <x v="2"/>
    <x v="3"/>
    <x v="1"/>
    <x v="14"/>
  </r>
  <r>
    <x v="0"/>
    <n v="1"/>
    <x v="0"/>
    <x v="2"/>
    <x v="2"/>
    <x v="3"/>
    <n v="20000000"/>
    <n v="1"/>
    <d v="1899-12-30T00:02:00"/>
    <x v="0"/>
    <x v="3"/>
    <x v="3"/>
    <x v="1"/>
    <x v="15"/>
  </r>
  <r>
    <x v="0"/>
    <n v="27"/>
    <x v="1"/>
    <x v="0"/>
    <x v="1"/>
    <x v="3"/>
    <n v="11000000"/>
    <n v="1"/>
    <d v="1899-12-30T00:02:00"/>
    <x v="2"/>
    <x v="5"/>
    <x v="1"/>
    <x v="2"/>
    <x v="8"/>
  </r>
  <r>
    <x v="1"/>
    <n v="6"/>
    <x v="5"/>
    <x v="0"/>
    <x v="0"/>
    <x v="5"/>
    <n v="0"/>
    <n v="4"/>
    <d v="1899-12-30T00:02:00"/>
    <x v="3"/>
    <x v="9"/>
    <x v="7"/>
    <x v="0"/>
    <x v="7"/>
  </r>
  <r>
    <x v="1"/>
    <n v="28"/>
    <x v="8"/>
    <x v="3"/>
    <x v="0"/>
    <x v="5"/>
    <n v="0"/>
    <n v="1"/>
    <d v="1899-12-30T00:02:00"/>
    <x v="3"/>
    <x v="9"/>
    <x v="6"/>
    <x v="0"/>
    <x v="5"/>
  </r>
  <r>
    <x v="1"/>
    <n v="5"/>
    <x v="3"/>
    <x v="2"/>
    <x v="2"/>
    <x v="5"/>
    <n v="0"/>
    <n v="3"/>
    <d v="1899-12-30T00:02:00"/>
    <x v="3"/>
    <x v="9"/>
    <x v="2"/>
    <x v="3"/>
    <x v="4"/>
  </r>
  <r>
    <x v="1"/>
    <n v="4"/>
    <x v="10"/>
    <x v="3"/>
    <x v="4"/>
    <x v="5"/>
    <n v="0"/>
    <n v="4"/>
    <d v="1899-12-30T00:02:00"/>
    <x v="3"/>
    <x v="9"/>
    <x v="3"/>
    <x v="2"/>
    <x v="8"/>
  </r>
  <r>
    <x v="1"/>
    <n v="28"/>
    <x v="10"/>
    <x v="3"/>
    <x v="3"/>
    <x v="5"/>
    <n v="0"/>
    <n v="2"/>
    <d v="1899-12-30T00:02:00"/>
    <x v="3"/>
    <x v="9"/>
    <x v="3"/>
    <x v="1"/>
    <x v="2"/>
  </r>
  <r>
    <x v="1"/>
    <n v="10"/>
    <x v="10"/>
    <x v="0"/>
    <x v="1"/>
    <x v="5"/>
    <n v="0"/>
    <n v="1"/>
    <d v="1899-12-30T00:02:00"/>
    <x v="3"/>
    <x v="9"/>
    <x v="4"/>
    <x v="1"/>
    <x v="1"/>
  </r>
  <r>
    <x v="1"/>
    <n v="30"/>
    <x v="10"/>
    <x v="3"/>
    <x v="1"/>
    <x v="5"/>
    <n v="0"/>
    <n v="2"/>
    <d v="1899-12-30T00:02:00"/>
    <x v="3"/>
    <x v="9"/>
    <x v="0"/>
    <x v="0"/>
    <x v="9"/>
  </r>
  <r>
    <x v="1"/>
    <n v="6"/>
    <x v="5"/>
    <x v="0"/>
    <x v="0"/>
    <x v="5"/>
    <n v="0"/>
    <n v="4"/>
    <d v="1899-12-30T00:02:00"/>
    <x v="3"/>
    <x v="9"/>
    <x v="7"/>
    <x v="0"/>
    <x v="7"/>
  </r>
  <r>
    <x v="1"/>
    <n v="28"/>
    <x v="8"/>
    <x v="3"/>
    <x v="0"/>
    <x v="5"/>
    <n v="0"/>
    <n v="1"/>
    <d v="1899-12-30T00:02:00"/>
    <x v="3"/>
    <x v="9"/>
    <x v="6"/>
    <x v="0"/>
    <x v="5"/>
  </r>
  <r>
    <x v="0"/>
    <n v="4"/>
    <x v="0"/>
    <x v="1"/>
    <x v="2"/>
    <x v="4"/>
    <n v="20000000"/>
    <n v="1"/>
    <d v="1899-12-30T00:02:00"/>
    <x v="0"/>
    <x v="3"/>
    <x v="7"/>
    <x v="2"/>
    <x v="8"/>
  </r>
  <r>
    <x v="0"/>
    <n v="6"/>
    <x v="8"/>
    <x v="1"/>
    <x v="4"/>
    <x v="2"/>
    <n v="12000000"/>
    <n v="1"/>
    <d v="1899-12-30T00:02:00"/>
    <x v="0"/>
    <x v="3"/>
    <x v="3"/>
    <x v="1"/>
    <x v="6"/>
  </r>
  <r>
    <x v="0"/>
    <n v="12"/>
    <x v="9"/>
    <x v="2"/>
    <x v="3"/>
    <x v="2"/>
    <n v="12000000"/>
    <n v="5"/>
    <d v="1899-12-30T00:02:00"/>
    <x v="0"/>
    <x v="4"/>
    <x v="2"/>
    <x v="3"/>
    <x v="13"/>
  </r>
  <r>
    <x v="0"/>
    <n v="11"/>
    <x v="1"/>
    <x v="3"/>
    <x v="2"/>
    <x v="2"/>
    <n v="12000000"/>
    <n v="1"/>
    <d v="1899-12-30T00:02:00"/>
    <x v="0"/>
    <x v="1"/>
    <x v="5"/>
    <x v="1"/>
    <x v="1"/>
  </r>
  <r>
    <x v="0"/>
    <n v="2"/>
    <x v="3"/>
    <x v="0"/>
    <x v="1"/>
    <x v="1"/>
    <n v="15000000"/>
    <n v="1"/>
    <d v="1899-12-30T00:02:00"/>
    <x v="0"/>
    <x v="4"/>
    <x v="0"/>
    <x v="0"/>
    <x v="12"/>
  </r>
  <r>
    <x v="0"/>
    <n v="8"/>
    <x v="3"/>
    <x v="0"/>
    <x v="2"/>
    <x v="1"/>
    <n v="15000000"/>
    <n v="4"/>
    <d v="1899-12-30T00:02:00"/>
    <x v="0"/>
    <x v="5"/>
    <x v="7"/>
    <x v="2"/>
    <x v="8"/>
  </r>
  <r>
    <x v="0"/>
    <n v="17"/>
    <x v="4"/>
    <x v="2"/>
    <x v="1"/>
    <x v="3"/>
    <n v="11000000"/>
    <n v="2"/>
    <d v="1899-12-30T00:02:00"/>
    <x v="2"/>
    <x v="0"/>
    <x v="7"/>
    <x v="0"/>
    <x v="0"/>
  </r>
  <r>
    <x v="0"/>
    <n v="10"/>
    <x v="10"/>
    <x v="2"/>
    <x v="1"/>
    <x v="3"/>
    <n v="20000000"/>
    <n v="1"/>
    <d v="1899-12-30T00:02:00"/>
    <x v="0"/>
    <x v="0"/>
    <x v="6"/>
    <x v="3"/>
    <x v="13"/>
  </r>
  <r>
    <x v="0"/>
    <n v="17"/>
    <x v="10"/>
    <x v="4"/>
    <x v="0"/>
    <x v="0"/>
    <n v="7000000"/>
    <n v="5"/>
    <d v="1899-12-30T00:02:00"/>
    <x v="0"/>
    <x v="8"/>
    <x v="6"/>
    <x v="3"/>
    <x v="4"/>
  </r>
  <r>
    <x v="0"/>
    <n v="4"/>
    <x v="0"/>
    <x v="1"/>
    <x v="2"/>
    <x v="4"/>
    <n v="20000000"/>
    <n v="1"/>
    <d v="1899-12-30T00:02:00"/>
    <x v="0"/>
    <x v="3"/>
    <x v="7"/>
    <x v="2"/>
    <x v="8"/>
  </r>
  <r>
    <x v="0"/>
    <n v="6"/>
    <x v="8"/>
    <x v="1"/>
    <x v="4"/>
    <x v="2"/>
    <n v="12000000"/>
    <n v="1"/>
    <d v="1899-12-30T00:02:00"/>
    <x v="0"/>
    <x v="3"/>
    <x v="3"/>
    <x v="1"/>
    <x v="6"/>
  </r>
  <r>
    <x v="0"/>
    <n v="12"/>
    <x v="9"/>
    <x v="2"/>
    <x v="3"/>
    <x v="2"/>
    <n v="12000000"/>
    <n v="5"/>
    <d v="1899-12-30T00:02:00"/>
    <x v="0"/>
    <x v="4"/>
    <x v="2"/>
    <x v="3"/>
    <x v="13"/>
  </r>
  <r>
    <x v="1"/>
    <n v="2"/>
    <x v="8"/>
    <x v="0"/>
    <x v="2"/>
    <x v="5"/>
    <n v="0"/>
    <n v="1"/>
    <d v="1899-12-30T00:02:00"/>
    <x v="3"/>
    <x v="9"/>
    <x v="1"/>
    <x v="2"/>
    <x v="11"/>
  </r>
  <r>
    <x v="1"/>
    <n v="30"/>
    <x v="2"/>
    <x v="0"/>
    <x v="1"/>
    <x v="5"/>
    <n v="0"/>
    <n v="2"/>
    <d v="1899-12-30T00:02:00"/>
    <x v="3"/>
    <x v="9"/>
    <x v="5"/>
    <x v="1"/>
    <x v="2"/>
  </r>
  <r>
    <x v="1"/>
    <n v="8"/>
    <x v="3"/>
    <x v="3"/>
    <x v="1"/>
    <x v="5"/>
    <n v="0"/>
    <n v="1"/>
    <d v="1899-12-30T00:02:00"/>
    <x v="3"/>
    <x v="9"/>
    <x v="2"/>
    <x v="0"/>
    <x v="9"/>
  </r>
  <r>
    <x v="1"/>
    <n v="20"/>
    <x v="4"/>
    <x v="2"/>
    <x v="0"/>
    <x v="5"/>
    <n v="0"/>
    <n v="2"/>
    <d v="1899-12-30T00:02:00"/>
    <x v="3"/>
    <x v="9"/>
    <x v="3"/>
    <x v="0"/>
    <x v="9"/>
  </r>
  <r>
    <x v="1"/>
    <n v="2"/>
    <x v="8"/>
    <x v="0"/>
    <x v="2"/>
    <x v="5"/>
    <n v="0"/>
    <n v="1"/>
    <d v="1899-12-30T00:02:00"/>
    <x v="3"/>
    <x v="9"/>
    <x v="1"/>
    <x v="2"/>
    <x v="11"/>
  </r>
  <r>
    <x v="0"/>
    <n v="10"/>
    <x v="5"/>
    <x v="2"/>
    <x v="2"/>
    <x v="2"/>
    <n v="12000000"/>
    <n v="1"/>
    <d v="1899-12-30T00:02:00"/>
    <x v="0"/>
    <x v="0"/>
    <x v="0"/>
    <x v="2"/>
    <x v="3"/>
  </r>
  <r>
    <x v="0"/>
    <n v="1"/>
    <x v="5"/>
    <x v="2"/>
    <x v="2"/>
    <x v="1"/>
    <n v="11000000"/>
    <n v="2"/>
    <d v="1899-12-30T00:02:00"/>
    <x v="0"/>
    <x v="8"/>
    <x v="0"/>
    <x v="0"/>
    <x v="10"/>
  </r>
  <r>
    <x v="0"/>
    <n v="11"/>
    <x v="6"/>
    <x v="0"/>
    <x v="0"/>
    <x v="2"/>
    <n v="10000000"/>
    <n v="2"/>
    <d v="1899-12-30T00:02:00"/>
    <x v="0"/>
    <x v="7"/>
    <x v="6"/>
    <x v="3"/>
    <x v="4"/>
  </r>
  <r>
    <x v="0"/>
    <n v="3"/>
    <x v="8"/>
    <x v="4"/>
    <x v="2"/>
    <x v="2"/>
    <n v="38000000"/>
    <n v="1"/>
    <d v="1899-12-30T00:02:00"/>
    <x v="1"/>
    <x v="0"/>
    <x v="2"/>
    <x v="2"/>
    <x v="11"/>
  </r>
  <r>
    <x v="0"/>
    <n v="20"/>
    <x v="11"/>
    <x v="1"/>
    <x v="2"/>
    <x v="0"/>
    <n v="19000000"/>
    <n v="5"/>
    <d v="1899-12-30T00:02:00"/>
    <x v="1"/>
    <x v="2"/>
    <x v="5"/>
    <x v="3"/>
    <x v="13"/>
  </r>
  <r>
    <x v="0"/>
    <n v="11"/>
    <x v="1"/>
    <x v="0"/>
    <x v="2"/>
    <x v="1"/>
    <n v="15000000"/>
    <n v="4"/>
    <d v="1899-12-30T00:02:00"/>
    <x v="0"/>
    <x v="2"/>
    <x v="7"/>
    <x v="3"/>
    <x v="13"/>
  </r>
  <r>
    <x v="0"/>
    <n v="28"/>
    <x v="2"/>
    <x v="2"/>
    <x v="1"/>
    <x v="0"/>
    <n v="19000000"/>
    <n v="4"/>
    <d v="1899-12-30T00:02:00"/>
    <x v="4"/>
    <x v="3"/>
    <x v="5"/>
    <x v="3"/>
    <x v="4"/>
  </r>
  <r>
    <x v="0"/>
    <n v="30"/>
    <x v="2"/>
    <x v="2"/>
    <x v="2"/>
    <x v="2"/>
    <n v="38000000"/>
    <n v="1"/>
    <d v="1899-12-30T00:02:00"/>
    <x v="1"/>
    <x v="4"/>
    <x v="2"/>
    <x v="2"/>
    <x v="8"/>
  </r>
  <r>
    <x v="0"/>
    <n v="11"/>
    <x v="2"/>
    <x v="2"/>
    <x v="2"/>
    <x v="4"/>
    <n v="25000000"/>
    <n v="2"/>
    <d v="1899-12-30T00:02:00"/>
    <x v="0"/>
    <x v="2"/>
    <x v="2"/>
    <x v="1"/>
    <x v="15"/>
  </r>
  <r>
    <x v="0"/>
    <n v="12"/>
    <x v="2"/>
    <x v="2"/>
    <x v="2"/>
    <x v="4"/>
    <n v="25000000"/>
    <n v="5"/>
    <d v="1899-12-30T00:02:00"/>
    <x v="0"/>
    <x v="7"/>
    <x v="2"/>
    <x v="0"/>
    <x v="10"/>
  </r>
  <r>
    <x v="0"/>
    <n v="17"/>
    <x v="2"/>
    <x v="1"/>
    <x v="2"/>
    <x v="2"/>
    <n v="12000000"/>
    <n v="4"/>
    <d v="1899-12-30T00:02:00"/>
    <x v="0"/>
    <x v="4"/>
    <x v="6"/>
    <x v="2"/>
    <x v="8"/>
  </r>
  <r>
    <x v="0"/>
    <n v="29"/>
    <x v="2"/>
    <x v="2"/>
    <x v="1"/>
    <x v="3"/>
    <n v="15000000"/>
    <n v="3"/>
    <d v="1899-12-30T00:02:00"/>
    <x v="0"/>
    <x v="1"/>
    <x v="7"/>
    <x v="0"/>
    <x v="7"/>
  </r>
  <r>
    <x v="0"/>
    <n v="8"/>
    <x v="3"/>
    <x v="1"/>
    <x v="1"/>
    <x v="0"/>
    <n v="7000000"/>
    <n v="1"/>
    <d v="1899-12-30T00:02:00"/>
    <x v="0"/>
    <x v="7"/>
    <x v="6"/>
    <x v="0"/>
    <x v="5"/>
  </r>
  <r>
    <x v="0"/>
    <n v="27"/>
    <x v="3"/>
    <x v="3"/>
    <x v="1"/>
    <x v="0"/>
    <n v="7000000"/>
    <n v="1"/>
    <d v="1899-12-30T00:02:00"/>
    <x v="0"/>
    <x v="0"/>
    <x v="1"/>
    <x v="2"/>
    <x v="8"/>
  </r>
  <r>
    <x v="0"/>
    <n v="2"/>
    <x v="4"/>
    <x v="3"/>
    <x v="1"/>
    <x v="3"/>
    <n v="20000000"/>
    <n v="1"/>
    <d v="1899-12-30T00:02:00"/>
    <x v="2"/>
    <x v="1"/>
    <x v="4"/>
    <x v="1"/>
    <x v="6"/>
  </r>
  <r>
    <x v="0"/>
    <n v="1"/>
    <x v="4"/>
    <x v="1"/>
    <x v="3"/>
    <x v="3"/>
    <n v="20000000"/>
    <n v="1"/>
    <d v="1899-12-30T00:02:00"/>
    <x v="0"/>
    <x v="5"/>
    <x v="7"/>
    <x v="0"/>
    <x v="5"/>
  </r>
  <r>
    <x v="0"/>
    <n v="31"/>
    <x v="10"/>
    <x v="4"/>
    <x v="2"/>
    <x v="1"/>
    <n v="12000000"/>
    <n v="1"/>
    <d v="1899-12-30T00:02:00"/>
    <x v="0"/>
    <x v="0"/>
    <x v="3"/>
    <x v="0"/>
    <x v="7"/>
  </r>
  <r>
    <x v="0"/>
    <n v="30"/>
    <x v="10"/>
    <x v="1"/>
    <x v="1"/>
    <x v="2"/>
    <n v="12000000"/>
    <n v="1"/>
    <d v="1899-12-30T00:02:00"/>
    <x v="0"/>
    <x v="0"/>
    <x v="7"/>
    <x v="0"/>
    <x v="10"/>
  </r>
  <r>
    <x v="0"/>
    <n v="10"/>
    <x v="5"/>
    <x v="2"/>
    <x v="2"/>
    <x v="2"/>
    <n v="12000000"/>
    <n v="1"/>
    <d v="1899-12-30T00:02:00"/>
    <x v="0"/>
    <x v="0"/>
    <x v="0"/>
    <x v="2"/>
    <x v="3"/>
  </r>
  <r>
    <x v="0"/>
    <n v="1"/>
    <x v="5"/>
    <x v="2"/>
    <x v="2"/>
    <x v="1"/>
    <n v="11000000"/>
    <n v="2"/>
    <d v="1899-12-30T00:02:00"/>
    <x v="0"/>
    <x v="8"/>
    <x v="0"/>
    <x v="0"/>
    <x v="10"/>
  </r>
  <r>
    <x v="0"/>
    <n v="11"/>
    <x v="6"/>
    <x v="0"/>
    <x v="0"/>
    <x v="2"/>
    <n v="10000000"/>
    <n v="2"/>
    <d v="1899-12-30T00:02:00"/>
    <x v="0"/>
    <x v="7"/>
    <x v="6"/>
    <x v="3"/>
    <x v="4"/>
  </r>
  <r>
    <x v="0"/>
    <n v="3"/>
    <x v="8"/>
    <x v="4"/>
    <x v="2"/>
    <x v="2"/>
    <n v="38000000"/>
    <n v="1"/>
    <d v="1899-12-30T00:02:00"/>
    <x v="1"/>
    <x v="0"/>
    <x v="2"/>
    <x v="2"/>
    <x v="11"/>
  </r>
  <r>
    <x v="0"/>
    <n v="20"/>
    <x v="11"/>
    <x v="1"/>
    <x v="2"/>
    <x v="0"/>
    <n v="19000000"/>
    <n v="5"/>
    <d v="1899-12-30T00:02:00"/>
    <x v="1"/>
    <x v="2"/>
    <x v="5"/>
    <x v="3"/>
    <x v="13"/>
  </r>
  <r>
    <x v="0"/>
    <n v="11"/>
    <x v="1"/>
    <x v="0"/>
    <x v="2"/>
    <x v="1"/>
    <n v="15000000"/>
    <n v="4"/>
    <d v="1899-12-30T00:02:00"/>
    <x v="0"/>
    <x v="2"/>
    <x v="7"/>
    <x v="3"/>
    <x v="13"/>
  </r>
  <r>
    <x v="1"/>
    <n v="5"/>
    <x v="0"/>
    <x v="2"/>
    <x v="0"/>
    <x v="5"/>
    <n v="0"/>
    <n v="2"/>
    <d v="1899-12-30T00:02:00"/>
    <x v="3"/>
    <x v="9"/>
    <x v="6"/>
    <x v="1"/>
    <x v="6"/>
  </r>
  <r>
    <x v="1"/>
    <n v="22"/>
    <x v="3"/>
    <x v="2"/>
    <x v="0"/>
    <x v="5"/>
    <n v="0"/>
    <n v="1"/>
    <d v="1899-12-30T00:02:00"/>
    <x v="3"/>
    <x v="9"/>
    <x v="5"/>
    <x v="1"/>
    <x v="2"/>
  </r>
  <r>
    <x v="1"/>
    <n v="26"/>
    <x v="3"/>
    <x v="1"/>
    <x v="2"/>
    <x v="5"/>
    <n v="0"/>
    <n v="1"/>
    <d v="1899-12-30T00:02:00"/>
    <x v="3"/>
    <x v="9"/>
    <x v="4"/>
    <x v="0"/>
    <x v="5"/>
  </r>
  <r>
    <x v="1"/>
    <n v="8"/>
    <x v="3"/>
    <x v="2"/>
    <x v="1"/>
    <x v="5"/>
    <n v="0"/>
    <n v="5"/>
    <d v="1899-12-30T00:02:00"/>
    <x v="3"/>
    <x v="9"/>
    <x v="6"/>
    <x v="0"/>
    <x v="10"/>
  </r>
  <r>
    <x v="1"/>
    <n v="17"/>
    <x v="4"/>
    <x v="0"/>
    <x v="2"/>
    <x v="5"/>
    <n v="0"/>
    <n v="4"/>
    <d v="1899-12-30T00:02:00"/>
    <x v="3"/>
    <x v="9"/>
    <x v="6"/>
    <x v="3"/>
    <x v="13"/>
  </r>
  <r>
    <x v="1"/>
    <n v="11"/>
    <x v="10"/>
    <x v="1"/>
    <x v="1"/>
    <x v="5"/>
    <n v="0"/>
    <n v="2"/>
    <d v="1899-12-30T00:02:00"/>
    <x v="3"/>
    <x v="9"/>
    <x v="7"/>
    <x v="1"/>
    <x v="6"/>
  </r>
  <r>
    <x v="1"/>
    <n v="22"/>
    <x v="10"/>
    <x v="0"/>
    <x v="3"/>
    <x v="5"/>
    <n v="0"/>
    <n v="2"/>
    <d v="1899-12-30T00:02:00"/>
    <x v="3"/>
    <x v="9"/>
    <x v="3"/>
    <x v="1"/>
    <x v="15"/>
  </r>
  <r>
    <x v="1"/>
    <n v="1"/>
    <x v="10"/>
    <x v="1"/>
    <x v="1"/>
    <x v="5"/>
    <n v="0"/>
    <n v="3"/>
    <d v="1899-12-30T00:02:00"/>
    <x v="3"/>
    <x v="9"/>
    <x v="0"/>
    <x v="0"/>
    <x v="7"/>
  </r>
  <r>
    <x v="1"/>
    <n v="5"/>
    <x v="0"/>
    <x v="2"/>
    <x v="0"/>
    <x v="5"/>
    <n v="0"/>
    <n v="2"/>
    <d v="1899-12-30T00:02:00"/>
    <x v="3"/>
    <x v="9"/>
    <x v="6"/>
    <x v="1"/>
    <x v="6"/>
  </r>
  <r>
    <x v="0"/>
    <n v="11"/>
    <x v="6"/>
    <x v="0"/>
    <x v="0"/>
    <x v="2"/>
    <n v="12000000"/>
    <n v="3"/>
    <d v="1899-12-30T00:02:10"/>
    <x v="0"/>
    <x v="7"/>
    <x v="6"/>
    <x v="0"/>
    <x v="10"/>
  </r>
  <r>
    <x v="0"/>
    <n v="28"/>
    <x v="11"/>
    <x v="4"/>
    <x v="2"/>
    <x v="2"/>
    <n v="12000000"/>
    <n v="1"/>
    <d v="1899-12-30T00:02:10"/>
    <x v="0"/>
    <x v="0"/>
    <x v="6"/>
    <x v="2"/>
    <x v="8"/>
  </r>
  <r>
    <x v="0"/>
    <n v="12"/>
    <x v="1"/>
    <x v="1"/>
    <x v="1"/>
    <x v="2"/>
    <n v="38000000"/>
    <n v="4"/>
    <d v="1899-12-30T00:02:10"/>
    <x v="1"/>
    <x v="3"/>
    <x v="3"/>
    <x v="1"/>
    <x v="6"/>
  </r>
  <r>
    <x v="0"/>
    <n v="30"/>
    <x v="2"/>
    <x v="5"/>
    <x v="2"/>
    <x v="2"/>
    <n v="12000000"/>
    <n v="5"/>
    <d v="1899-12-30T00:02:10"/>
    <x v="0"/>
    <x v="4"/>
    <x v="2"/>
    <x v="1"/>
    <x v="6"/>
  </r>
  <r>
    <x v="0"/>
    <n v="14"/>
    <x v="2"/>
    <x v="5"/>
    <x v="2"/>
    <x v="0"/>
    <n v="7000000"/>
    <n v="1"/>
    <d v="1899-12-30T00:02:10"/>
    <x v="0"/>
    <x v="5"/>
    <x v="1"/>
    <x v="1"/>
    <x v="2"/>
  </r>
  <r>
    <x v="0"/>
    <n v="26"/>
    <x v="2"/>
    <x v="4"/>
    <x v="1"/>
    <x v="3"/>
    <n v="20000000"/>
    <n v="2"/>
    <d v="1899-12-30T00:02:10"/>
    <x v="0"/>
    <x v="7"/>
    <x v="7"/>
    <x v="0"/>
    <x v="10"/>
  </r>
  <r>
    <x v="0"/>
    <n v="5"/>
    <x v="3"/>
    <x v="1"/>
    <x v="2"/>
    <x v="0"/>
    <n v="19000000"/>
    <n v="1"/>
    <d v="1899-12-30T00:02:10"/>
    <x v="1"/>
    <x v="4"/>
    <x v="5"/>
    <x v="0"/>
    <x v="10"/>
  </r>
  <r>
    <x v="0"/>
    <n v="29"/>
    <x v="3"/>
    <x v="1"/>
    <x v="1"/>
    <x v="1"/>
    <n v="15000000"/>
    <n v="3"/>
    <d v="1899-12-30T00:02:10"/>
    <x v="0"/>
    <x v="8"/>
    <x v="4"/>
    <x v="3"/>
    <x v="13"/>
  </r>
  <r>
    <x v="0"/>
    <n v="2"/>
    <x v="4"/>
    <x v="0"/>
    <x v="2"/>
    <x v="3"/>
    <n v="20000000"/>
    <n v="4"/>
    <d v="1899-12-30T00:02:10"/>
    <x v="2"/>
    <x v="5"/>
    <x v="4"/>
    <x v="1"/>
    <x v="6"/>
  </r>
  <r>
    <x v="0"/>
    <n v="25"/>
    <x v="4"/>
    <x v="0"/>
    <x v="0"/>
    <x v="4"/>
    <n v="25000000"/>
    <n v="4"/>
    <d v="1899-12-30T00:02:10"/>
    <x v="0"/>
    <x v="0"/>
    <x v="6"/>
    <x v="0"/>
    <x v="7"/>
  </r>
  <r>
    <x v="0"/>
    <n v="17"/>
    <x v="4"/>
    <x v="2"/>
    <x v="0"/>
    <x v="4"/>
    <n v="21000000"/>
    <n v="1"/>
    <d v="1899-12-30T00:02:10"/>
    <x v="0"/>
    <x v="8"/>
    <x v="7"/>
    <x v="3"/>
    <x v="4"/>
  </r>
  <r>
    <x v="0"/>
    <n v="11"/>
    <x v="6"/>
    <x v="0"/>
    <x v="0"/>
    <x v="2"/>
    <n v="12000000"/>
    <n v="3"/>
    <d v="1899-12-30T00:02:10"/>
    <x v="0"/>
    <x v="7"/>
    <x v="6"/>
    <x v="0"/>
    <x v="10"/>
  </r>
  <r>
    <x v="0"/>
    <n v="28"/>
    <x v="11"/>
    <x v="4"/>
    <x v="2"/>
    <x v="2"/>
    <n v="12000000"/>
    <n v="1"/>
    <d v="1899-12-30T00:02:10"/>
    <x v="0"/>
    <x v="0"/>
    <x v="6"/>
    <x v="2"/>
    <x v="8"/>
  </r>
  <r>
    <x v="0"/>
    <n v="12"/>
    <x v="1"/>
    <x v="1"/>
    <x v="1"/>
    <x v="2"/>
    <n v="38000000"/>
    <n v="4"/>
    <d v="1899-12-30T00:02:10"/>
    <x v="1"/>
    <x v="3"/>
    <x v="3"/>
    <x v="1"/>
    <x v="6"/>
  </r>
  <r>
    <x v="1"/>
    <n v="30"/>
    <x v="4"/>
    <x v="0"/>
    <x v="3"/>
    <x v="5"/>
    <n v="0"/>
    <n v="2"/>
    <d v="1899-12-30T00:02:10"/>
    <x v="3"/>
    <x v="9"/>
    <x v="3"/>
    <x v="3"/>
    <x v="4"/>
  </r>
  <r>
    <x v="1"/>
    <n v="11"/>
    <x v="4"/>
    <x v="3"/>
    <x v="1"/>
    <x v="5"/>
    <n v="0"/>
    <n v="3"/>
    <d v="1899-12-30T00:02:10"/>
    <x v="3"/>
    <x v="9"/>
    <x v="0"/>
    <x v="1"/>
    <x v="6"/>
  </r>
  <r>
    <x v="0"/>
    <n v="11"/>
    <x v="5"/>
    <x v="4"/>
    <x v="0"/>
    <x v="4"/>
    <n v="25000000"/>
    <n v="3"/>
    <d v="1899-12-30T00:02:12"/>
    <x v="0"/>
    <x v="5"/>
    <x v="0"/>
    <x v="3"/>
    <x v="4"/>
  </r>
  <r>
    <x v="0"/>
    <n v="15"/>
    <x v="5"/>
    <x v="2"/>
    <x v="2"/>
    <x v="2"/>
    <n v="12000000"/>
    <n v="1"/>
    <d v="1899-12-30T00:02:12"/>
    <x v="0"/>
    <x v="2"/>
    <x v="5"/>
    <x v="1"/>
    <x v="2"/>
  </r>
  <r>
    <x v="0"/>
    <n v="14"/>
    <x v="6"/>
    <x v="1"/>
    <x v="1"/>
    <x v="2"/>
    <n v="12000000"/>
    <n v="1"/>
    <d v="1899-12-30T00:02:12"/>
    <x v="0"/>
    <x v="5"/>
    <x v="2"/>
    <x v="2"/>
    <x v="11"/>
  </r>
  <r>
    <x v="0"/>
    <n v="11"/>
    <x v="6"/>
    <x v="0"/>
    <x v="2"/>
    <x v="0"/>
    <n v="7000000"/>
    <n v="1"/>
    <d v="1899-12-30T00:02:12"/>
    <x v="0"/>
    <x v="4"/>
    <x v="3"/>
    <x v="1"/>
    <x v="2"/>
  </r>
  <r>
    <x v="0"/>
    <n v="1"/>
    <x v="8"/>
    <x v="1"/>
    <x v="0"/>
    <x v="3"/>
    <n v="20000000"/>
    <n v="2"/>
    <d v="1899-12-30T00:02:12"/>
    <x v="2"/>
    <x v="2"/>
    <x v="1"/>
    <x v="0"/>
    <x v="7"/>
  </r>
  <r>
    <x v="0"/>
    <n v="7"/>
    <x v="8"/>
    <x v="1"/>
    <x v="2"/>
    <x v="1"/>
    <n v="15000000"/>
    <n v="1"/>
    <d v="1899-12-30T00:02:12"/>
    <x v="0"/>
    <x v="5"/>
    <x v="5"/>
    <x v="0"/>
    <x v="5"/>
  </r>
  <r>
    <x v="0"/>
    <n v="1"/>
    <x v="8"/>
    <x v="2"/>
    <x v="1"/>
    <x v="1"/>
    <n v="15000000"/>
    <n v="2"/>
    <d v="1899-12-30T00:02:12"/>
    <x v="0"/>
    <x v="0"/>
    <x v="7"/>
    <x v="1"/>
    <x v="6"/>
  </r>
  <r>
    <x v="0"/>
    <n v="6"/>
    <x v="11"/>
    <x v="4"/>
    <x v="2"/>
    <x v="2"/>
    <n v="38000000"/>
    <n v="1"/>
    <d v="1899-12-30T00:02:12"/>
    <x v="1"/>
    <x v="2"/>
    <x v="0"/>
    <x v="0"/>
    <x v="9"/>
  </r>
  <r>
    <x v="0"/>
    <n v="31"/>
    <x v="1"/>
    <x v="1"/>
    <x v="1"/>
    <x v="0"/>
    <n v="19000000"/>
    <n v="2"/>
    <d v="1899-12-30T00:02:12"/>
    <x v="1"/>
    <x v="0"/>
    <x v="2"/>
    <x v="1"/>
    <x v="6"/>
  </r>
  <r>
    <x v="0"/>
    <n v="12"/>
    <x v="1"/>
    <x v="1"/>
    <x v="2"/>
    <x v="2"/>
    <n v="10000000"/>
    <n v="4"/>
    <d v="1899-12-30T00:02:12"/>
    <x v="0"/>
    <x v="1"/>
    <x v="4"/>
    <x v="3"/>
    <x v="4"/>
  </r>
  <r>
    <x v="0"/>
    <n v="28"/>
    <x v="2"/>
    <x v="5"/>
    <x v="4"/>
    <x v="4"/>
    <n v="21000000"/>
    <n v="3"/>
    <d v="1899-12-30T00:02:12"/>
    <x v="0"/>
    <x v="7"/>
    <x v="4"/>
    <x v="1"/>
    <x v="15"/>
  </r>
  <r>
    <x v="0"/>
    <n v="2"/>
    <x v="2"/>
    <x v="0"/>
    <x v="3"/>
    <x v="2"/>
    <n v="10000000"/>
    <n v="2"/>
    <d v="1899-12-30T00:02:12"/>
    <x v="0"/>
    <x v="5"/>
    <x v="2"/>
    <x v="1"/>
    <x v="2"/>
  </r>
  <r>
    <x v="0"/>
    <n v="21"/>
    <x v="2"/>
    <x v="2"/>
    <x v="1"/>
    <x v="2"/>
    <n v="12000000"/>
    <n v="3"/>
    <d v="1899-12-30T00:02:12"/>
    <x v="0"/>
    <x v="0"/>
    <x v="2"/>
    <x v="2"/>
    <x v="8"/>
  </r>
  <r>
    <x v="0"/>
    <n v="30"/>
    <x v="2"/>
    <x v="1"/>
    <x v="0"/>
    <x v="3"/>
    <n v="15000000"/>
    <n v="1"/>
    <d v="1899-12-30T00:02:12"/>
    <x v="0"/>
    <x v="4"/>
    <x v="1"/>
    <x v="1"/>
    <x v="15"/>
  </r>
  <r>
    <x v="0"/>
    <n v="24"/>
    <x v="2"/>
    <x v="5"/>
    <x v="2"/>
    <x v="4"/>
    <n v="25000000"/>
    <n v="2"/>
    <d v="1899-12-30T00:02:12"/>
    <x v="0"/>
    <x v="0"/>
    <x v="3"/>
    <x v="3"/>
    <x v="4"/>
  </r>
  <r>
    <x v="0"/>
    <n v="24"/>
    <x v="2"/>
    <x v="3"/>
    <x v="1"/>
    <x v="1"/>
    <n v="15000000"/>
    <n v="2"/>
    <d v="1899-12-30T00:02:12"/>
    <x v="0"/>
    <x v="6"/>
    <x v="4"/>
    <x v="1"/>
    <x v="1"/>
  </r>
  <r>
    <x v="0"/>
    <n v="30"/>
    <x v="2"/>
    <x v="4"/>
    <x v="0"/>
    <x v="2"/>
    <n v="12000000"/>
    <n v="2"/>
    <d v="1899-12-30T00:02:12"/>
    <x v="0"/>
    <x v="5"/>
    <x v="0"/>
    <x v="2"/>
    <x v="11"/>
  </r>
  <r>
    <x v="0"/>
    <n v="22"/>
    <x v="2"/>
    <x v="4"/>
    <x v="0"/>
    <x v="1"/>
    <n v="12000000"/>
    <n v="2"/>
    <d v="1899-12-30T00:02:12"/>
    <x v="0"/>
    <x v="0"/>
    <x v="5"/>
    <x v="2"/>
    <x v="8"/>
  </r>
  <r>
    <x v="0"/>
    <n v="26"/>
    <x v="2"/>
    <x v="2"/>
    <x v="4"/>
    <x v="4"/>
    <n v="25000000"/>
    <n v="3"/>
    <d v="1899-12-30T00:02:12"/>
    <x v="0"/>
    <x v="7"/>
    <x v="6"/>
    <x v="1"/>
    <x v="6"/>
  </r>
  <r>
    <x v="0"/>
    <n v="29"/>
    <x v="3"/>
    <x v="2"/>
    <x v="2"/>
    <x v="0"/>
    <n v="19000000"/>
    <n v="4"/>
    <d v="1899-12-30T00:02:12"/>
    <x v="1"/>
    <x v="3"/>
    <x v="6"/>
    <x v="0"/>
    <x v="7"/>
  </r>
  <r>
    <x v="0"/>
    <n v="20"/>
    <x v="3"/>
    <x v="1"/>
    <x v="2"/>
    <x v="2"/>
    <n v="38000000"/>
    <n v="5"/>
    <d v="1899-12-30T00:02:12"/>
    <x v="1"/>
    <x v="0"/>
    <x v="7"/>
    <x v="0"/>
    <x v="5"/>
  </r>
  <r>
    <x v="0"/>
    <n v="4"/>
    <x v="3"/>
    <x v="2"/>
    <x v="0"/>
    <x v="4"/>
    <n v="20000000"/>
    <n v="2"/>
    <d v="1899-12-30T00:02:12"/>
    <x v="0"/>
    <x v="1"/>
    <x v="2"/>
    <x v="0"/>
    <x v="10"/>
  </r>
  <r>
    <x v="0"/>
    <n v="20"/>
    <x v="3"/>
    <x v="2"/>
    <x v="1"/>
    <x v="2"/>
    <n v="12000000"/>
    <n v="2"/>
    <d v="1899-12-30T00:02:12"/>
    <x v="0"/>
    <x v="0"/>
    <x v="2"/>
    <x v="3"/>
    <x v="13"/>
  </r>
  <r>
    <x v="0"/>
    <n v="22"/>
    <x v="3"/>
    <x v="4"/>
    <x v="2"/>
    <x v="0"/>
    <n v="7000000"/>
    <n v="1"/>
    <d v="1899-12-30T00:02:12"/>
    <x v="0"/>
    <x v="4"/>
    <x v="3"/>
    <x v="0"/>
    <x v="5"/>
  </r>
  <r>
    <x v="0"/>
    <n v="30"/>
    <x v="3"/>
    <x v="3"/>
    <x v="1"/>
    <x v="1"/>
    <n v="15000000"/>
    <n v="2"/>
    <d v="1899-12-30T00:02:12"/>
    <x v="0"/>
    <x v="7"/>
    <x v="6"/>
    <x v="1"/>
    <x v="1"/>
  </r>
  <r>
    <x v="0"/>
    <n v="3"/>
    <x v="3"/>
    <x v="0"/>
    <x v="0"/>
    <x v="1"/>
    <n v="15000000"/>
    <n v="2"/>
    <d v="1899-12-30T00:02:12"/>
    <x v="0"/>
    <x v="0"/>
    <x v="1"/>
    <x v="0"/>
    <x v="9"/>
  </r>
  <r>
    <x v="0"/>
    <n v="8"/>
    <x v="3"/>
    <x v="0"/>
    <x v="3"/>
    <x v="3"/>
    <n v="20000000"/>
    <n v="3"/>
    <d v="1899-12-30T00:02:12"/>
    <x v="0"/>
    <x v="2"/>
    <x v="6"/>
    <x v="2"/>
    <x v="8"/>
  </r>
  <r>
    <x v="0"/>
    <n v="23"/>
    <x v="3"/>
    <x v="0"/>
    <x v="2"/>
    <x v="1"/>
    <n v="15000000"/>
    <n v="1"/>
    <d v="1899-12-30T00:02:12"/>
    <x v="0"/>
    <x v="2"/>
    <x v="7"/>
    <x v="3"/>
    <x v="13"/>
  </r>
  <r>
    <x v="0"/>
    <n v="22"/>
    <x v="4"/>
    <x v="2"/>
    <x v="2"/>
    <x v="2"/>
    <n v="38000000"/>
    <n v="3"/>
    <d v="1899-12-30T00:02:12"/>
    <x v="1"/>
    <x v="8"/>
    <x v="1"/>
    <x v="0"/>
    <x v="9"/>
  </r>
  <r>
    <x v="0"/>
    <n v="3"/>
    <x v="4"/>
    <x v="2"/>
    <x v="1"/>
    <x v="0"/>
    <n v="19000000"/>
    <n v="3"/>
    <d v="1899-12-30T00:02:12"/>
    <x v="1"/>
    <x v="2"/>
    <x v="6"/>
    <x v="1"/>
    <x v="2"/>
  </r>
  <r>
    <x v="0"/>
    <n v="6"/>
    <x v="4"/>
    <x v="2"/>
    <x v="1"/>
    <x v="1"/>
    <n v="11000000"/>
    <n v="5"/>
    <d v="1899-12-30T00:02:12"/>
    <x v="0"/>
    <x v="6"/>
    <x v="2"/>
    <x v="3"/>
    <x v="13"/>
  </r>
  <r>
    <x v="0"/>
    <n v="22"/>
    <x v="4"/>
    <x v="2"/>
    <x v="2"/>
    <x v="4"/>
    <n v="25000000"/>
    <n v="2"/>
    <d v="1899-12-30T00:02:12"/>
    <x v="0"/>
    <x v="4"/>
    <x v="5"/>
    <x v="0"/>
    <x v="5"/>
  </r>
  <r>
    <x v="0"/>
    <n v="22"/>
    <x v="4"/>
    <x v="4"/>
    <x v="0"/>
    <x v="2"/>
    <n v="12000000"/>
    <n v="1"/>
    <d v="1899-12-30T00:02:12"/>
    <x v="0"/>
    <x v="8"/>
    <x v="3"/>
    <x v="0"/>
    <x v="9"/>
  </r>
  <r>
    <x v="0"/>
    <n v="11"/>
    <x v="4"/>
    <x v="1"/>
    <x v="2"/>
    <x v="1"/>
    <n v="15000000"/>
    <n v="1"/>
    <d v="1899-12-30T00:02:12"/>
    <x v="0"/>
    <x v="6"/>
    <x v="6"/>
    <x v="0"/>
    <x v="5"/>
  </r>
  <r>
    <x v="0"/>
    <n v="17"/>
    <x v="4"/>
    <x v="0"/>
    <x v="1"/>
    <x v="1"/>
    <n v="15000000"/>
    <n v="5"/>
    <d v="1899-12-30T00:02:12"/>
    <x v="0"/>
    <x v="4"/>
    <x v="6"/>
    <x v="1"/>
    <x v="1"/>
  </r>
  <r>
    <x v="0"/>
    <n v="1"/>
    <x v="4"/>
    <x v="1"/>
    <x v="2"/>
    <x v="3"/>
    <n v="20000000"/>
    <n v="1"/>
    <d v="1899-12-30T00:02:12"/>
    <x v="0"/>
    <x v="2"/>
    <x v="7"/>
    <x v="1"/>
    <x v="6"/>
  </r>
  <r>
    <x v="0"/>
    <n v="11"/>
    <x v="10"/>
    <x v="4"/>
    <x v="1"/>
    <x v="3"/>
    <n v="20000000"/>
    <n v="3"/>
    <d v="1899-12-30T00:02:12"/>
    <x v="2"/>
    <x v="8"/>
    <x v="3"/>
    <x v="2"/>
    <x v="11"/>
  </r>
  <r>
    <x v="0"/>
    <n v="25"/>
    <x v="10"/>
    <x v="4"/>
    <x v="2"/>
    <x v="2"/>
    <n v="12000000"/>
    <n v="2"/>
    <d v="1899-12-30T00:02:12"/>
    <x v="0"/>
    <x v="2"/>
    <x v="3"/>
    <x v="2"/>
    <x v="11"/>
  </r>
  <r>
    <x v="0"/>
    <n v="24"/>
    <x v="10"/>
    <x v="0"/>
    <x v="0"/>
    <x v="1"/>
    <n v="15000000"/>
    <n v="3"/>
    <d v="1899-12-30T00:02:12"/>
    <x v="0"/>
    <x v="0"/>
    <x v="5"/>
    <x v="3"/>
    <x v="13"/>
  </r>
  <r>
    <x v="0"/>
    <n v="31"/>
    <x v="10"/>
    <x v="0"/>
    <x v="1"/>
    <x v="2"/>
    <n v="12000000"/>
    <n v="2"/>
    <d v="1899-12-30T00:02:12"/>
    <x v="0"/>
    <x v="1"/>
    <x v="7"/>
    <x v="1"/>
    <x v="1"/>
  </r>
  <r>
    <x v="0"/>
    <n v="11"/>
    <x v="5"/>
    <x v="4"/>
    <x v="0"/>
    <x v="4"/>
    <n v="25000000"/>
    <n v="3"/>
    <d v="1899-12-30T00:02:12"/>
    <x v="0"/>
    <x v="5"/>
    <x v="0"/>
    <x v="3"/>
    <x v="4"/>
  </r>
  <r>
    <x v="0"/>
    <n v="15"/>
    <x v="5"/>
    <x v="2"/>
    <x v="2"/>
    <x v="2"/>
    <n v="12000000"/>
    <n v="1"/>
    <d v="1899-12-30T00:02:12"/>
    <x v="0"/>
    <x v="2"/>
    <x v="5"/>
    <x v="1"/>
    <x v="2"/>
  </r>
  <r>
    <x v="0"/>
    <n v="14"/>
    <x v="6"/>
    <x v="1"/>
    <x v="1"/>
    <x v="2"/>
    <n v="12000000"/>
    <n v="1"/>
    <d v="1899-12-30T00:02:12"/>
    <x v="0"/>
    <x v="5"/>
    <x v="2"/>
    <x v="2"/>
    <x v="11"/>
  </r>
  <r>
    <x v="0"/>
    <n v="11"/>
    <x v="6"/>
    <x v="0"/>
    <x v="2"/>
    <x v="0"/>
    <n v="7000000"/>
    <n v="1"/>
    <d v="1899-12-30T00:02:12"/>
    <x v="0"/>
    <x v="4"/>
    <x v="3"/>
    <x v="1"/>
    <x v="2"/>
  </r>
  <r>
    <x v="0"/>
    <n v="1"/>
    <x v="8"/>
    <x v="1"/>
    <x v="0"/>
    <x v="3"/>
    <n v="20000000"/>
    <n v="2"/>
    <d v="1899-12-30T00:02:12"/>
    <x v="2"/>
    <x v="2"/>
    <x v="1"/>
    <x v="0"/>
    <x v="7"/>
  </r>
  <r>
    <x v="0"/>
    <n v="7"/>
    <x v="8"/>
    <x v="1"/>
    <x v="2"/>
    <x v="1"/>
    <n v="15000000"/>
    <n v="1"/>
    <d v="1899-12-30T00:02:12"/>
    <x v="0"/>
    <x v="5"/>
    <x v="5"/>
    <x v="0"/>
    <x v="5"/>
  </r>
  <r>
    <x v="0"/>
    <n v="1"/>
    <x v="8"/>
    <x v="2"/>
    <x v="1"/>
    <x v="1"/>
    <n v="15000000"/>
    <n v="2"/>
    <d v="1899-12-30T00:02:12"/>
    <x v="0"/>
    <x v="0"/>
    <x v="7"/>
    <x v="1"/>
    <x v="6"/>
  </r>
  <r>
    <x v="0"/>
    <n v="6"/>
    <x v="11"/>
    <x v="4"/>
    <x v="2"/>
    <x v="2"/>
    <n v="38000000"/>
    <n v="1"/>
    <d v="1899-12-30T00:02:12"/>
    <x v="1"/>
    <x v="2"/>
    <x v="0"/>
    <x v="0"/>
    <x v="9"/>
  </r>
  <r>
    <x v="0"/>
    <n v="31"/>
    <x v="1"/>
    <x v="1"/>
    <x v="1"/>
    <x v="0"/>
    <n v="19000000"/>
    <n v="2"/>
    <d v="1899-12-30T00:02:12"/>
    <x v="1"/>
    <x v="0"/>
    <x v="2"/>
    <x v="1"/>
    <x v="6"/>
  </r>
  <r>
    <x v="1"/>
    <n v="14"/>
    <x v="7"/>
    <x v="3"/>
    <x v="2"/>
    <x v="5"/>
    <n v="0"/>
    <n v="4"/>
    <d v="1899-12-30T00:02:12"/>
    <x v="3"/>
    <x v="9"/>
    <x v="3"/>
    <x v="1"/>
    <x v="6"/>
  </r>
  <r>
    <x v="1"/>
    <n v="3"/>
    <x v="8"/>
    <x v="0"/>
    <x v="3"/>
    <x v="5"/>
    <n v="0"/>
    <n v="1"/>
    <d v="1899-12-30T00:02:12"/>
    <x v="3"/>
    <x v="9"/>
    <x v="7"/>
    <x v="1"/>
    <x v="1"/>
  </r>
  <r>
    <x v="1"/>
    <n v="8"/>
    <x v="9"/>
    <x v="0"/>
    <x v="3"/>
    <x v="5"/>
    <n v="0"/>
    <n v="2"/>
    <d v="1899-12-30T00:02:12"/>
    <x v="3"/>
    <x v="9"/>
    <x v="3"/>
    <x v="0"/>
    <x v="10"/>
  </r>
  <r>
    <x v="1"/>
    <n v="30"/>
    <x v="1"/>
    <x v="2"/>
    <x v="2"/>
    <x v="5"/>
    <n v="0"/>
    <n v="1"/>
    <d v="1899-12-30T00:02:12"/>
    <x v="3"/>
    <x v="9"/>
    <x v="5"/>
    <x v="0"/>
    <x v="7"/>
  </r>
  <r>
    <x v="1"/>
    <n v="27"/>
    <x v="2"/>
    <x v="0"/>
    <x v="2"/>
    <x v="5"/>
    <n v="0"/>
    <n v="3"/>
    <d v="1899-12-30T00:02:12"/>
    <x v="3"/>
    <x v="9"/>
    <x v="5"/>
    <x v="3"/>
    <x v="13"/>
  </r>
  <r>
    <x v="1"/>
    <n v="16"/>
    <x v="2"/>
    <x v="1"/>
    <x v="3"/>
    <x v="5"/>
    <n v="0"/>
    <n v="5"/>
    <d v="1899-12-30T00:02:12"/>
    <x v="3"/>
    <x v="9"/>
    <x v="1"/>
    <x v="0"/>
    <x v="10"/>
  </r>
  <r>
    <x v="1"/>
    <n v="9"/>
    <x v="3"/>
    <x v="1"/>
    <x v="1"/>
    <x v="5"/>
    <n v="0"/>
    <n v="5"/>
    <d v="1899-12-30T00:02:12"/>
    <x v="3"/>
    <x v="9"/>
    <x v="2"/>
    <x v="2"/>
    <x v="11"/>
  </r>
  <r>
    <x v="1"/>
    <n v="9"/>
    <x v="3"/>
    <x v="3"/>
    <x v="1"/>
    <x v="5"/>
    <n v="0"/>
    <n v="2"/>
    <d v="1899-12-30T00:02:12"/>
    <x v="3"/>
    <x v="9"/>
    <x v="2"/>
    <x v="0"/>
    <x v="7"/>
  </r>
  <r>
    <x v="1"/>
    <n v="29"/>
    <x v="3"/>
    <x v="0"/>
    <x v="0"/>
    <x v="5"/>
    <n v="0"/>
    <n v="4"/>
    <d v="1899-12-30T00:02:12"/>
    <x v="3"/>
    <x v="9"/>
    <x v="5"/>
    <x v="0"/>
    <x v="5"/>
  </r>
  <r>
    <x v="1"/>
    <n v="29"/>
    <x v="3"/>
    <x v="5"/>
    <x v="2"/>
    <x v="5"/>
    <n v="0"/>
    <n v="2"/>
    <d v="1899-12-30T00:02:12"/>
    <x v="3"/>
    <x v="9"/>
    <x v="5"/>
    <x v="0"/>
    <x v="12"/>
  </r>
  <r>
    <x v="1"/>
    <n v="21"/>
    <x v="4"/>
    <x v="4"/>
    <x v="2"/>
    <x v="5"/>
    <n v="0"/>
    <n v="2"/>
    <d v="1899-12-30T00:02:12"/>
    <x v="3"/>
    <x v="9"/>
    <x v="5"/>
    <x v="2"/>
    <x v="8"/>
  </r>
  <r>
    <x v="1"/>
    <n v="21"/>
    <x v="10"/>
    <x v="0"/>
    <x v="2"/>
    <x v="5"/>
    <n v="0"/>
    <n v="1"/>
    <d v="1899-12-30T00:02:12"/>
    <x v="3"/>
    <x v="9"/>
    <x v="5"/>
    <x v="0"/>
    <x v="7"/>
  </r>
  <r>
    <x v="1"/>
    <n v="14"/>
    <x v="7"/>
    <x v="3"/>
    <x v="2"/>
    <x v="5"/>
    <n v="0"/>
    <n v="4"/>
    <d v="1899-12-30T00:02:12"/>
    <x v="3"/>
    <x v="9"/>
    <x v="3"/>
    <x v="1"/>
    <x v="6"/>
  </r>
  <r>
    <x v="1"/>
    <n v="3"/>
    <x v="8"/>
    <x v="0"/>
    <x v="3"/>
    <x v="5"/>
    <n v="0"/>
    <n v="1"/>
    <d v="1899-12-30T00:02:12"/>
    <x v="3"/>
    <x v="9"/>
    <x v="7"/>
    <x v="1"/>
    <x v="1"/>
  </r>
  <r>
    <x v="1"/>
    <n v="8"/>
    <x v="9"/>
    <x v="0"/>
    <x v="3"/>
    <x v="5"/>
    <n v="0"/>
    <n v="2"/>
    <d v="1899-12-30T00:02:12"/>
    <x v="3"/>
    <x v="9"/>
    <x v="3"/>
    <x v="0"/>
    <x v="10"/>
  </r>
  <r>
    <x v="0"/>
    <n v="11"/>
    <x v="5"/>
    <x v="3"/>
    <x v="4"/>
    <x v="1"/>
    <n v="15000000"/>
    <n v="2"/>
    <d v="1899-12-30T00:02:18"/>
    <x v="0"/>
    <x v="0"/>
    <x v="7"/>
    <x v="2"/>
    <x v="8"/>
  </r>
  <r>
    <x v="0"/>
    <n v="30"/>
    <x v="2"/>
    <x v="4"/>
    <x v="2"/>
    <x v="4"/>
    <n v="25000000"/>
    <n v="2"/>
    <d v="1899-12-30T00:02:18"/>
    <x v="0"/>
    <x v="4"/>
    <x v="2"/>
    <x v="1"/>
    <x v="2"/>
  </r>
  <r>
    <x v="0"/>
    <n v="1"/>
    <x v="3"/>
    <x v="4"/>
    <x v="2"/>
    <x v="3"/>
    <n v="11000000"/>
    <n v="2"/>
    <d v="1899-12-30T00:02:18"/>
    <x v="2"/>
    <x v="3"/>
    <x v="7"/>
    <x v="0"/>
    <x v="10"/>
  </r>
  <r>
    <x v="0"/>
    <n v="28"/>
    <x v="3"/>
    <x v="4"/>
    <x v="2"/>
    <x v="2"/>
    <n v="12000000"/>
    <n v="1"/>
    <d v="1899-12-30T00:02:18"/>
    <x v="0"/>
    <x v="8"/>
    <x v="2"/>
    <x v="0"/>
    <x v="9"/>
  </r>
  <r>
    <x v="0"/>
    <n v="4"/>
    <x v="4"/>
    <x v="0"/>
    <x v="2"/>
    <x v="2"/>
    <n v="12000000"/>
    <n v="5"/>
    <d v="1899-12-30T00:02:18"/>
    <x v="0"/>
    <x v="5"/>
    <x v="7"/>
    <x v="0"/>
    <x v="0"/>
  </r>
  <r>
    <x v="0"/>
    <n v="19"/>
    <x v="4"/>
    <x v="4"/>
    <x v="2"/>
    <x v="4"/>
    <n v="21000000"/>
    <n v="1"/>
    <d v="1899-12-30T00:02:18"/>
    <x v="0"/>
    <x v="4"/>
    <x v="3"/>
    <x v="1"/>
    <x v="6"/>
  </r>
  <r>
    <x v="0"/>
    <n v="8"/>
    <x v="4"/>
    <x v="0"/>
    <x v="0"/>
    <x v="3"/>
    <n v="20000000"/>
    <n v="1"/>
    <d v="1899-12-30T00:02:18"/>
    <x v="0"/>
    <x v="7"/>
    <x v="6"/>
    <x v="3"/>
    <x v="4"/>
  </r>
  <r>
    <x v="0"/>
    <n v="13"/>
    <x v="10"/>
    <x v="2"/>
    <x v="2"/>
    <x v="0"/>
    <n v="19000000"/>
    <n v="3"/>
    <d v="1899-12-30T00:02:18"/>
    <x v="1"/>
    <x v="0"/>
    <x v="1"/>
    <x v="3"/>
    <x v="4"/>
  </r>
  <r>
    <x v="0"/>
    <n v="16"/>
    <x v="10"/>
    <x v="0"/>
    <x v="0"/>
    <x v="1"/>
    <n v="15000000"/>
    <n v="3"/>
    <d v="1899-12-30T00:02:18"/>
    <x v="0"/>
    <x v="8"/>
    <x v="4"/>
    <x v="0"/>
    <x v="0"/>
  </r>
  <r>
    <x v="0"/>
    <n v="11"/>
    <x v="5"/>
    <x v="3"/>
    <x v="4"/>
    <x v="1"/>
    <n v="15000000"/>
    <n v="2"/>
    <d v="1899-12-30T00:02:18"/>
    <x v="0"/>
    <x v="0"/>
    <x v="7"/>
    <x v="2"/>
    <x v="8"/>
  </r>
  <r>
    <x v="1"/>
    <n v="11"/>
    <x v="5"/>
    <x v="5"/>
    <x v="2"/>
    <x v="5"/>
    <n v="0"/>
    <n v="4"/>
    <d v="1899-12-30T00:02:18"/>
    <x v="3"/>
    <x v="9"/>
    <x v="3"/>
    <x v="0"/>
    <x v="10"/>
  </r>
  <r>
    <x v="1"/>
    <n v="12"/>
    <x v="7"/>
    <x v="0"/>
    <x v="4"/>
    <x v="5"/>
    <n v="0"/>
    <n v="4"/>
    <d v="1899-12-30T00:02:18"/>
    <x v="3"/>
    <x v="9"/>
    <x v="0"/>
    <x v="1"/>
    <x v="6"/>
  </r>
  <r>
    <x v="1"/>
    <n v="30"/>
    <x v="8"/>
    <x v="1"/>
    <x v="2"/>
    <x v="5"/>
    <n v="0"/>
    <n v="3"/>
    <d v="1899-12-30T00:02:18"/>
    <x v="3"/>
    <x v="9"/>
    <x v="5"/>
    <x v="2"/>
    <x v="11"/>
  </r>
  <r>
    <x v="1"/>
    <n v="6"/>
    <x v="10"/>
    <x v="1"/>
    <x v="2"/>
    <x v="5"/>
    <n v="0"/>
    <n v="2"/>
    <d v="1899-12-30T00:02:18"/>
    <x v="3"/>
    <x v="9"/>
    <x v="6"/>
    <x v="1"/>
    <x v="14"/>
  </r>
  <r>
    <x v="1"/>
    <n v="11"/>
    <x v="5"/>
    <x v="5"/>
    <x v="2"/>
    <x v="5"/>
    <n v="0"/>
    <n v="4"/>
    <d v="1899-12-30T00:02:18"/>
    <x v="3"/>
    <x v="9"/>
    <x v="3"/>
    <x v="0"/>
    <x v="10"/>
  </r>
  <r>
    <x v="1"/>
    <n v="12"/>
    <x v="7"/>
    <x v="0"/>
    <x v="4"/>
    <x v="5"/>
    <n v="0"/>
    <n v="4"/>
    <d v="1899-12-30T00:02:18"/>
    <x v="3"/>
    <x v="9"/>
    <x v="0"/>
    <x v="1"/>
    <x v="6"/>
  </r>
  <r>
    <x v="1"/>
    <n v="30"/>
    <x v="8"/>
    <x v="1"/>
    <x v="2"/>
    <x v="5"/>
    <n v="0"/>
    <n v="3"/>
    <d v="1899-12-30T00:02:18"/>
    <x v="3"/>
    <x v="9"/>
    <x v="5"/>
    <x v="2"/>
    <x v="11"/>
  </r>
  <r>
    <x v="0"/>
    <n v="15"/>
    <x v="5"/>
    <x v="3"/>
    <x v="2"/>
    <x v="3"/>
    <n v="20000000"/>
    <n v="3"/>
    <d v="1899-12-30T00:02:25"/>
    <x v="2"/>
    <x v="3"/>
    <x v="7"/>
    <x v="0"/>
    <x v="5"/>
  </r>
  <r>
    <x v="0"/>
    <n v="1"/>
    <x v="8"/>
    <x v="3"/>
    <x v="2"/>
    <x v="2"/>
    <n v="38000000"/>
    <n v="2"/>
    <d v="1899-12-30T00:02:25"/>
    <x v="1"/>
    <x v="1"/>
    <x v="2"/>
    <x v="2"/>
    <x v="3"/>
  </r>
  <r>
    <x v="0"/>
    <n v="1"/>
    <x v="8"/>
    <x v="2"/>
    <x v="1"/>
    <x v="2"/>
    <n v="12000000"/>
    <n v="3"/>
    <d v="1899-12-30T00:02:25"/>
    <x v="0"/>
    <x v="2"/>
    <x v="6"/>
    <x v="0"/>
    <x v="7"/>
  </r>
  <r>
    <x v="0"/>
    <n v="20"/>
    <x v="8"/>
    <x v="2"/>
    <x v="3"/>
    <x v="1"/>
    <n v="15000000"/>
    <n v="2"/>
    <d v="1899-12-30T00:02:25"/>
    <x v="0"/>
    <x v="4"/>
    <x v="7"/>
    <x v="0"/>
    <x v="5"/>
  </r>
  <r>
    <x v="0"/>
    <n v="10"/>
    <x v="2"/>
    <x v="2"/>
    <x v="2"/>
    <x v="0"/>
    <n v="19000000"/>
    <n v="3"/>
    <d v="1899-12-30T00:02:25"/>
    <x v="1"/>
    <x v="7"/>
    <x v="1"/>
    <x v="1"/>
    <x v="6"/>
  </r>
  <r>
    <x v="0"/>
    <n v="14"/>
    <x v="2"/>
    <x v="3"/>
    <x v="0"/>
    <x v="1"/>
    <n v="11000000"/>
    <n v="2"/>
    <d v="1899-12-30T00:02:25"/>
    <x v="0"/>
    <x v="2"/>
    <x v="3"/>
    <x v="0"/>
    <x v="12"/>
  </r>
  <r>
    <x v="0"/>
    <n v="1"/>
    <x v="3"/>
    <x v="2"/>
    <x v="1"/>
    <x v="0"/>
    <n v="19000000"/>
    <n v="1"/>
    <d v="1899-12-30T00:02:25"/>
    <x v="1"/>
    <x v="4"/>
    <x v="2"/>
    <x v="1"/>
    <x v="14"/>
  </r>
  <r>
    <x v="0"/>
    <n v="11"/>
    <x v="3"/>
    <x v="0"/>
    <x v="1"/>
    <x v="4"/>
    <n v="21000000"/>
    <n v="1"/>
    <d v="1899-12-30T00:02:25"/>
    <x v="0"/>
    <x v="0"/>
    <x v="2"/>
    <x v="0"/>
    <x v="12"/>
  </r>
  <r>
    <x v="0"/>
    <n v="15"/>
    <x v="3"/>
    <x v="0"/>
    <x v="2"/>
    <x v="2"/>
    <n v="10000000"/>
    <n v="4"/>
    <d v="1899-12-30T00:02:25"/>
    <x v="0"/>
    <x v="5"/>
    <x v="7"/>
    <x v="3"/>
    <x v="13"/>
  </r>
  <r>
    <x v="0"/>
    <n v="29"/>
    <x v="3"/>
    <x v="0"/>
    <x v="2"/>
    <x v="1"/>
    <n v="15000000"/>
    <n v="1"/>
    <d v="1899-12-30T00:02:25"/>
    <x v="0"/>
    <x v="4"/>
    <x v="0"/>
    <x v="0"/>
    <x v="12"/>
  </r>
  <r>
    <x v="0"/>
    <n v="8"/>
    <x v="3"/>
    <x v="2"/>
    <x v="2"/>
    <x v="2"/>
    <n v="12000000"/>
    <n v="5"/>
    <d v="1899-12-30T00:02:25"/>
    <x v="0"/>
    <x v="6"/>
    <x v="1"/>
    <x v="1"/>
    <x v="6"/>
  </r>
  <r>
    <x v="0"/>
    <n v="8"/>
    <x v="3"/>
    <x v="3"/>
    <x v="0"/>
    <x v="4"/>
    <n v="25000000"/>
    <n v="3"/>
    <d v="1899-12-30T00:02:25"/>
    <x v="0"/>
    <x v="4"/>
    <x v="6"/>
    <x v="1"/>
    <x v="6"/>
  </r>
  <r>
    <x v="0"/>
    <n v="10"/>
    <x v="4"/>
    <x v="3"/>
    <x v="1"/>
    <x v="0"/>
    <n v="7000000"/>
    <n v="6"/>
    <d v="1899-12-30T00:02:25"/>
    <x v="0"/>
    <x v="0"/>
    <x v="5"/>
    <x v="2"/>
    <x v="11"/>
  </r>
  <r>
    <x v="0"/>
    <n v="11"/>
    <x v="4"/>
    <x v="1"/>
    <x v="1"/>
    <x v="3"/>
    <n v="20000000"/>
    <n v="2"/>
    <d v="1899-12-30T00:02:25"/>
    <x v="0"/>
    <x v="5"/>
    <x v="3"/>
    <x v="1"/>
    <x v="2"/>
  </r>
  <r>
    <x v="0"/>
    <n v="22"/>
    <x v="4"/>
    <x v="5"/>
    <x v="0"/>
    <x v="2"/>
    <n v="12000000"/>
    <n v="2"/>
    <d v="1899-12-30T00:02:25"/>
    <x v="0"/>
    <x v="7"/>
    <x v="3"/>
    <x v="1"/>
    <x v="1"/>
  </r>
  <r>
    <x v="0"/>
    <n v="18"/>
    <x v="4"/>
    <x v="2"/>
    <x v="4"/>
    <x v="4"/>
    <n v="25000000"/>
    <n v="4"/>
    <d v="1899-12-30T00:02:25"/>
    <x v="0"/>
    <x v="0"/>
    <x v="5"/>
    <x v="2"/>
    <x v="8"/>
  </r>
  <r>
    <x v="0"/>
    <n v="15"/>
    <x v="5"/>
    <x v="3"/>
    <x v="2"/>
    <x v="3"/>
    <n v="20000000"/>
    <n v="3"/>
    <d v="1899-12-30T00:02:25"/>
    <x v="2"/>
    <x v="3"/>
    <x v="7"/>
    <x v="0"/>
    <x v="5"/>
  </r>
  <r>
    <x v="0"/>
    <n v="1"/>
    <x v="8"/>
    <x v="3"/>
    <x v="2"/>
    <x v="2"/>
    <n v="38000000"/>
    <n v="2"/>
    <d v="1899-12-30T00:02:25"/>
    <x v="1"/>
    <x v="1"/>
    <x v="2"/>
    <x v="2"/>
    <x v="3"/>
  </r>
  <r>
    <x v="0"/>
    <n v="1"/>
    <x v="8"/>
    <x v="2"/>
    <x v="1"/>
    <x v="2"/>
    <n v="12000000"/>
    <n v="3"/>
    <d v="1899-12-30T00:02:25"/>
    <x v="0"/>
    <x v="2"/>
    <x v="6"/>
    <x v="0"/>
    <x v="7"/>
  </r>
  <r>
    <x v="0"/>
    <n v="20"/>
    <x v="8"/>
    <x v="2"/>
    <x v="3"/>
    <x v="1"/>
    <n v="15000000"/>
    <n v="2"/>
    <d v="1899-12-30T00:02:25"/>
    <x v="0"/>
    <x v="4"/>
    <x v="7"/>
    <x v="0"/>
    <x v="5"/>
  </r>
  <r>
    <x v="1"/>
    <n v="12"/>
    <x v="8"/>
    <x v="0"/>
    <x v="1"/>
    <x v="5"/>
    <n v="0"/>
    <n v="2"/>
    <d v="1899-12-30T00:02:25"/>
    <x v="3"/>
    <x v="9"/>
    <x v="5"/>
    <x v="3"/>
    <x v="13"/>
  </r>
  <r>
    <x v="1"/>
    <n v="14"/>
    <x v="9"/>
    <x v="0"/>
    <x v="2"/>
    <x v="5"/>
    <n v="0"/>
    <n v="1"/>
    <d v="1899-12-30T00:02:25"/>
    <x v="3"/>
    <x v="9"/>
    <x v="7"/>
    <x v="1"/>
    <x v="2"/>
  </r>
  <r>
    <x v="1"/>
    <n v="15"/>
    <x v="1"/>
    <x v="0"/>
    <x v="1"/>
    <x v="5"/>
    <n v="0"/>
    <n v="2"/>
    <d v="1899-12-30T00:02:25"/>
    <x v="3"/>
    <x v="9"/>
    <x v="4"/>
    <x v="0"/>
    <x v="9"/>
  </r>
  <r>
    <x v="1"/>
    <n v="20"/>
    <x v="2"/>
    <x v="4"/>
    <x v="1"/>
    <x v="5"/>
    <n v="0"/>
    <n v="1"/>
    <d v="1899-12-30T00:02:25"/>
    <x v="3"/>
    <x v="9"/>
    <x v="1"/>
    <x v="2"/>
    <x v="8"/>
  </r>
  <r>
    <x v="1"/>
    <n v="2"/>
    <x v="3"/>
    <x v="0"/>
    <x v="1"/>
    <x v="5"/>
    <n v="0"/>
    <n v="2"/>
    <d v="1899-12-30T00:02:25"/>
    <x v="3"/>
    <x v="9"/>
    <x v="2"/>
    <x v="1"/>
    <x v="15"/>
  </r>
  <r>
    <x v="1"/>
    <n v="21"/>
    <x v="3"/>
    <x v="2"/>
    <x v="2"/>
    <x v="5"/>
    <n v="0"/>
    <n v="3"/>
    <d v="1899-12-30T00:02:25"/>
    <x v="3"/>
    <x v="9"/>
    <x v="2"/>
    <x v="0"/>
    <x v="9"/>
  </r>
  <r>
    <x v="1"/>
    <n v="23"/>
    <x v="3"/>
    <x v="4"/>
    <x v="2"/>
    <x v="5"/>
    <n v="0"/>
    <n v="3"/>
    <d v="1899-12-30T00:02:25"/>
    <x v="3"/>
    <x v="9"/>
    <x v="6"/>
    <x v="3"/>
    <x v="13"/>
  </r>
  <r>
    <x v="1"/>
    <n v="14"/>
    <x v="4"/>
    <x v="0"/>
    <x v="2"/>
    <x v="5"/>
    <n v="0"/>
    <n v="2"/>
    <d v="1899-12-30T00:02:25"/>
    <x v="3"/>
    <x v="9"/>
    <x v="5"/>
    <x v="1"/>
    <x v="6"/>
  </r>
  <r>
    <x v="1"/>
    <n v="16"/>
    <x v="4"/>
    <x v="3"/>
    <x v="2"/>
    <x v="5"/>
    <n v="0"/>
    <n v="3"/>
    <d v="1899-12-30T00:02:25"/>
    <x v="3"/>
    <x v="9"/>
    <x v="5"/>
    <x v="2"/>
    <x v="11"/>
  </r>
  <r>
    <x v="1"/>
    <n v="12"/>
    <x v="8"/>
    <x v="0"/>
    <x v="1"/>
    <x v="5"/>
    <n v="0"/>
    <n v="2"/>
    <d v="1899-12-30T00:02:25"/>
    <x v="3"/>
    <x v="9"/>
    <x v="5"/>
    <x v="3"/>
    <x v="13"/>
  </r>
  <r>
    <x v="1"/>
    <n v="14"/>
    <x v="9"/>
    <x v="0"/>
    <x v="2"/>
    <x v="5"/>
    <n v="0"/>
    <n v="1"/>
    <d v="1899-12-30T00:02:25"/>
    <x v="3"/>
    <x v="9"/>
    <x v="7"/>
    <x v="1"/>
    <x v="2"/>
  </r>
  <r>
    <x v="0"/>
    <n v="11"/>
    <x v="5"/>
    <x v="3"/>
    <x v="2"/>
    <x v="4"/>
    <n v="20000000"/>
    <n v="1"/>
    <d v="1899-12-30T00:02:30"/>
    <x v="0"/>
    <x v="2"/>
    <x v="6"/>
    <x v="2"/>
    <x v="8"/>
  </r>
  <r>
    <x v="0"/>
    <n v="14"/>
    <x v="6"/>
    <x v="4"/>
    <x v="2"/>
    <x v="2"/>
    <n v="10000000"/>
    <n v="7"/>
    <d v="1899-12-30T00:02:30"/>
    <x v="0"/>
    <x v="2"/>
    <x v="5"/>
    <x v="0"/>
    <x v="7"/>
  </r>
  <r>
    <x v="0"/>
    <n v="10"/>
    <x v="11"/>
    <x v="2"/>
    <x v="1"/>
    <x v="0"/>
    <n v="7000000"/>
    <n v="1"/>
    <d v="1899-12-30T00:02:30"/>
    <x v="0"/>
    <x v="5"/>
    <x v="2"/>
    <x v="0"/>
    <x v="7"/>
  </r>
  <r>
    <x v="0"/>
    <n v="12"/>
    <x v="11"/>
    <x v="1"/>
    <x v="1"/>
    <x v="4"/>
    <n v="25000000"/>
    <n v="2"/>
    <d v="1899-12-30T00:02:30"/>
    <x v="0"/>
    <x v="0"/>
    <x v="0"/>
    <x v="2"/>
    <x v="11"/>
  </r>
  <r>
    <x v="0"/>
    <n v="22"/>
    <x v="2"/>
    <x v="2"/>
    <x v="2"/>
    <x v="0"/>
    <n v="19000000"/>
    <n v="2"/>
    <d v="1899-12-30T00:02:30"/>
    <x v="1"/>
    <x v="4"/>
    <x v="7"/>
    <x v="3"/>
    <x v="13"/>
  </r>
  <r>
    <x v="0"/>
    <n v="27"/>
    <x v="2"/>
    <x v="0"/>
    <x v="2"/>
    <x v="4"/>
    <n v="21000000"/>
    <n v="3"/>
    <d v="1899-12-30T00:02:30"/>
    <x v="0"/>
    <x v="4"/>
    <x v="5"/>
    <x v="1"/>
    <x v="6"/>
  </r>
  <r>
    <x v="0"/>
    <n v="21"/>
    <x v="3"/>
    <x v="3"/>
    <x v="0"/>
    <x v="2"/>
    <n v="38000000"/>
    <n v="3"/>
    <d v="1899-12-30T00:02:30"/>
    <x v="1"/>
    <x v="3"/>
    <x v="2"/>
    <x v="2"/>
    <x v="8"/>
  </r>
  <r>
    <x v="0"/>
    <n v="24"/>
    <x v="3"/>
    <x v="0"/>
    <x v="1"/>
    <x v="3"/>
    <n v="20000000"/>
    <n v="2"/>
    <d v="1899-12-30T00:02:30"/>
    <x v="2"/>
    <x v="5"/>
    <x v="2"/>
    <x v="2"/>
    <x v="8"/>
  </r>
  <r>
    <x v="0"/>
    <n v="5"/>
    <x v="3"/>
    <x v="0"/>
    <x v="0"/>
    <x v="3"/>
    <n v="11000000"/>
    <n v="4"/>
    <d v="1899-12-30T00:02:30"/>
    <x v="2"/>
    <x v="0"/>
    <x v="4"/>
    <x v="1"/>
    <x v="1"/>
  </r>
  <r>
    <x v="0"/>
    <n v="1"/>
    <x v="3"/>
    <x v="2"/>
    <x v="1"/>
    <x v="2"/>
    <n v="12000000"/>
    <n v="1"/>
    <d v="1899-12-30T00:02:30"/>
    <x v="0"/>
    <x v="2"/>
    <x v="2"/>
    <x v="1"/>
    <x v="2"/>
  </r>
  <r>
    <x v="0"/>
    <n v="8"/>
    <x v="3"/>
    <x v="3"/>
    <x v="2"/>
    <x v="1"/>
    <n v="15000000"/>
    <n v="1"/>
    <d v="1899-12-30T00:02:30"/>
    <x v="0"/>
    <x v="4"/>
    <x v="3"/>
    <x v="1"/>
    <x v="1"/>
  </r>
  <r>
    <x v="0"/>
    <n v="28"/>
    <x v="3"/>
    <x v="2"/>
    <x v="2"/>
    <x v="1"/>
    <n v="15000000"/>
    <n v="2"/>
    <d v="1899-12-30T00:02:30"/>
    <x v="0"/>
    <x v="6"/>
    <x v="3"/>
    <x v="0"/>
    <x v="7"/>
  </r>
  <r>
    <x v="0"/>
    <n v="7"/>
    <x v="3"/>
    <x v="3"/>
    <x v="4"/>
    <x v="2"/>
    <n v="12000000"/>
    <n v="1"/>
    <d v="1899-12-30T00:02:30"/>
    <x v="0"/>
    <x v="3"/>
    <x v="6"/>
    <x v="1"/>
    <x v="2"/>
  </r>
  <r>
    <x v="0"/>
    <n v="30"/>
    <x v="4"/>
    <x v="2"/>
    <x v="0"/>
    <x v="1"/>
    <n v="15000000"/>
    <n v="1"/>
    <d v="1899-12-30T00:02:30"/>
    <x v="0"/>
    <x v="2"/>
    <x v="5"/>
    <x v="2"/>
    <x v="8"/>
  </r>
  <r>
    <x v="0"/>
    <n v="1"/>
    <x v="4"/>
    <x v="1"/>
    <x v="2"/>
    <x v="3"/>
    <n v="20000000"/>
    <n v="3"/>
    <d v="1899-12-30T00:02:30"/>
    <x v="0"/>
    <x v="7"/>
    <x v="1"/>
    <x v="3"/>
    <x v="4"/>
  </r>
  <r>
    <x v="0"/>
    <n v="5"/>
    <x v="4"/>
    <x v="3"/>
    <x v="0"/>
    <x v="2"/>
    <n v="12000000"/>
    <n v="3"/>
    <d v="1899-12-30T00:02:30"/>
    <x v="0"/>
    <x v="0"/>
    <x v="7"/>
    <x v="0"/>
    <x v="7"/>
  </r>
  <r>
    <x v="0"/>
    <n v="1"/>
    <x v="10"/>
    <x v="2"/>
    <x v="1"/>
    <x v="2"/>
    <n v="12000000"/>
    <n v="4"/>
    <d v="1899-12-30T00:02:30"/>
    <x v="0"/>
    <x v="0"/>
    <x v="0"/>
    <x v="3"/>
    <x v="13"/>
  </r>
  <r>
    <x v="0"/>
    <n v="2"/>
    <x v="10"/>
    <x v="0"/>
    <x v="2"/>
    <x v="2"/>
    <n v="12000000"/>
    <n v="1"/>
    <d v="1899-12-30T00:02:30"/>
    <x v="0"/>
    <x v="8"/>
    <x v="7"/>
    <x v="3"/>
    <x v="13"/>
  </r>
  <r>
    <x v="0"/>
    <n v="11"/>
    <x v="5"/>
    <x v="3"/>
    <x v="2"/>
    <x v="4"/>
    <n v="20000000"/>
    <n v="1"/>
    <d v="1899-12-30T00:02:30"/>
    <x v="0"/>
    <x v="2"/>
    <x v="6"/>
    <x v="2"/>
    <x v="8"/>
  </r>
  <r>
    <x v="0"/>
    <n v="14"/>
    <x v="6"/>
    <x v="4"/>
    <x v="2"/>
    <x v="2"/>
    <n v="10000000"/>
    <n v="7"/>
    <d v="1899-12-30T00:02:30"/>
    <x v="0"/>
    <x v="2"/>
    <x v="5"/>
    <x v="0"/>
    <x v="7"/>
  </r>
  <r>
    <x v="0"/>
    <n v="10"/>
    <x v="11"/>
    <x v="2"/>
    <x v="1"/>
    <x v="0"/>
    <n v="7000000"/>
    <n v="1"/>
    <d v="1899-12-30T00:02:30"/>
    <x v="0"/>
    <x v="5"/>
    <x v="2"/>
    <x v="0"/>
    <x v="7"/>
  </r>
  <r>
    <x v="0"/>
    <n v="12"/>
    <x v="11"/>
    <x v="1"/>
    <x v="1"/>
    <x v="4"/>
    <n v="25000000"/>
    <n v="2"/>
    <d v="1899-12-30T00:02:30"/>
    <x v="0"/>
    <x v="0"/>
    <x v="0"/>
    <x v="2"/>
    <x v="11"/>
  </r>
  <r>
    <x v="1"/>
    <n v="11"/>
    <x v="8"/>
    <x v="0"/>
    <x v="1"/>
    <x v="5"/>
    <n v="0"/>
    <n v="2"/>
    <d v="1899-12-30T00:02:30"/>
    <x v="3"/>
    <x v="9"/>
    <x v="6"/>
    <x v="3"/>
    <x v="13"/>
  </r>
  <r>
    <x v="1"/>
    <n v="27"/>
    <x v="8"/>
    <x v="3"/>
    <x v="2"/>
    <x v="5"/>
    <n v="0"/>
    <n v="3"/>
    <d v="1899-12-30T00:02:30"/>
    <x v="3"/>
    <x v="9"/>
    <x v="2"/>
    <x v="0"/>
    <x v="5"/>
  </r>
  <r>
    <x v="1"/>
    <n v="20"/>
    <x v="2"/>
    <x v="0"/>
    <x v="1"/>
    <x v="5"/>
    <n v="0"/>
    <n v="2"/>
    <d v="1899-12-30T00:02:30"/>
    <x v="3"/>
    <x v="9"/>
    <x v="5"/>
    <x v="1"/>
    <x v="1"/>
  </r>
  <r>
    <x v="1"/>
    <n v="1"/>
    <x v="3"/>
    <x v="2"/>
    <x v="1"/>
    <x v="5"/>
    <n v="0"/>
    <n v="4"/>
    <d v="1899-12-30T00:02:30"/>
    <x v="3"/>
    <x v="9"/>
    <x v="6"/>
    <x v="0"/>
    <x v="7"/>
  </r>
  <r>
    <x v="1"/>
    <n v="1"/>
    <x v="4"/>
    <x v="0"/>
    <x v="2"/>
    <x v="5"/>
    <n v="0"/>
    <n v="4"/>
    <d v="1899-12-30T00:02:30"/>
    <x v="3"/>
    <x v="9"/>
    <x v="3"/>
    <x v="1"/>
    <x v="2"/>
  </r>
  <r>
    <x v="1"/>
    <n v="25"/>
    <x v="4"/>
    <x v="1"/>
    <x v="0"/>
    <x v="5"/>
    <n v="0"/>
    <n v="3"/>
    <d v="1899-12-30T00:02:30"/>
    <x v="3"/>
    <x v="9"/>
    <x v="1"/>
    <x v="0"/>
    <x v="7"/>
  </r>
  <r>
    <x v="1"/>
    <n v="3"/>
    <x v="10"/>
    <x v="3"/>
    <x v="1"/>
    <x v="5"/>
    <n v="0"/>
    <n v="1"/>
    <d v="1899-12-30T00:02:30"/>
    <x v="3"/>
    <x v="9"/>
    <x v="2"/>
    <x v="2"/>
    <x v="11"/>
  </r>
  <r>
    <x v="1"/>
    <n v="10"/>
    <x v="10"/>
    <x v="2"/>
    <x v="1"/>
    <x v="5"/>
    <n v="0"/>
    <n v="1"/>
    <d v="1899-12-30T00:02:30"/>
    <x v="3"/>
    <x v="9"/>
    <x v="3"/>
    <x v="1"/>
    <x v="2"/>
  </r>
  <r>
    <x v="1"/>
    <n v="11"/>
    <x v="8"/>
    <x v="0"/>
    <x v="1"/>
    <x v="5"/>
    <n v="0"/>
    <n v="2"/>
    <d v="1899-12-30T00:02:30"/>
    <x v="3"/>
    <x v="9"/>
    <x v="6"/>
    <x v="3"/>
    <x v="13"/>
  </r>
  <r>
    <x v="1"/>
    <n v="27"/>
    <x v="8"/>
    <x v="3"/>
    <x v="2"/>
    <x v="5"/>
    <n v="0"/>
    <n v="3"/>
    <d v="1899-12-30T00:02:30"/>
    <x v="3"/>
    <x v="9"/>
    <x v="2"/>
    <x v="0"/>
    <x v="5"/>
  </r>
  <r>
    <x v="0"/>
    <n v="11"/>
    <x v="6"/>
    <x v="0"/>
    <x v="2"/>
    <x v="3"/>
    <n v="20000000"/>
    <n v="2"/>
    <d v="1899-12-30T00:02:50"/>
    <x v="0"/>
    <x v="0"/>
    <x v="5"/>
    <x v="0"/>
    <x v="10"/>
  </r>
  <r>
    <x v="0"/>
    <n v="12"/>
    <x v="2"/>
    <x v="2"/>
    <x v="3"/>
    <x v="2"/>
    <n v="38000000"/>
    <n v="1"/>
    <d v="1899-12-30T00:02:50"/>
    <x v="1"/>
    <x v="7"/>
    <x v="2"/>
    <x v="1"/>
    <x v="14"/>
  </r>
  <r>
    <x v="0"/>
    <n v="30"/>
    <x v="2"/>
    <x v="2"/>
    <x v="1"/>
    <x v="4"/>
    <n v="25000000"/>
    <n v="2"/>
    <d v="1899-12-30T00:02:50"/>
    <x v="0"/>
    <x v="2"/>
    <x v="2"/>
    <x v="0"/>
    <x v="12"/>
  </r>
  <r>
    <x v="0"/>
    <n v="27"/>
    <x v="3"/>
    <x v="2"/>
    <x v="2"/>
    <x v="0"/>
    <n v="19000000"/>
    <n v="1"/>
    <d v="1899-12-30T00:02:50"/>
    <x v="1"/>
    <x v="4"/>
    <x v="3"/>
    <x v="0"/>
    <x v="5"/>
  </r>
  <r>
    <x v="0"/>
    <n v="31"/>
    <x v="3"/>
    <x v="1"/>
    <x v="1"/>
    <x v="2"/>
    <n v="12000000"/>
    <n v="2"/>
    <d v="1899-12-30T00:02:50"/>
    <x v="0"/>
    <x v="7"/>
    <x v="3"/>
    <x v="2"/>
    <x v="3"/>
  </r>
  <r>
    <x v="0"/>
    <n v="25"/>
    <x v="3"/>
    <x v="0"/>
    <x v="2"/>
    <x v="1"/>
    <n v="15000000"/>
    <n v="2"/>
    <d v="1899-12-30T00:02:50"/>
    <x v="0"/>
    <x v="2"/>
    <x v="0"/>
    <x v="1"/>
    <x v="6"/>
  </r>
  <r>
    <x v="0"/>
    <n v="27"/>
    <x v="3"/>
    <x v="3"/>
    <x v="0"/>
    <x v="2"/>
    <n v="12000000"/>
    <n v="2"/>
    <d v="1899-12-30T00:02:50"/>
    <x v="0"/>
    <x v="1"/>
    <x v="7"/>
    <x v="1"/>
    <x v="2"/>
  </r>
  <r>
    <x v="0"/>
    <n v="29"/>
    <x v="4"/>
    <x v="3"/>
    <x v="4"/>
    <x v="3"/>
    <n v="11000000"/>
    <n v="3"/>
    <d v="1899-12-30T00:02:50"/>
    <x v="2"/>
    <x v="7"/>
    <x v="7"/>
    <x v="2"/>
    <x v="8"/>
  </r>
  <r>
    <x v="0"/>
    <n v="18"/>
    <x v="4"/>
    <x v="2"/>
    <x v="0"/>
    <x v="4"/>
    <n v="21000000"/>
    <n v="1"/>
    <d v="1899-12-30T00:02:50"/>
    <x v="0"/>
    <x v="0"/>
    <x v="6"/>
    <x v="3"/>
    <x v="4"/>
  </r>
  <r>
    <x v="0"/>
    <n v="16"/>
    <x v="10"/>
    <x v="1"/>
    <x v="2"/>
    <x v="1"/>
    <n v="15000000"/>
    <n v="6"/>
    <d v="1899-12-30T00:02:50"/>
    <x v="0"/>
    <x v="2"/>
    <x v="6"/>
    <x v="1"/>
    <x v="6"/>
  </r>
  <r>
    <x v="0"/>
    <n v="11"/>
    <x v="6"/>
    <x v="0"/>
    <x v="2"/>
    <x v="3"/>
    <n v="20000000"/>
    <n v="2"/>
    <d v="1899-12-30T00:02:50"/>
    <x v="0"/>
    <x v="0"/>
    <x v="5"/>
    <x v="0"/>
    <x v="10"/>
  </r>
  <r>
    <x v="1"/>
    <n v="24"/>
    <x v="2"/>
    <x v="2"/>
    <x v="2"/>
    <x v="5"/>
    <n v="0"/>
    <n v="2"/>
    <d v="1899-12-30T00:02:50"/>
    <x v="3"/>
    <x v="9"/>
    <x v="7"/>
    <x v="3"/>
    <x v="4"/>
  </r>
  <r>
    <x v="1"/>
    <n v="28"/>
    <x v="4"/>
    <x v="0"/>
    <x v="2"/>
    <x v="5"/>
    <n v="0"/>
    <n v="2"/>
    <d v="1899-12-30T00:02:50"/>
    <x v="3"/>
    <x v="9"/>
    <x v="3"/>
    <x v="1"/>
    <x v="2"/>
  </r>
  <r>
    <x v="1"/>
    <n v="11"/>
    <x v="4"/>
    <x v="4"/>
    <x v="1"/>
    <x v="5"/>
    <n v="0"/>
    <n v="3"/>
    <d v="1899-12-30T00:02:50"/>
    <x v="3"/>
    <x v="9"/>
    <x v="4"/>
    <x v="2"/>
    <x v="11"/>
  </r>
  <r>
    <x v="0"/>
    <n v="12"/>
    <x v="5"/>
    <x v="0"/>
    <x v="1"/>
    <x v="2"/>
    <n v="12000000"/>
    <n v="3"/>
    <d v="1899-12-30T00:02:56"/>
    <x v="0"/>
    <x v="4"/>
    <x v="3"/>
    <x v="1"/>
    <x v="14"/>
  </r>
  <r>
    <x v="0"/>
    <n v="17"/>
    <x v="9"/>
    <x v="0"/>
    <x v="2"/>
    <x v="3"/>
    <n v="20000000"/>
    <n v="1"/>
    <d v="1899-12-30T00:02:56"/>
    <x v="2"/>
    <x v="1"/>
    <x v="6"/>
    <x v="0"/>
    <x v="12"/>
  </r>
  <r>
    <x v="0"/>
    <n v="27"/>
    <x v="2"/>
    <x v="4"/>
    <x v="1"/>
    <x v="4"/>
    <n v="25000000"/>
    <n v="1"/>
    <d v="1899-12-30T00:02:56"/>
    <x v="0"/>
    <x v="7"/>
    <x v="6"/>
    <x v="0"/>
    <x v="9"/>
  </r>
  <r>
    <x v="0"/>
    <n v="15"/>
    <x v="2"/>
    <x v="5"/>
    <x v="0"/>
    <x v="2"/>
    <n v="10000000"/>
    <n v="2"/>
    <d v="1899-12-30T00:02:56"/>
    <x v="0"/>
    <x v="2"/>
    <x v="7"/>
    <x v="1"/>
    <x v="1"/>
  </r>
  <r>
    <x v="0"/>
    <n v="30"/>
    <x v="2"/>
    <x v="5"/>
    <x v="0"/>
    <x v="1"/>
    <n v="15000000"/>
    <n v="4"/>
    <d v="1899-12-30T00:02:56"/>
    <x v="0"/>
    <x v="4"/>
    <x v="7"/>
    <x v="3"/>
    <x v="13"/>
  </r>
  <r>
    <x v="0"/>
    <n v="8"/>
    <x v="3"/>
    <x v="1"/>
    <x v="0"/>
    <x v="0"/>
    <n v="19000000"/>
    <n v="2"/>
    <d v="1899-12-30T00:02:56"/>
    <x v="1"/>
    <x v="5"/>
    <x v="5"/>
    <x v="0"/>
    <x v="7"/>
  </r>
  <r>
    <x v="0"/>
    <n v="6"/>
    <x v="3"/>
    <x v="0"/>
    <x v="1"/>
    <x v="0"/>
    <n v="7000000"/>
    <n v="2"/>
    <d v="1899-12-30T00:02:56"/>
    <x v="0"/>
    <x v="0"/>
    <x v="2"/>
    <x v="0"/>
    <x v="10"/>
  </r>
  <r>
    <x v="0"/>
    <n v="29"/>
    <x v="3"/>
    <x v="4"/>
    <x v="1"/>
    <x v="2"/>
    <n v="12000000"/>
    <n v="1"/>
    <d v="1899-12-30T00:02:56"/>
    <x v="0"/>
    <x v="3"/>
    <x v="0"/>
    <x v="2"/>
    <x v="8"/>
  </r>
  <r>
    <x v="0"/>
    <n v="3"/>
    <x v="4"/>
    <x v="0"/>
    <x v="1"/>
    <x v="4"/>
    <n v="25000000"/>
    <n v="2"/>
    <d v="1899-12-30T00:02:56"/>
    <x v="0"/>
    <x v="2"/>
    <x v="0"/>
    <x v="0"/>
    <x v="7"/>
  </r>
  <r>
    <x v="0"/>
    <n v="30"/>
    <x v="10"/>
    <x v="2"/>
    <x v="2"/>
    <x v="2"/>
    <n v="38000000"/>
    <n v="2"/>
    <d v="1899-12-30T00:02:56"/>
    <x v="1"/>
    <x v="8"/>
    <x v="2"/>
    <x v="0"/>
    <x v="10"/>
  </r>
  <r>
    <x v="0"/>
    <n v="21"/>
    <x v="10"/>
    <x v="3"/>
    <x v="1"/>
    <x v="1"/>
    <n v="15000000"/>
    <n v="3"/>
    <d v="1899-12-30T00:02:56"/>
    <x v="0"/>
    <x v="0"/>
    <x v="3"/>
    <x v="2"/>
    <x v="11"/>
  </r>
  <r>
    <x v="0"/>
    <n v="12"/>
    <x v="5"/>
    <x v="0"/>
    <x v="1"/>
    <x v="2"/>
    <n v="12000000"/>
    <n v="3"/>
    <d v="1899-12-30T00:02:56"/>
    <x v="0"/>
    <x v="4"/>
    <x v="3"/>
    <x v="1"/>
    <x v="14"/>
  </r>
  <r>
    <x v="0"/>
    <n v="17"/>
    <x v="9"/>
    <x v="0"/>
    <x v="2"/>
    <x v="3"/>
    <n v="20000000"/>
    <n v="1"/>
    <d v="1899-12-30T00:02:56"/>
    <x v="2"/>
    <x v="1"/>
    <x v="6"/>
    <x v="0"/>
    <x v="12"/>
  </r>
  <r>
    <x v="1"/>
    <n v="11"/>
    <x v="4"/>
    <x v="3"/>
    <x v="1"/>
    <x v="5"/>
    <n v="0"/>
    <n v="2"/>
    <d v="1899-12-30T00:02:56"/>
    <x v="3"/>
    <x v="9"/>
    <x v="1"/>
    <x v="1"/>
    <x v="2"/>
  </r>
  <r>
    <x v="1"/>
    <n v="1"/>
    <x v="10"/>
    <x v="0"/>
    <x v="1"/>
    <x v="5"/>
    <n v="0"/>
    <n v="2"/>
    <d v="1899-12-30T00:02:56"/>
    <x v="3"/>
    <x v="9"/>
    <x v="5"/>
    <x v="3"/>
    <x v="13"/>
  </r>
  <r>
    <x v="0"/>
    <n v="15"/>
    <x v="6"/>
    <x v="0"/>
    <x v="1"/>
    <x v="2"/>
    <n v="12000000"/>
    <n v="2"/>
    <d v="1899-12-30T00:03:00"/>
    <x v="0"/>
    <x v="2"/>
    <x v="7"/>
    <x v="1"/>
    <x v="1"/>
  </r>
  <r>
    <x v="0"/>
    <n v="8"/>
    <x v="8"/>
    <x v="0"/>
    <x v="2"/>
    <x v="1"/>
    <n v="15000000"/>
    <n v="3"/>
    <d v="1899-12-30T00:03:00"/>
    <x v="0"/>
    <x v="2"/>
    <x v="4"/>
    <x v="1"/>
    <x v="1"/>
  </r>
  <r>
    <x v="0"/>
    <n v="16"/>
    <x v="1"/>
    <x v="1"/>
    <x v="1"/>
    <x v="3"/>
    <n v="11000000"/>
    <n v="3"/>
    <d v="1899-12-30T00:03:00"/>
    <x v="2"/>
    <x v="2"/>
    <x v="3"/>
    <x v="0"/>
    <x v="7"/>
  </r>
  <r>
    <x v="0"/>
    <n v="8"/>
    <x v="3"/>
    <x v="0"/>
    <x v="0"/>
    <x v="4"/>
    <n v="25000000"/>
    <n v="2"/>
    <d v="1899-12-30T00:03:00"/>
    <x v="0"/>
    <x v="2"/>
    <x v="3"/>
    <x v="1"/>
    <x v="6"/>
  </r>
  <r>
    <x v="0"/>
    <n v="21"/>
    <x v="3"/>
    <x v="5"/>
    <x v="2"/>
    <x v="2"/>
    <n v="12000000"/>
    <n v="4"/>
    <d v="1899-12-30T00:03:00"/>
    <x v="0"/>
    <x v="7"/>
    <x v="5"/>
    <x v="0"/>
    <x v="5"/>
  </r>
  <r>
    <x v="0"/>
    <n v="20"/>
    <x v="3"/>
    <x v="4"/>
    <x v="0"/>
    <x v="1"/>
    <n v="15000000"/>
    <n v="6"/>
    <d v="1899-12-30T00:03:00"/>
    <x v="0"/>
    <x v="0"/>
    <x v="6"/>
    <x v="0"/>
    <x v="12"/>
  </r>
  <r>
    <x v="0"/>
    <n v="4"/>
    <x v="3"/>
    <x v="0"/>
    <x v="4"/>
    <x v="3"/>
    <n v="20000000"/>
    <n v="3"/>
    <d v="1899-12-30T00:03:00"/>
    <x v="0"/>
    <x v="0"/>
    <x v="7"/>
    <x v="2"/>
    <x v="11"/>
  </r>
  <r>
    <x v="0"/>
    <n v="22"/>
    <x v="4"/>
    <x v="3"/>
    <x v="2"/>
    <x v="1"/>
    <n v="15000000"/>
    <n v="6"/>
    <d v="1899-12-30T00:03:00"/>
    <x v="0"/>
    <x v="1"/>
    <x v="5"/>
    <x v="0"/>
    <x v="12"/>
  </r>
  <r>
    <x v="0"/>
    <n v="31"/>
    <x v="10"/>
    <x v="2"/>
    <x v="4"/>
    <x v="2"/>
    <n v="38000000"/>
    <n v="4"/>
    <d v="1899-12-30T00:03:00"/>
    <x v="1"/>
    <x v="7"/>
    <x v="2"/>
    <x v="1"/>
    <x v="14"/>
  </r>
  <r>
    <x v="0"/>
    <n v="15"/>
    <x v="6"/>
    <x v="0"/>
    <x v="1"/>
    <x v="2"/>
    <n v="12000000"/>
    <n v="2"/>
    <d v="1899-12-30T00:03:00"/>
    <x v="0"/>
    <x v="2"/>
    <x v="7"/>
    <x v="1"/>
    <x v="1"/>
  </r>
  <r>
    <x v="0"/>
    <n v="8"/>
    <x v="8"/>
    <x v="0"/>
    <x v="2"/>
    <x v="1"/>
    <n v="15000000"/>
    <n v="3"/>
    <d v="1899-12-30T00:03:00"/>
    <x v="0"/>
    <x v="2"/>
    <x v="4"/>
    <x v="1"/>
    <x v="1"/>
  </r>
  <r>
    <x v="0"/>
    <n v="16"/>
    <x v="1"/>
    <x v="1"/>
    <x v="1"/>
    <x v="3"/>
    <n v="11000000"/>
    <n v="3"/>
    <d v="1899-12-30T00:03:00"/>
    <x v="2"/>
    <x v="2"/>
    <x v="3"/>
    <x v="0"/>
    <x v="7"/>
  </r>
  <r>
    <x v="1"/>
    <n v="4"/>
    <x v="8"/>
    <x v="0"/>
    <x v="0"/>
    <x v="5"/>
    <n v="0"/>
    <n v="3"/>
    <d v="1899-12-30T00:03:00"/>
    <x v="3"/>
    <x v="9"/>
    <x v="2"/>
    <x v="1"/>
    <x v="1"/>
  </r>
  <r>
    <x v="1"/>
    <n v="28"/>
    <x v="2"/>
    <x v="0"/>
    <x v="0"/>
    <x v="5"/>
    <n v="0"/>
    <n v="3"/>
    <d v="1899-12-30T00:03:00"/>
    <x v="3"/>
    <x v="9"/>
    <x v="7"/>
    <x v="3"/>
    <x v="4"/>
  </r>
  <r>
    <x v="1"/>
    <n v="10"/>
    <x v="3"/>
    <x v="1"/>
    <x v="2"/>
    <x v="5"/>
    <n v="0"/>
    <n v="3"/>
    <d v="1899-12-30T00:03:00"/>
    <x v="3"/>
    <x v="9"/>
    <x v="2"/>
    <x v="0"/>
    <x v="12"/>
  </r>
  <r>
    <x v="1"/>
    <n v="22"/>
    <x v="4"/>
    <x v="4"/>
    <x v="1"/>
    <x v="5"/>
    <n v="0"/>
    <n v="1"/>
    <d v="1899-12-30T00:03:00"/>
    <x v="3"/>
    <x v="9"/>
    <x v="4"/>
    <x v="2"/>
    <x v="8"/>
  </r>
  <r>
    <x v="1"/>
    <n v="4"/>
    <x v="8"/>
    <x v="0"/>
    <x v="0"/>
    <x v="5"/>
    <n v="0"/>
    <n v="3"/>
    <d v="1899-12-30T00:03:00"/>
    <x v="3"/>
    <x v="9"/>
    <x v="2"/>
    <x v="1"/>
    <x v="1"/>
  </r>
  <r>
    <x v="0"/>
    <n v="4"/>
    <x v="8"/>
    <x v="3"/>
    <x v="2"/>
    <x v="0"/>
    <n v="19000000"/>
    <n v="1"/>
    <d v="1899-12-30T00:03:10"/>
    <x v="1"/>
    <x v="7"/>
    <x v="3"/>
    <x v="2"/>
    <x v="3"/>
  </r>
  <r>
    <x v="0"/>
    <n v="17"/>
    <x v="1"/>
    <x v="0"/>
    <x v="2"/>
    <x v="1"/>
    <n v="15000000"/>
    <n v="2"/>
    <d v="1899-12-30T00:03:10"/>
    <x v="0"/>
    <x v="4"/>
    <x v="5"/>
    <x v="1"/>
    <x v="15"/>
  </r>
  <r>
    <x v="0"/>
    <n v="30"/>
    <x v="2"/>
    <x v="0"/>
    <x v="0"/>
    <x v="0"/>
    <n v="7000000"/>
    <n v="2"/>
    <d v="1899-12-30T00:03:10"/>
    <x v="0"/>
    <x v="0"/>
    <x v="4"/>
    <x v="3"/>
    <x v="4"/>
  </r>
  <r>
    <x v="0"/>
    <n v="18"/>
    <x v="2"/>
    <x v="0"/>
    <x v="2"/>
    <x v="2"/>
    <n v="12000000"/>
    <n v="2"/>
    <d v="1899-12-30T00:03:10"/>
    <x v="0"/>
    <x v="4"/>
    <x v="0"/>
    <x v="1"/>
    <x v="6"/>
  </r>
  <r>
    <x v="0"/>
    <n v="27"/>
    <x v="2"/>
    <x v="3"/>
    <x v="2"/>
    <x v="1"/>
    <n v="11000000"/>
    <n v="4"/>
    <d v="1899-12-30T00:03:10"/>
    <x v="0"/>
    <x v="7"/>
    <x v="5"/>
    <x v="0"/>
    <x v="7"/>
  </r>
  <r>
    <x v="0"/>
    <n v="12"/>
    <x v="3"/>
    <x v="2"/>
    <x v="0"/>
    <x v="2"/>
    <n v="38000000"/>
    <n v="4"/>
    <d v="1899-12-30T00:03:10"/>
    <x v="1"/>
    <x v="2"/>
    <x v="6"/>
    <x v="1"/>
    <x v="14"/>
  </r>
  <r>
    <x v="0"/>
    <n v="8"/>
    <x v="3"/>
    <x v="0"/>
    <x v="1"/>
    <x v="2"/>
    <n v="12000000"/>
    <n v="2"/>
    <d v="1899-12-30T00:03:10"/>
    <x v="0"/>
    <x v="7"/>
    <x v="1"/>
    <x v="0"/>
    <x v="12"/>
  </r>
  <r>
    <x v="0"/>
    <n v="11"/>
    <x v="4"/>
    <x v="4"/>
    <x v="2"/>
    <x v="4"/>
    <n v="20000000"/>
    <n v="4"/>
    <d v="1899-12-30T00:03:10"/>
    <x v="0"/>
    <x v="8"/>
    <x v="6"/>
    <x v="2"/>
    <x v="8"/>
  </r>
  <r>
    <x v="0"/>
    <n v="2"/>
    <x v="10"/>
    <x v="0"/>
    <x v="0"/>
    <x v="3"/>
    <n v="15000000"/>
    <n v="1"/>
    <d v="1899-12-30T00:03:10"/>
    <x v="0"/>
    <x v="0"/>
    <x v="1"/>
    <x v="1"/>
    <x v="2"/>
  </r>
  <r>
    <x v="0"/>
    <n v="4"/>
    <x v="8"/>
    <x v="3"/>
    <x v="2"/>
    <x v="0"/>
    <n v="19000000"/>
    <n v="1"/>
    <d v="1899-12-30T00:03:10"/>
    <x v="1"/>
    <x v="7"/>
    <x v="3"/>
    <x v="2"/>
    <x v="3"/>
  </r>
  <r>
    <x v="0"/>
    <n v="17"/>
    <x v="1"/>
    <x v="0"/>
    <x v="2"/>
    <x v="1"/>
    <n v="15000000"/>
    <n v="2"/>
    <d v="1899-12-30T00:03:10"/>
    <x v="0"/>
    <x v="4"/>
    <x v="5"/>
    <x v="1"/>
    <x v="15"/>
  </r>
  <r>
    <x v="1"/>
    <n v="13"/>
    <x v="0"/>
    <x v="1"/>
    <x v="2"/>
    <x v="5"/>
    <n v="0"/>
    <n v="4"/>
    <d v="1899-12-30T00:03:10"/>
    <x v="3"/>
    <x v="9"/>
    <x v="6"/>
    <x v="0"/>
    <x v="12"/>
  </r>
  <r>
    <x v="1"/>
    <n v="27"/>
    <x v="3"/>
    <x v="1"/>
    <x v="2"/>
    <x v="5"/>
    <n v="0"/>
    <n v="2"/>
    <d v="1899-12-30T00:03:10"/>
    <x v="3"/>
    <x v="9"/>
    <x v="5"/>
    <x v="0"/>
    <x v="9"/>
  </r>
  <r>
    <x v="1"/>
    <n v="20"/>
    <x v="3"/>
    <x v="4"/>
    <x v="2"/>
    <x v="5"/>
    <n v="0"/>
    <n v="1"/>
    <d v="1899-12-30T00:03:10"/>
    <x v="3"/>
    <x v="9"/>
    <x v="3"/>
    <x v="3"/>
    <x v="13"/>
  </r>
  <r>
    <x v="1"/>
    <n v="18"/>
    <x v="4"/>
    <x v="2"/>
    <x v="2"/>
    <x v="5"/>
    <n v="0"/>
    <n v="5"/>
    <d v="1899-12-30T00:03:10"/>
    <x v="3"/>
    <x v="9"/>
    <x v="7"/>
    <x v="0"/>
    <x v="9"/>
  </r>
  <r>
    <x v="1"/>
    <n v="13"/>
    <x v="0"/>
    <x v="1"/>
    <x v="2"/>
    <x v="5"/>
    <n v="0"/>
    <n v="4"/>
    <d v="1899-12-30T00:03:10"/>
    <x v="3"/>
    <x v="9"/>
    <x v="6"/>
    <x v="0"/>
    <x v="12"/>
  </r>
  <r>
    <x v="0"/>
    <n v="17"/>
    <x v="5"/>
    <x v="4"/>
    <x v="4"/>
    <x v="1"/>
    <n v="15000000"/>
    <n v="1"/>
    <d v="1899-12-30T00:03:12"/>
    <x v="0"/>
    <x v="1"/>
    <x v="2"/>
    <x v="3"/>
    <x v="13"/>
  </r>
  <r>
    <x v="0"/>
    <n v="11"/>
    <x v="6"/>
    <x v="0"/>
    <x v="2"/>
    <x v="1"/>
    <n v="15000000"/>
    <n v="5"/>
    <d v="1899-12-30T00:03:12"/>
    <x v="0"/>
    <x v="0"/>
    <x v="7"/>
    <x v="3"/>
    <x v="4"/>
  </r>
  <r>
    <x v="0"/>
    <n v="1"/>
    <x v="8"/>
    <x v="4"/>
    <x v="2"/>
    <x v="3"/>
    <n v="20000000"/>
    <n v="3"/>
    <d v="1899-12-30T00:03:12"/>
    <x v="0"/>
    <x v="7"/>
    <x v="3"/>
    <x v="1"/>
    <x v="6"/>
  </r>
  <r>
    <x v="0"/>
    <n v="10"/>
    <x v="11"/>
    <x v="2"/>
    <x v="2"/>
    <x v="0"/>
    <n v="7000000"/>
    <n v="4"/>
    <d v="1899-12-30T00:03:12"/>
    <x v="0"/>
    <x v="0"/>
    <x v="7"/>
    <x v="0"/>
    <x v="7"/>
  </r>
  <r>
    <x v="0"/>
    <n v="30"/>
    <x v="2"/>
    <x v="0"/>
    <x v="2"/>
    <x v="0"/>
    <n v="19000000"/>
    <n v="1"/>
    <d v="1899-12-30T00:03:12"/>
    <x v="1"/>
    <x v="2"/>
    <x v="0"/>
    <x v="1"/>
    <x v="2"/>
  </r>
  <r>
    <x v="0"/>
    <n v="28"/>
    <x v="2"/>
    <x v="4"/>
    <x v="3"/>
    <x v="3"/>
    <n v="11000000"/>
    <n v="2"/>
    <d v="1899-12-30T00:03:12"/>
    <x v="2"/>
    <x v="7"/>
    <x v="0"/>
    <x v="1"/>
    <x v="1"/>
  </r>
  <r>
    <x v="0"/>
    <n v="22"/>
    <x v="2"/>
    <x v="0"/>
    <x v="2"/>
    <x v="4"/>
    <n v="25000000"/>
    <n v="3"/>
    <d v="1899-12-30T00:03:12"/>
    <x v="0"/>
    <x v="0"/>
    <x v="5"/>
    <x v="2"/>
    <x v="11"/>
  </r>
  <r>
    <x v="0"/>
    <n v="11"/>
    <x v="2"/>
    <x v="0"/>
    <x v="0"/>
    <x v="2"/>
    <n v="12000000"/>
    <n v="3"/>
    <d v="1899-12-30T00:03:12"/>
    <x v="0"/>
    <x v="0"/>
    <x v="7"/>
    <x v="1"/>
    <x v="14"/>
  </r>
  <r>
    <x v="0"/>
    <n v="30"/>
    <x v="2"/>
    <x v="3"/>
    <x v="1"/>
    <x v="1"/>
    <n v="15000000"/>
    <n v="5"/>
    <d v="1899-12-30T00:03:12"/>
    <x v="0"/>
    <x v="2"/>
    <x v="7"/>
    <x v="1"/>
    <x v="6"/>
  </r>
  <r>
    <x v="0"/>
    <n v="2"/>
    <x v="3"/>
    <x v="4"/>
    <x v="2"/>
    <x v="4"/>
    <n v="21000000"/>
    <n v="1"/>
    <d v="1899-12-30T00:03:12"/>
    <x v="0"/>
    <x v="5"/>
    <x v="2"/>
    <x v="2"/>
    <x v="8"/>
  </r>
  <r>
    <x v="0"/>
    <n v="25"/>
    <x v="3"/>
    <x v="2"/>
    <x v="0"/>
    <x v="4"/>
    <n v="25000000"/>
    <n v="2"/>
    <d v="1899-12-30T00:03:12"/>
    <x v="0"/>
    <x v="4"/>
    <x v="2"/>
    <x v="0"/>
    <x v="10"/>
  </r>
  <r>
    <x v="0"/>
    <n v="28"/>
    <x v="3"/>
    <x v="5"/>
    <x v="1"/>
    <x v="0"/>
    <n v="7000000"/>
    <n v="2"/>
    <d v="1899-12-30T00:03:12"/>
    <x v="0"/>
    <x v="1"/>
    <x v="7"/>
    <x v="1"/>
    <x v="1"/>
  </r>
  <r>
    <x v="0"/>
    <n v="22"/>
    <x v="3"/>
    <x v="2"/>
    <x v="1"/>
    <x v="1"/>
    <n v="15000000"/>
    <n v="2"/>
    <d v="1899-12-30T00:03:12"/>
    <x v="0"/>
    <x v="2"/>
    <x v="6"/>
    <x v="2"/>
    <x v="8"/>
  </r>
  <r>
    <x v="0"/>
    <n v="25"/>
    <x v="3"/>
    <x v="4"/>
    <x v="2"/>
    <x v="2"/>
    <n v="12000000"/>
    <n v="1"/>
    <d v="1899-12-30T00:03:12"/>
    <x v="0"/>
    <x v="2"/>
    <x v="6"/>
    <x v="2"/>
    <x v="11"/>
  </r>
  <r>
    <x v="0"/>
    <n v="29"/>
    <x v="3"/>
    <x v="4"/>
    <x v="2"/>
    <x v="2"/>
    <n v="12000000"/>
    <n v="1"/>
    <d v="1899-12-30T00:03:12"/>
    <x v="0"/>
    <x v="1"/>
    <x v="7"/>
    <x v="1"/>
    <x v="1"/>
  </r>
  <r>
    <x v="0"/>
    <n v="20"/>
    <x v="4"/>
    <x v="3"/>
    <x v="2"/>
    <x v="2"/>
    <n v="38000000"/>
    <n v="4"/>
    <d v="1899-12-30T00:03:12"/>
    <x v="4"/>
    <x v="0"/>
    <x v="5"/>
    <x v="3"/>
    <x v="13"/>
  </r>
  <r>
    <x v="0"/>
    <n v="9"/>
    <x v="4"/>
    <x v="2"/>
    <x v="2"/>
    <x v="4"/>
    <n v="25000000"/>
    <n v="2"/>
    <d v="1899-12-30T00:03:12"/>
    <x v="0"/>
    <x v="3"/>
    <x v="3"/>
    <x v="3"/>
    <x v="4"/>
  </r>
  <r>
    <x v="0"/>
    <n v="17"/>
    <x v="10"/>
    <x v="0"/>
    <x v="1"/>
    <x v="3"/>
    <n v="11000000"/>
    <n v="1"/>
    <d v="1899-12-30T00:03:12"/>
    <x v="2"/>
    <x v="8"/>
    <x v="0"/>
    <x v="1"/>
    <x v="1"/>
  </r>
  <r>
    <x v="0"/>
    <n v="10"/>
    <x v="10"/>
    <x v="4"/>
    <x v="2"/>
    <x v="2"/>
    <n v="12000000"/>
    <n v="4"/>
    <d v="1899-12-30T00:03:12"/>
    <x v="0"/>
    <x v="4"/>
    <x v="0"/>
    <x v="1"/>
    <x v="6"/>
  </r>
  <r>
    <x v="0"/>
    <n v="24"/>
    <x v="10"/>
    <x v="4"/>
    <x v="2"/>
    <x v="2"/>
    <n v="12000000"/>
    <n v="2"/>
    <d v="1899-12-30T00:03:12"/>
    <x v="0"/>
    <x v="2"/>
    <x v="5"/>
    <x v="2"/>
    <x v="8"/>
  </r>
  <r>
    <x v="0"/>
    <n v="20"/>
    <x v="10"/>
    <x v="3"/>
    <x v="1"/>
    <x v="3"/>
    <n v="20000000"/>
    <n v="4"/>
    <d v="1899-12-30T00:03:12"/>
    <x v="0"/>
    <x v="4"/>
    <x v="6"/>
    <x v="2"/>
    <x v="11"/>
  </r>
  <r>
    <x v="0"/>
    <n v="17"/>
    <x v="5"/>
    <x v="4"/>
    <x v="4"/>
    <x v="1"/>
    <n v="15000000"/>
    <n v="1"/>
    <d v="1899-12-30T00:03:12"/>
    <x v="0"/>
    <x v="1"/>
    <x v="2"/>
    <x v="3"/>
    <x v="13"/>
  </r>
  <r>
    <x v="0"/>
    <n v="11"/>
    <x v="6"/>
    <x v="0"/>
    <x v="2"/>
    <x v="1"/>
    <n v="15000000"/>
    <n v="5"/>
    <d v="1899-12-30T00:03:12"/>
    <x v="0"/>
    <x v="0"/>
    <x v="7"/>
    <x v="3"/>
    <x v="4"/>
  </r>
  <r>
    <x v="0"/>
    <n v="1"/>
    <x v="8"/>
    <x v="4"/>
    <x v="2"/>
    <x v="3"/>
    <n v="20000000"/>
    <n v="3"/>
    <d v="1899-12-30T00:03:12"/>
    <x v="0"/>
    <x v="7"/>
    <x v="3"/>
    <x v="1"/>
    <x v="6"/>
  </r>
  <r>
    <x v="0"/>
    <n v="10"/>
    <x v="11"/>
    <x v="2"/>
    <x v="2"/>
    <x v="0"/>
    <n v="7000000"/>
    <n v="4"/>
    <d v="1899-12-30T00:03:12"/>
    <x v="0"/>
    <x v="0"/>
    <x v="7"/>
    <x v="0"/>
    <x v="7"/>
  </r>
  <r>
    <x v="1"/>
    <n v="21"/>
    <x v="6"/>
    <x v="5"/>
    <x v="2"/>
    <x v="5"/>
    <n v="0"/>
    <n v="2"/>
    <d v="1899-12-30T00:03:12"/>
    <x v="3"/>
    <x v="9"/>
    <x v="5"/>
    <x v="0"/>
    <x v="7"/>
  </r>
  <r>
    <x v="1"/>
    <n v="16"/>
    <x v="7"/>
    <x v="1"/>
    <x v="0"/>
    <x v="5"/>
    <n v="0"/>
    <n v="5"/>
    <d v="1899-12-30T00:03:12"/>
    <x v="3"/>
    <x v="9"/>
    <x v="4"/>
    <x v="0"/>
    <x v="7"/>
  </r>
  <r>
    <x v="1"/>
    <n v="25"/>
    <x v="2"/>
    <x v="1"/>
    <x v="2"/>
    <x v="5"/>
    <n v="0"/>
    <n v="1"/>
    <d v="1899-12-30T00:03:12"/>
    <x v="3"/>
    <x v="9"/>
    <x v="2"/>
    <x v="0"/>
    <x v="10"/>
  </r>
  <r>
    <x v="1"/>
    <n v="7"/>
    <x v="10"/>
    <x v="0"/>
    <x v="0"/>
    <x v="5"/>
    <n v="0"/>
    <n v="1"/>
    <d v="1899-12-30T00:03:12"/>
    <x v="3"/>
    <x v="9"/>
    <x v="3"/>
    <x v="0"/>
    <x v="5"/>
  </r>
  <r>
    <x v="1"/>
    <n v="23"/>
    <x v="10"/>
    <x v="2"/>
    <x v="2"/>
    <x v="5"/>
    <n v="0"/>
    <n v="5"/>
    <d v="1899-12-30T00:03:12"/>
    <x v="3"/>
    <x v="9"/>
    <x v="1"/>
    <x v="1"/>
    <x v="2"/>
  </r>
  <r>
    <x v="1"/>
    <n v="21"/>
    <x v="6"/>
    <x v="5"/>
    <x v="2"/>
    <x v="5"/>
    <n v="0"/>
    <n v="2"/>
    <d v="1899-12-30T00:03:12"/>
    <x v="3"/>
    <x v="9"/>
    <x v="5"/>
    <x v="0"/>
    <x v="7"/>
  </r>
  <r>
    <x v="1"/>
    <n v="16"/>
    <x v="7"/>
    <x v="1"/>
    <x v="0"/>
    <x v="5"/>
    <n v="0"/>
    <n v="5"/>
    <d v="1899-12-30T00:03:12"/>
    <x v="3"/>
    <x v="9"/>
    <x v="4"/>
    <x v="0"/>
    <x v="7"/>
  </r>
  <r>
    <x v="0"/>
    <n v="30"/>
    <x v="1"/>
    <x v="1"/>
    <x v="1"/>
    <x v="4"/>
    <n v="25000000"/>
    <n v="1"/>
    <d v="1899-12-30T00:03:14"/>
    <x v="0"/>
    <x v="8"/>
    <x v="1"/>
    <x v="1"/>
    <x v="1"/>
  </r>
  <r>
    <x v="0"/>
    <n v="25"/>
    <x v="2"/>
    <x v="0"/>
    <x v="1"/>
    <x v="3"/>
    <n v="20000000"/>
    <n v="2"/>
    <d v="1899-12-30T00:03:14"/>
    <x v="2"/>
    <x v="0"/>
    <x v="7"/>
    <x v="0"/>
    <x v="10"/>
  </r>
  <r>
    <x v="0"/>
    <n v="9"/>
    <x v="2"/>
    <x v="1"/>
    <x v="1"/>
    <x v="0"/>
    <n v="7000000"/>
    <n v="2"/>
    <d v="1899-12-30T00:03:14"/>
    <x v="0"/>
    <x v="2"/>
    <x v="5"/>
    <x v="1"/>
    <x v="1"/>
  </r>
  <r>
    <x v="0"/>
    <n v="29"/>
    <x v="3"/>
    <x v="4"/>
    <x v="2"/>
    <x v="2"/>
    <n v="12000000"/>
    <n v="1"/>
    <d v="1899-12-30T00:03:14"/>
    <x v="0"/>
    <x v="7"/>
    <x v="2"/>
    <x v="2"/>
    <x v="3"/>
  </r>
  <r>
    <x v="0"/>
    <n v="13"/>
    <x v="3"/>
    <x v="1"/>
    <x v="1"/>
    <x v="2"/>
    <n v="12000000"/>
    <n v="2"/>
    <d v="1899-12-30T00:03:14"/>
    <x v="0"/>
    <x v="0"/>
    <x v="3"/>
    <x v="3"/>
    <x v="4"/>
  </r>
  <r>
    <x v="0"/>
    <n v="29"/>
    <x v="3"/>
    <x v="2"/>
    <x v="4"/>
    <x v="2"/>
    <n v="12000000"/>
    <n v="1"/>
    <d v="1899-12-30T00:03:14"/>
    <x v="0"/>
    <x v="5"/>
    <x v="6"/>
    <x v="2"/>
    <x v="8"/>
  </r>
  <r>
    <x v="0"/>
    <n v="1"/>
    <x v="4"/>
    <x v="1"/>
    <x v="1"/>
    <x v="2"/>
    <n v="38000000"/>
    <n v="4"/>
    <d v="1899-12-30T00:03:14"/>
    <x v="1"/>
    <x v="0"/>
    <x v="2"/>
    <x v="0"/>
    <x v="5"/>
  </r>
  <r>
    <x v="0"/>
    <n v="22"/>
    <x v="4"/>
    <x v="0"/>
    <x v="3"/>
    <x v="3"/>
    <n v="20000000"/>
    <n v="5"/>
    <d v="1899-12-30T00:03:14"/>
    <x v="0"/>
    <x v="4"/>
    <x v="5"/>
    <x v="0"/>
    <x v="7"/>
  </r>
  <r>
    <x v="0"/>
    <n v="1"/>
    <x v="10"/>
    <x v="0"/>
    <x v="1"/>
    <x v="4"/>
    <n v="21000000"/>
    <n v="2"/>
    <d v="1899-12-30T00:03:14"/>
    <x v="0"/>
    <x v="5"/>
    <x v="4"/>
    <x v="0"/>
    <x v="12"/>
  </r>
  <r>
    <x v="0"/>
    <n v="15"/>
    <x v="10"/>
    <x v="1"/>
    <x v="2"/>
    <x v="1"/>
    <n v="15000000"/>
    <n v="2"/>
    <d v="1899-12-30T00:03:14"/>
    <x v="0"/>
    <x v="2"/>
    <x v="0"/>
    <x v="0"/>
    <x v="9"/>
  </r>
  <r>
    <x v="1"/>
    <n v="20"/>
    <x v="7"/>
    <x v="0"/>
    <x v="1"/>
    <x v="5"/>
    <n v="0"/>
    <n v="2"/>
    <d v="1899-12-30T00:03:14"/>
    <x v="3"/>
    <x v="9"/>
    <x v="7"/>
    <x v="3"/>
    <x v="4"/>
  </r>
  <r>
    <x v="1"/>
    <n v="10"/>
    <x v="10"/>
    <x v="1"/>
    <x v="2"/>
    <x v="5"/>
    <n v="0"/>
    <n v="4"/>
    <d v="1899-12-30T00:03:14"/>
    <x v="3"/>
    <x v="9"/>
    <x v="5"/>
    <x v="0"/>
    <x v="12"/>
  </r>
  <r>
    <x v="1"/>
    <n v="20"/>
    <x v="10"/>
    <x v="0"/>
    <x v="1"/>
    <x v="5"/>
    <n v="0"/>
    <n v="1"/>
    <d v="1899-12-30T00:03:14"/>
    <x v="3"/>
    <x v="9"/>
    <x v="3"/>
    <x v="1"/>
    <x v="14"/>
  </r>
  <r>
    <x v="1"/>
    <n v="20"/>
    <x v="7"/>
    <x v="0"/>
    <x v="1"/>
    <x v="5"/>
    <n v="0"/>
    <n v="2"/>
    <d v="1899-12-30T00:03:14"/>
    <x v="3"/>
    <x v="9"/>
    <x v="7"/>
    <x v="3"/>
    <x v="4"/>
  </r>
  <r>
    <x v="0"/>
    <n v="12"/>
    <x v="5"/>
    <x v="0"/>
    <x v="1"/>
    <x v="4"/>
    <n v="25000000"/>
    <n v="1"/>
    <d v="1899-12-30T00:03:16"/>
    <x v="0"/>
    <x v="1"/>
    <x v="2"/>
    <x v="1"/>
    <x v="6"/>
  </r>
  <r>
    <x v="0"/>
    <n v="1"/>
    <x v="9"/>
    <x v="0"/>
    <x v="1"/>
    <x v="3"/>
    <n v="20000000"/>
    <n v="4"/>
    <d v="1899-12-30T00:03:16"/>
    <x v="2"/>
    <x v="4"/>
    <x v="3"/>
    <x v="3"/>
    <x v="13"/>
  </r>
  <r>
    <x v="0"/>
    <n v="28"/>
    <x v="9"/>
    <x v="4"/>
    <x v="0"/>
    <x v="3"/>
    <n v="15000000"/>
    <n v="2"/>
    <d v="1899-12-30T00:03:16"/>
    <x v="0"/>
    <x v="2"/>
    <x v="6"/>
    <x v="3"/>
    <x v="13"/>
  </r>
  <r>
    <x v="0"/>
    <n v="3"/>
    <x v="2"/>
    <x v="0"/>
    <x v="0"/>
    <x v="1"/>
    <n v="12000000"/>
    <n v="1"/>
    <d v="1899-12-30T00:03:16"/>
    <x v="0"/>
    <x v="2"/>
    <x v="2"/>
    <x v="1"/>
    <x v="1"/>
  </r>
  <r>
    <x v="0"/>
    <n v="28"/>
    <x v="3"/>
    <x v="3"/>
    <x v="3"/>
    <x v="2"/>
    <n v="38000000"/>
    <n v="2"/>
    <d v="1899-12-30T00:03:16"/>
    <x v="1"/>
    <x v="2"/>
    <x v="1"/>
    <x v="0"/>
    <x v="9"/>
  </r>
  <r>
    <x v="0"/>
    <n v="28"/>
    <x v="3"/>
    <x v="0"/>
    <x v="0"/>
    <x v="0"/>
    <n v="19000000"/>
    <n v="1"/>
    <d v="1899-12-30T00:03:16"/>
    <x v="1"/>
    <x v="0"/>
    <x v="6"/>
    <x v="0"/>
    <x v="7"/>
  </r>
  <r>
    <x v="0"/>
    <n v="23"/>
    <x v="3"/>
    <x v="4"/>
    <x v="2"/>
    <x v="2"/>
    <n v="10000000"/>
    <n v="2"/>
    <d v="1899-12-30T00:03:16"/>
    <x v="0"/>
    <x v="0"/>
    <x v="1"/>
    <x v="0"/>
    <x v="7"/>
  </r>
  <r>
    <x v="0"/>
    <n v="26"/>
    <x v="3"/>
    <x v="2"/>
    <x v="1"/>
    <x v="0"/>
    <n v="7000000"/>
    <n v="2"/>
    <d v="1899-12-30T00:03:16"/>
    <x v="0"/>
    <x v="2"/>
    <x v="3"/>
    <x v="1"/>
    <x v="2"/>
  </r>
  <r>
    <x v="0"/>
    <n v="1"/>
    <x v="3"/>
    <x v="3"/>
    <x v="4"/>
    <x v="1"/>
    <n v="11000000"/>
    <n v="3"/>
    <d v="1899-12-30T00:03:16"/>
    <x v="0"/>
    <x v="0"/>
    <x v="4"/>
    <x v="2"/>
    <x v="11"/>
  </r>
  <r>
    <x v="0"/>
    <n v="12"/>
    <x v="4"/>
    <x v="4"/>
    <x v="0"/>
    <x v="4"/>
    <n v="25000000"/>
    <n v="4"/>
    <d v="1899-12-30T00:03:16"/>
    <x v="0"/>
    <x v="1"/>
    <x v="5"/>
    <x v="1"/>
    <x v="2"/>
  </r>
  <r>
    <x v="0"/>
    <n v="12"/>
    <x v="5"/>
    <x v="0"/>
    <x v="1"/>
    <x v="4"/>
    <n v="25000000"/>
    <n v="1"/>
    <d v="1899-12-30T00:03:16"/>
    <x v="0"/>
    <x v="1"/>
    <x v="2"/>
    <x v="1"/>
    <x v="6"/>
  </r>
  <r>
    <x v="0"/>
    <n v="1"/>
    <x v="9"/>
    <x v="0"/>
    <x v="1"/>
    <x v="3"/>
    <n v="20000000"/>
    <n v="4"/>
    <d v="1899-12-30T00:03:16"/>
    <x v="2"/>
    <x v="4"/>
    <x v="3"/>
    <x v="3"/>
    <x v="13"/>
  </r>
  <r>
    <x v="0"/>
    <n v="28"/>
    <x v="9"/>
    <x v="4"/>
    <x v="0"/>
    <x v="3"/>
    <n v="15000000"/>
    <n v="2"/>
    <d v="1899-12-30T00:03:16"/>
    <x v="0"/>
    <x v="2"/>
    <x v="6"/>
    <x v="3"/>
    <x v="13"/>
  </r>
  <r>
    <x v="1"/>
    <n v="9"/>
    <x v="9"/>
    <x v="0"/>
    <x v="0"/>
    <x v="5"/>
    <n v="0"/>
    <n v="3"/>
    <d v="1899-12-30T00:03:16"/>
    <x v="3"/>
    <x v="9"/>
    <x v="5"/>
    <x v="0"/>
    <x v="12"/>
  </r>
  <r>
    <x v="1"/>
    <n v="17"/>
    <x v="2"/>
    <x v="1"/>
    <x v="0"/>
    <x v="5"/>
    <n v="0"/>
    <n v="2"/>
    <d v="1899-12-30T00:03:16"/>
    <x v="3"/>
    <x v="9"/>
    <x v="7"/>
    <x v="2"/>
    <x v="8"/>
  </r>
  <r>
    <x v="1"/>
    <n v="11"/>
    <x v="4"/>
    <x v="5"/>
    <x v="2"/>
    <x v="5"/>
    <n v="0"/>
    <n v="3"/>
    <d v="1899-12-30T00:03:16"/>
    <x v="3"/>
    <x v="9"/>
    <x v="4"/>
    <x v="1"/>
    <x v="1"/>
  </r>
  <r>
    <x v="1"/>
    <n v="9"/>
    <x v="9"/>
    <x v="0"/>
    <x v="0"/>
    <x v="5"/>
    <n v="0"/>
    <n v="3"/>
    <d v="1899-12-30T00:03:16"/>
    <x v="3"/>
    <x v="9"/>
    <x v="5"/>
    <x v="0"/>
    <x v="12"/>
  </r>
  <r>
    <x v="0"/>
    <n v="3"/>
    <x v="1"/>
    <x v="2"/>
    <x v="2"/>
    <x v="0"/>
    <n v="19000000"/>
    <n v="2"/>
    <d v="1899-12-30T00:03:17"/>
    <x v="1"/>
    <x v="3"/>
    <x v="5"/>
    <x v="3"/>
    <x v="4"/>
  </r>
  <r>
    <x v="0"/>
    <n v="30"/>
    <x v="1"/>
    <x v="2"/>
    <x v="1"/>
    <x v="2"/>
    <n v="12000000"/>
    <n v="2"/>
    <d v="1899-12-30T00:03:17"/>
    <x v="0"/>
    <x v="2"/>
    <x v="2"/>
    <x v="1"/>
    <x v="2"/>
  </r>
  <r>
    <x v="0"/>
    <n v="21"/>
    <x v="2"/>
    <x v="0"/>
    <x v="3"/>
    <x v="1"/>
    <n v="15000000"/>
    <n v="1"/>
    <d v="1899-12-30T00:03:17"/>
    <x v="0"/>
    <x v="2"/>
    <x v="3"/>
    <x v="2"/>
    <x v="11"/>
  </r>
  <r>
    <x v="0"/>
    <n v="31"/>
    <x v="3"/>
    <x v="3"/>
    <x v="1"/>
    <x v="1"/>
    <n v="15000000"/>
    <n v="2"/>
    <d v="1899-12-30T00:03:17"/>
    <x v="0"/>
    <x v="0"/>
    <x v="0"/>
    <x v="3"/>
    <x v="13"/>
  </r>
  <r>
    <x v="0"/>
    <n v="27"/>
    <x v="3"/>
    <x v="0"/>
    <x v="1"/>
    <x v="2"/>
    <n v="12000000"/>
    <n v="5"/>
    <d v="1899-12-30T00:03:17"/>
    <x v="0"/>
    <x v="1"/>
    <x v="6"/>
    <x v="0"/>
    <x v="0"/>
  </r>
  <r>
    <x v="0"/>
    <n v="30"/>
    <x v="4"/>
    <x v="0"/>
    <x v="1"/>
    <x v="4"/>
    <n v="20000000"/>
    <n v="2"/>
    <d v="1899-12-30T00:03:17"/>
    <x v="0"/>
    <x v="0"/>
    <x v="4"/>
    <x v="3"/>
    <x v="4"/>
  </r>
  <r>
    <x v="0"/>
    <n v="20"/>
    <x v="4"/>
    <x v="0"/>
    <x v="0"/>
    <x v="1"/>
    <n v="15000000"/>
    <n v="5"/>
    <d v="1899-12-30T00:03:17"/>
    <x v="0"/>
    <x v="2"/>
    <x v="5"/>
    <x v="0"/>
    <x v="10"/>
  </r>
  <r>
    <x v="0"/>
    <n v="4"/>
    <x v="4"/>
    <x v="3"/>
    <x v="1"/>
    <x v="0"/>
    <n v="7000000"/>
    <n v="2"/>
    <d v="1899-12-30T00:03:17"/>
    <x v="0"/>
    <x v="4"/>
    <x v="1"/>
    <x v="1"/>
    <x v="1"/>
  </r>
  <r>
    <x v="0"/>
    <n v="3"/>
    <x v="1"/>
    <x v="2"/>
    <x v="2"/>
    <x v="0"/>
    <n v="19000000"/>
    <n v="2"/>
    <d v="1899-12-30T00:03:17"/>
    <x v="1"/>
    <x v="3"/>
    <x v="5"/>
    <x v="3"/>
    <x v="4"/>
  </r>
  <r>
    <x v="0"/>
    <n v="30"/>
    <x v="1"/>
    <x v="2"/>
    <x v="1"/>
    <x v="2"/>
    <n v="12000000"/>
    <n v="2"/>
    <d v="1899-12-30T00:03:17"/>
    <x v="0"/>
    <x v="2"/>
    <x v="2"/>
    <x v="1"/>
    <x v="2"/>
  </r>
  <r>
    <x v="1"/>
    <n v="14"/>
    <x v="3"/>
    <x v="4"/>
    <x v="2"/>
    <x v="5"/>
    <n v="0"/>
    <n v="4"/>
    <d v="1899-12-30T00:03:17"/>
    <x v="3"/>
    <x v="9"/>
    <x v="1"/>
    <x v="0"/>
    <x v="7"/>
  </r>
  <r>
    <x v="1"/>
    <n v="5"/>
    <x v="3"/>
    <x v="1"/>
    <x v="1"/>
    <x v="5"/>
    <n v="0"/>
    <n v="1"/>
    <d v="1899-12-30T00:03:17"/>
    <x v="3"/>
    <x v="9"/>
    <x v="7"/>
    <x v="1"/>
    <x v="14"/>
  </r>
  <r>
    <x v="1"/>
    <n v="2"/>
    <x v="10"/>
    <x v="4"/>
    <x v="2"/>
    <x v="5"/>
    <n v="0"/>
    <n v="3"/>
    <d v="1899-12-30T00:03:17"/>
    <x v="3"/>
    <x v="9"/>
    <x v="2"/>
    <x v="0"/>
    <x v="7"/>
  </r>
  <r>
    <x v="1"/>
    <n v="30"/>
    <x v="10"/>
    <x v="3"/>
    <x v="1"/>
    <x v="5"/>
    <n v="0"/>
    <n v="2"/>
    <d v="1899-12-30T00:03:17"/>
    <x v="3"/>
    <x v="9"/>
    <x v="2"/>
    <x v="2"/>
    <x v="8"/>
  </r>
  <r>
    <x v="1"/>
    <n v="10"/>
    <x v="10"/>
    <x v="1"/>
    <x v="2"/>
    <x v="5"/>
    <n v="0"/>
    <n v="1"/>
    <d v="1899-12-30T00:03:17"/>
    <x v="3"/>
    <x v="9"/>
    <x v="3"/>
    <x v="2"/>
    <x v="3"/>
  </r>
  <r>
    <x v="0"/>
    <n v="1"/>
    <x v="5"/>
    <x v="4"/>
    <x v="1"/>
    <x v="0"/>
    <n v="7000000"/>
    <n v="3"/>
    <d v="1899-12-30T00:03:30"/>
    <x v="0"/>
    <x v="6"/>
    <x v="6"/>
    <x v="0"/>
    <x v="5"/>
  </r>
  <r>
    <x v="0"/>
    <n v="11"/>
    <x v="6"/>
    <x v="3"/>
    <x v="1"/>
    <x v="3"/>
    <n v="20000000"/>
    <n v="2"/>
    <d v="1899-12-30T00:03:30"/>
    <x v="2"/>
    <x v="2"/>
    <x v="7"/>
    <x v="1"/>
    <x v="14"/>
  </r>
  <r>
    <x v="0"/>
    <n v="25"/>
    <x v="1"/>
    <x v="0"/>
    <x v="0"/>
    <x v="1"/>
    <n v="15000000"/>
    <n v="1"/>
    <d v="1899-12-30T00:03:30"/>
    <x v="0"/>
    <x v="0"/>
    <x v="1"/>
    <x v="3"/>
    <x v="13"/>
  </r>
  <r>
    <x v="0"/>
    <n v="17"/>
    <x v="2"/>
    <x v="5"/>
    <x v="0"/>
    <x v="1"/>
    <n v="11000000"/>
    <n v="4"/>
    <d v="1899-12-30T00:03:30"/>
    <x v="0"/>
    <x v="0"/>
    <x v="1"/>
    <x v="3"/>
    <x v="13"/>
  </r>
  <r>
    <x v="0"/>
    <n v="30"/>
    <x v="2"/>
    <x v="0"/>
    <x v="1"/>
    <x v="4"/>
    <n v="25000000"/>
    <n v="3"/>
    <d v="1899-12-30T00:03:30"/>
    <x v="0"/>
    <x v="0"/>
    <x v="3"/>
    <x v="0"/>
    <x v="5"/>
  </r>
  <r>
    <x v="0"/>
    <n v="22"/>
    <x v="3"/>
    <x v="0"/>
    <x v="2"/>
    <x v="2"/>
    <n v="38000000"/>
    <n v="6"/>
    <d v="1899-12-30T00:03:30"/>
    <x v="1"/>
    <x v="2"/>
    <x v="5"/>
    <x v="0"/>
    <x v="12"/>
  </r>
  <r>
    <x v="0"/>
    <n v="7"/>
    <x v="3"/>
    <x v="0"/>
    <x v="2"/>
    <x v="2"/>
    <n v="10000000"/>
    <n v="5"/>
    <d v="1899-12-30T00:03:30"/>
    <x v="0"/>
    <x v="2"/>
    <x v="2"/>
    <x v="1"/>
    <x v="2"/>
  </r>
  <r>
    <x v="0"/>
    <n v="8"/>
    <x v="3"/>
    <x v="0"/>
    <x v="2"/>
    <x v="1"/>
    <n v="12000000"/>
    <n v="3"/>
    <d v="1899-12-30T00:03:30"/>
    <x v="0"/>
    <x v="7"/>
    <x v="2"/>
    <x v="2"/>
    <x v="8"/>
  </r>
  <r>
    <x v="0"/>
    <n v="19"/>
    <x v="3"/>
    <x v="1"/>
    <x v="4"/>
    <x v="3"/>
    <n v="20000000"/>
    <n v="1"/>
    <d v="1899-12-30T00:03:30"/>
    <x v="0"/>
    <x v="7"/>
    <x v="4"/>
    <x v="1"/>
    <x v="15"/>
  </r>
  <r>
    <x v="0"/>
    <n v="28"/>
    <x v="3"/>
    <x v="3"/>
    <x v="2"/>
    <x v="2"/>
    <n v="12000000"/>
    <n v="3"/>
    <d v="1899-12-30T00:03:30"/>
    <x v="0"/>
    <x v="5"/>
    <x v="5"/>
    <x v="2"/>
    <x v="11"/>
  </r>
  <r>
    <x v="0"/>
    <n v="5"/>
    <x v="4"/>
    <x v="0"/>
    <x v="2"/>
    <x v="0"/>
    <n v="19000000"/>
    <n v="2"/>
    <d v="1899-12-30T00:03:30"/>
    <x v="1"/>
    <x v="1"/>
    <x v="1"/>
    <x v="1"/>
    <x v="1"/>
  </r>
  <r>
    <x v="0"/>
    <n v="1"/>
    <x v="5"/>
    <x v="4"/>
    <x v="1"/>
    <x v="0"/>
    <n v="7000000"/>
    <n v="3"/>
    <d v="1899-12-30T00:03:30"/>
    <x v="0"/>
    <x v="6"/>
    <x v="6"/>
    <x v="0"/>
    <x v="5"/>
  </r>
  <r>
    <x v="0"/>
    <n v="11"/>
    <x v="6"/>
    <x v="3"/>
    <x v="1"/>
    <x v="3"/>
    <n v="20000000"/>
    <n v="2"/>
    <d v="1899-12-30T00:03:30"/>
    <x v="2"/>
    <x v="2"/>
    <x v="7"/>
    <x v="1"/>
    <x v="14"/>
  </r>
  <r>
    <x v="0"/>
    <n v="25"/>
    <x v="1"/>
    <x v="0"/>
    <x v="0"/>
    <x v="1"/>
    <n v="15000000"/>
    <n v="1"/>
    <d v="1899-12-30T00:03:30"/>
    <x v="0"/>
    <x v="0"/>
    <x v="1"/>
    <x v="3"/>
    <x v="13"/>
  </r>
  <r>
    <x v="1"/>
    <n v="12"/>
    <x v="2"/>
    <x v="2"/>
    <x v="2"/>
    <x v="5"/>
    <n v="0"/>
    <n v="1"/>
    <d v="1899-12-30T00:03:30"/>
    <x v="3"/>
    <x v="9"/>
    <x v="2"/>
    <x v="0"/>
    <x v="9"/>
  </r>
  <r>
    <x v="1"/>
    <n v="14"/>
    <x v="10"/>
    <x v="1"/>
    <x v="1"/>
    <x v="5"/>
    <n v="0"/>
    <n v="4"/>
    <d v="1899-12-30T00:03:30"/>
    <x v="3"/>
    <x v="9"/>
    <x v="2"/>
    <x v="1"/>
    <x v="2"/>
  </r>
  <r>
    <x v="0"/>
    <n v="11"/>
    <x v="6"/>
    <x v="0"/>
    <x v="4"/>
    <x v="1"/>
    <n v="15000000"/>
    <n v="1"/>
    <d v="1899-12-30T00:03:40"/>
    <x v="0"/>
    <x v="0"/>
    <x v="3"/>
    <x v="3"/>
    <x v="13"/>
  </r>
  <r>
    <x v="0"/>
    <n v="13"/>
    <x v="11"/>
    <x v="3"/>
    <x v="1"/>
    <x v="1"/>
    <n v="15000000"/>
    <n v="5"/>
    <d v="1899-12-30T00:03:40"/>
    <x v="0"/>
    <x v="5"/>
    <x v="7"/>
    <x v="2"/>
    <x v="11"/>
  </r>
  <r>
    <x v="0"/>
    <n v="10"/>
    <x v="1"/>
    <x v="0"/>
    <x v="1"/>
    <x v="2"/>
    <n v="12000000"/>
    <n v="2"/>
    <d v="1899-12-30T00:03:40"/>
    <x v="0"/>
    <x v="2"/>
    <x v="6"/>
    <x v="1"/>
    <x v="6"/>
  </r>
  <r>
    <x v="0"/>
    <n v="19"/>
    <x v="1"/>
    <x v="4"/>
    <x v="2"/>
    <x v="1"/>
    <n v="15000000"/>
    <n v="2"/>
    <d v="1899-12-30T00:03:40"/>
    <x v="0"/>
    <x v="0"/>
    <x v="4"/>
    <x v="2"/>
    <x v="11"/>
  </r>
  <r>
    <x v="0"/>
    <n v="11"/>
    <x v="2"/>
    <x v="0"/>
    <x v="1"/>
    <x v="4"/>
    <n v="21000000"/>
    <n v="5"/>
    <d v="1899-12-30T00:03:40"/>
    <x v="0"/>
    <x v="7"/>
    <x v="4"/>
    <x v="1"/>
    <x v="15"/>
  </r>
  <r>
    <x v="0"/>
    <n v="30"/>
    <x v="2"/>
    <x v="2"/>
    <x v="0"/>
    <x v="3"/>
    <n v="20000000"/>
    <n v="4"/>
    <d v="1899-12-30T00:03:40"/>
    <x v="0"/>
    <x v="6"/>
    <x v="5"/>
    <x v="1"/>
    <x v="1"/>
  </r>
  <r>
    <x v="0"/>
    <n v="30"/>
    <x v="3"/>
    <x v="1"/>
    <x v="2"/>
    <x v="2"/>
    <n v="12000000"/>
    <n v="1"/>
    <d v="1899-12-30T00:03:40"/>
    <x v="0"/>
    <x v="7"/>
    <x v="6"/>
    <x v="2"/>
    <x v="11"/>
  </r>
  <r>
    <x v="0"/>
    <n v="17"/>
    <x v="4"/>
    <x v="2"/>
    <x v="0"/>
    <x v="3"/>
    <n v="11000000"/>
    <n v="1"/>
    <d v="1899-12-30T00:03:40"/>
    <x v="2"/>
    <x v="2"/>
    <x v="4"/>
    <x v="3"/>
    <x v="13"/>
  </r>
  <r>
    <x v="0"/>
    <n v="16"/>
    <x v="4"/>
    <x v="3"/>
    <x v="4"/>
    <x v="4"/>
    <n v="25000000"/>
    <n v="1"/>
    <d v="1899-12-30T00:03:40"/>
    <x v="0"/>
    <x v="2"/>
    <x v="1"/>
    <x v="1"/>
    <x v="6"/>
  </r>
  <r>
    <x v="0"/>
    <n v="27"/>
    <x v="10"/>
    <x v="2"/>
    <x v="2"/>
    <x v="2"/>
    <n v="38000000"/>
    <n v="1"/>
    <d v="1899-12-30T00:03:40"/>
    <x v="1"/>
    <x v="0"/>
    <x v="2"/>
    <x v="0"/>
    <x v="10"/>
  </r>
  <r>
    <x v="0"/>
    <n v="11"/>
    <x v="6"/>
    <x v="0"/>
    <x v="4"/>
    <x v="1"/>
    <n v="15000000"/>
    <n v="1"/>
    <d v="1899-12-30T00:03:40"/>
    <x v="0"/>
    <x v="0"/>
    <x v="3"/>
    <x v="3"/>
    <x v="13"/>
  </r>
  <r>
    <x v="0"/>
    <n v="13"/>
    <x v="11"/>
    <x v="3"/>
    <x v="1"/>
    <x v="1"/>
    <n v="15000000"/>
    <n v="5"/>
    <d v="1899-12-30T00:03:40"/>
    <x v="0"/>
    <x v="5"/>
    <x v="7"/>
    <x v="2"/>
    <x v="11"/>
  </r>
  <r>
    <x v="0"/>
    <n v="10"/>
    <x v="1"/>
    <x v="0"/>
    <x v="1"/>
    <x v="2"/>
    <n v="12000000"/>
    <n v="2"/>
    <d v="1899-12-30T00:03:40"/>
    <x v="0"/>
    <x v="2"/>
    <x v="6"/>
    <x v="1"/>
    <x v="6"/>
  </r>
  <r>
    <x v="0"/>
    <n v="19"/>
    <x v="1"/>
    <x v="4"/>
    <x v="2"/>
    <x v="1"/>
    <n v="15000000"/>
    <n v="2"/>
    <d v="1899-12-30T00:03:40"/>
    <x v="0"/>
    <x v="0"/>
    <x v="4"/>
    <x v="2"/>
    <x v="11"/>
  </r>
  <r>
    <x v="1"/>
    <n v="23"/>
    <x v="2"/>
    <x v="2"/>
    <x v="2"/>
    <x v="5"/>
    <n v="0"/>
    <n v="1"/>
    <d v="1899-12-30T00:03:40"/>
    <x v="3"/>
    <x v="9"/>
    <x v="4"/>
    <x v="1"/>
    <x v="1"/>
  </r>
  <r>
    <x v="1"/>
    <n v="19"/>
    <x v="3"/>
    <x v="2"/>
    <x v="2"/>
    <x v="5"/>
    <n v="0"/>
    <n v="4"/>
    <d v="1899-12-30T00:03:40"/>
    <x v="3"/>
    <x v="9"/>
    <x v="5"/>
    <x v="0"/>
    <x v="10"/>
  </r>
  <r>
    <x v="1"/>
    <n v="27"/>
    <x v="4"/>
    <x v="0"/>
    <x v="2"/>
    <x v="5"/>
    <n v="0"/>
    <n v="1"/>
    <d v="1899-12-30T00:03:40"/>
    <x v="3"/>
    <x v="9"/>
    <x v="2"/>
    <x v="0"/>
    <x v="9"/>
  </r>
  <r>
    <x v="0"/>
    <n v="15"/>
    <x v="6"/>
    <x v="4"/>
    <x v="1"/>
    <x v="1"/>
    <n v="12000000"/>
    <n v="4"/>
    <d v="1899-12-30T00:04:00"/>
    <x v="0"/>
    <x v="2"/>
    <x v="2"/>
    <x v="0"/>
    <x v="7"/>
  </r>
  <r>
    <x v="0"/>
    <n v="4"/>
    <x v="11"/>
    <x v="1"/>
    <x v="1"/>
    <x v="0"/>
    <n v="19000000"/>
    <n v="2"/>
    <d v="1899-12-30T00:04:00"/>
    <x v="1"/>
    <x v="5"/>
    <x v="1"/>
    <x v="2"/>
    <x v="3"/>
  </r>
  <r>
    <x v="0"/>
    <n v="11"/>
    <x v="2"/>
    <x v="0"/>
    <x v="0"/>
    <x v="2"/>
    <n v="38000000"/>
    <n v="1"/>
    <d v="1899-12-30T00:04:00"/>
    <x v="4"/>
    <x v="4"/>
    <x v="4"/>
    <x v="1"/>
    <x v="15"/>
  </r>
  <r>
    <x v="0"/>
    <n v="23"/>
    <x v="2"/>
    <x v="2"/>
    <x v="0"/>
    <x v="0"/>
    <n v="7000000"/>
    <n v="3"/>
    <d v="1899-12-30T00:04:00"/>
    <x v="0"/>
    <x v="0"/>
    <x v="5"/>
    <x v="3"/>
    <x v="4"/>
  </r>
  <r>
    <x v="0"/>
    <n v="8"/>
    <x v="3"/>
    <x v="1"/>
    <x v="1"/>
    <x v="3"/>
    <n v="20000000"/>
    <n v="4"/>
    <d v="1899-12-30T00:04:00"/>
    <x v="2"/>
    <x v="0"/>
    <x v="0"/>
    <x v="1"/>
    <x v="2"/>
  </r>
  <r>
    <x v="0"/>
    <n v="8"/>
    <x v="3"/>
    <x v="1"/>
    <x v="0"/>
    <x v="1"/>
    <n v="15000000"/>
    <n v="1"/>
    <d v="1899-12-30T00:04:00"/>
    <x v="0"/>
    <x v="5"/>
    <x v="3"/>
    <x v="0"/>
    <x v="12"/>
  </r>
  <r>
    <x v="0"/>
    <n v="29"/>
    <x v="3"/>
    <x v="0"/>
    <x v="0"/>
    <x v="2"/>
    <n v="12000000"/>
    <n v="1"/>
    <d v="1899-12-30T00:04:00"/>
    <x v="0"/>
    <x v="8"/>
    <x v="6"/>
    <x v="0"/>
    <x v="9"/>
  </r>
  <r>
    <x v="0"/>
    <n v="25"/>
    <x v="3"/>
    <x v="2"/>
    <x v="1"/>
    <x v="4"/>
    <n v="25000000"/>
    <n v="3"/>
    <d v="1899-12-30T00:04:00"/>
    <x v="0"/>
    <x v="2"/>
    <x v="7"/>
    <x v="2"/>
    <x v="11"/>
  </r>
  <r>
    <x v="0"/>
    <n v="22"/>
    <x v="4"/>
    <x v="1"/>
    <x v="1"/>
    <x v="2"/>
    <n v="12000000"/>
    <n v="4"/>
    <d v="1899-12-30T00:04:00"/>
    <x v="0"/>
    <x v="4"/>
    <x v="1"/>
    <x v="1"/>
    <x v="6"/>
  </r>
  <r>
    <x v="0"/>
    <n v="15"/>
    <x v="6"/>
    <x v="4"/>
    <x v="1"/>
    <x v="1"/>
    <n v="12000000"/>
    <n v="4"/>
    <d v="1899-12-30T00:04:00"/>
    <x v="0"/>
    <x v="2"/>
    <x v="2"/>
    <x v="0"/>
    <x v="7"/>
  </r>
  <r>
    <x v="0"/>
    <n v="4"/>
    <x v="11"/>
    <x v="1"/>
    <x v="1"/>
    <x v="0"/>
    <n v="19000000"/>
    <n v="2"/>
    <d v="1899-12-30T00:04:00"/>
    <x v="1"/>
    <x v="5"/>
    <x v="1"/>
    <x v="2"/>
    <x v="3"/>
  </r>
  <r>
    <x v="1"/>
    <n v="25"/>
    <x v="3"/>
    <x v="2"/>
    <x v="2"/>
    <x v="5"/>
    <n v="0"/>
    <n v="5"/>
    <d v="1899-12-30T00:04:00"/>
    <x v="3"/>
    <x v="9"/>
    <x v="3"/>
    <x v="2"/>
    <x v="8"/>
  </r>
  <r>
    <x v="1"/>
    <n v="26"/>
    <x v="4"/>
    <x v="0"/>
    <x v="1"/>
    <x v="5"/>
    <n v="0"/>
    <n v="2"/>
    <d v="1899-12-30T00:04:00"/>
    <x v="3"/>
    <x v="9"/>
    <x v="5"/>
    <x v="1"/>
    <x v="1"/>
  </r>
  <r>
    <x v="1"/>
    <n v="26"/>
    <x v="4"/>
    <x v="1"/>
    <x v="1"/>
    <x v="5"/>
    <n v="0"/>
    <n v="3"/>
    <d v="1899-12-30T00:04:00"/>
    <x v="3"/>
    <x v="9"/>
    <x v="7"/>
    <x v="1"/>
    <x v="1"/>
  </r>
  <r>
    <x v="1"/>
    <n v="10"/>
    <x v="10"/>
    <x v="2"/>
    <x v="0"/>
    <x v="5"/>
    <n v="0"/>
    <n v="3"/>
    <d v="1899-12-30T00:04:00"/>
    <x v="3"/>
    <x v="9"/>
    <x v="5"/>
    <x v="3"/>
    <x v="4"/>
  </r>
  <r>
    <x v="0"/>
    <n v="16"/>
    <x v="5"/>
    <x v="2"/>
    <x v="1"/>
    <x v="2"/>
    <n v="12000000"/>
    <n v="1"/>
    <d v="1899-12-30T00:04:40"/>
    <x v="0"/>
    <x v="2"/>
    <x v="4"/>
    <x v="1"/>
    <x v="1"/>
  </r>
  <r>
    <x v="0"/>
    <n v="11"/>
    <x v="6"/>
    <x v="0"/>
    <x v="2"/>
    <x v="2"/>
    <n v="12000000"/>
    <n v="4"/>
    <d v="1899-12-30T00:04:40"/>
    <x v="0"/>
    <x v="0"/>
    <x v="5"/>
    <x v="3"/>
    <x v="4"/>
  </r>
  <r>
    <x v="0"/>
    <n v="1"/>
    <x v="8"/>
    <x v="2"/>
    <x v="1"/>
    <x v="2"/>
    <n v="12000000"/>
    <n v="2"/>
    <d v="1899-12-30T00:04:40"/>
    <x v="0"/>
    <x v="2"/>
    <x v="7"/>
    <x v="3"/>
    <x v="13"/>
  </r>
  <r>
    <x v="0"/>
    <n v="9"/>
    <x v="2"/>
    <x v="2"/>
    <x v="1"/>
    <x v="2"/>
    <n v="38000000"/>
    <n v="5"/>
    <d v="1899-12-30T00:04:40"/>
    <x v="1"/>
    <x v="0"/>
    <x v="6"/>
    <x v="1"/>
    <x v="2"/>
  </r>
  <r>
    <x v="0"/>
    <n v="11"/>
    <x v="2"/>
    <x v="2"/>
    <x v="2"/>
    <x v="2"/>
    <n v="12000000"/>
    <n v="5"/>
    <d v="1899-12-30T00:04:40"/>
    <x v="0"/>
    <x v="6"/>
    <x v="0"/>
    <x v="0"/>
    <x v="10"/>
  </r>
  <r>
    <x v="0"/>
    <n v="22"/>
    <x v="2"/>
    <x v="4"/>
    <x v="2"/>
    <x v="1"/>
    <n v="15000000"/>
    <n v="4"/>
    <d v="1899-12-30T00:04:40"/>
    <x v="0"/>
    <x v="7"/>
    <x v="2"/>
    <x v="2"/>
    <x v="11"/>
  </r>
  <r>
    <x v="0"/>
    <n v="30"/>
    <x v="2"/>
    <x v="4"/>
    <x v="1"/>
    <x v="1"/>
    <n v="15000000"/>
    <n v="3"/>
    <d v="1899-12-30T00:04:40"/>
    <x v="0"/>
    <x v="2"/>
    <x v="1"/>
    <x v="1"/>
    <x v="2"/>
  </r>
  <r>
    <x v="0"/>
    <n v="10"/>
    <x v="3"/>
    <x v="1"/>
    <x v="0"/>
    <x v="3"/>
    <n v="11000000"/>
    <n v="2"/>
    <d v="1899-12-30T00:04:40"/>
    <x v="2"/>
    <x v="0"/>
    <x v="2"/>
    <x v="1"/>
    <x v="15"/>
  </r>
  <r>
    <x v="0"/>
    <n v="24"/>
    <x v="3"/>
    <x v="0"/>
    <x v="2"/>
    <x v="3"/>
    <n v="20000000"/>
    <n v="1"/>
    <d v="1899-12-30T00:04:40"/>
    <x v="2"/>
    <x v="0"/>
    <x v="2"/>
    <x v="3"/>
    <x v="4"/>
  </r>
  <r>
    <x v="0"/>
    <n v="26"/>
    <x v="3"/>
    <x v="1"/>
    <x v="2"/>
    <x v="4"/>
    <n v="20000000"/>
    <n v="2"/>
    <d v="1899-12-30T00:04:40"/>
    <x v="0"/>
    <x v="0"/>
    <x v="2"/>
    <x v="0"/>
    <x v="5"/>
  </r>
  <r>
    <x v="0"/>
    <n v="1"/>
    <x v="3"/>
    <x v="2"/>
    <x v="3"/>
    <x v="3"/>
    <n v="20000000"/>
    <n v="2"/>
    <d v="1899-12-30T00:04:40"/>
    <x v="0"/>
    <x v="4"/>
    <x v="3"/>
    <x v="0"/>
    <x v="10"/>
  </r>
  <r>
    <x v="0"/>
    <n v="30"/>
    <x v="3"/>
    <x v="4"/>
    <x v="3"/>
    <x v="0"/>
    <n v="7000000"/>
    <n v="3"/>
    <d v="1899-12-30T00:04:40"/>
    <x v="0"/>
    <x v="5"/>
    <x v="3"/>
    <x v="2"/>
    <x v="8"/>
  </r>
  <r>
    <x v="0"/>
    <n v="8"/>
    <x v="3"/>
    <x v="2"/>
    <x v="1"/>
    <x v="4"/>
    <n v="25000000"/>
    <n v="4"/>
    <d v="1899-12-30T00:04:40"/>
    <x v="0"/>
    <x v="1"/>
    <x v="0"/>
    <x v="2"/>
    <x v="11"/>
  </r>
  <r>
    <x v="0"/>
    <n v="11"/>
    <x v="3"/>
    <x v="0"/>
    <x v="2"/>
    <x v="1"/>
    <n v="15000000"/>
    <n v="3"/>
    <d v="1899-12-30T00:04:40"/>
    <x v="0"/>
    <x v="4"/>
    <x v="1"/>
    <x v="0"/>
    <x v="10"/>
  </r>
  <r>
    <x v="0"/>
    <n v="11"/>
    <x v="3"/>
    <x v="3"/>
    <x v="2"/>
    <x v="1"/>
    <n v="15000000"/>
    <n v="1"/>
    <d v="1899-12-30T00:04:40"/>
    <x v="0"/>
    <x v="3"/>
    <x v="6"/>
    <x v="0"/>
    <x v="5"/>
  </r>
  <r>
    <x v="0"/>
    <n v="9"/>
    <x v="4"/>
    <x v="3"/>
    <x v="1"/>
    <x v="0"/>
    <n v="19000000"/>
    <n v="5"/>
    <d v="1899-12-30T00:04:40"/>
    <x v="1"/>
    <x v="2"/>
    <x v="7"/>
    <x v="2"/>
    <x v="8"/>
  </r>
  <r>
    <x v="0"/>
    <n v="22"/>
    <x v="4"/>
    <x v="2"/>
    <x v="2"/>
    <x v="0"/>
    <n v="19000000"/>
    <n v="1"/>
    <d v="1899-12-30T00:04:40"/>
    <x v="1"/>
    <x v="8"/>
    <x v="7"/>
    <x v="1"/>
    <x v="2"/>
  </r>
  <r>
    <x v="0"/>
    <n v="12"/>
    <x v="4"/>
    <x v="1"/>
    <x v="2"/>
    <x v="3"/>
    <n v="20000000"/>
    <n v="2"/>
    <d v="1899-12-30T00:04:40"/>
    <x v="0"/>
    <x v="2"/>
    <x v="3"/>
    <x v="0"/>
    <x v="7"/>
  </r>
  <r>
    <x v="0"/>
    <n v="22"/>
    <x v="4"/>
    <x v="2"/>
    <x v="2"/>
    <x v="1"/>
    <n v="15000000"/>
    <n v="1"/>
    <d v="1899-12-30T00:04:40"/>
    <x v="0"/>
    <x v="0"/>
    <x v="6"/>
    <x v="0"/>
    <x v="10"/>
  </r>
  <r>
    <x v="0"/>
    <n v="16"/>
    <x v="5"/>
    <x v="2"/>
    <x v="1"/>
    <x v="2"/>
    <n v="12000000"/>
    <n v="1"/>
    <d v="1899-12-30T00:04:40"/>
    <x v="0"/>
    <x v="2"/>
    <x v="4"/>
    <x v="1"/>
    <x v="1"/>
  </r>
  <r>
    <x v="0"/>
    <n v="11"/>
    <x v="6"/>
    <x v="0"/>
    <x v="2"/>
    <x v="2"/>
    <n v="12000000"/>
    <n v="4"/>
    <d v="1899-12-30T00:04:40"/>
    <x v="0"/>
    <x v="0"/>
    <x v="5"/>
    <x v="3"/>
    <x v="4"/>
  </r>
  <r>
    <x v="0"/>
    <n v="1"/>
    <x v="8"/>
    <x v="2"/>
    <x v="1"/>
    <x v="2"/>
    <n v="12000000"/>
    <n v="2"/>
    <d v="1899-12-30T00:04:40"/>
    <x v="0"/>
    <x v="2"/>
    <x v="7"/>
    <x v="3"/>
    <x v="13"/>
  </r>
  <r>
    <x v="1"/>
    <n v="15"/>
    <x v="7"/>
    <x v="3"/>
    <x v="0"/>
    <x v="5"/>
    <n v="0"/>
    <n v="2"/>
    <d v="1899-12-30T00:04:40"/>
    <x v="3"/>
    <x v="9"/>
    <x v="5"/>
    <x v="1"/>
    <x v="1"/>
  </r>
  <r>
    <x v="1"/>
    <n v="11"/>
    <x v="8"/>
    <x v="0"/>
    <x v="2"/>
    <x v="5"/>
    <n v="0"/>
    <n v="5"/>
    <d v="1899-12-30T00:04:40"/>
    <x v="3"/>
    <x v="9"/>
    <x v="3"/>
    <x v="3"/>
    <x v="13"/>
  </r>
  <r>
    <x v="1"/>
    <n v="14"/>
    <x v="1"/>
    <x v="1"/>
    <x v="2"/>
    <x v="5"/>
    <n v="0"/>
    <n v="4"/>
    <d v="1899-12-30T00:04:40"/>
    <x v="3"/>
    <x v="9"/>
    <x v="5"/>
    <x v="0"/>
    <x v="5"/>
  </r>
  <r>
    <x v="1"/>
    <n v="24"/>
    <x v="2"/>
    <x v="5"/>
    <x v="2"/>
    <x v="5"/>
    <n v="0"/>
    <n v="3"/>
    <d v="1899-12-30T00:04:40"/>
    <x v="3"/>
    <x v="9"/>
    <x v="0"/>
    <x v="0"/>
    <x v="10"/>
  </r>
  <r>
    <x v="1"/>
    <n v="1"/>
    <x v="3"/>
    <x v="0"/>
    <x v="2"/>
    <x v="5"/>
    <n v="0"/>
    <n v="1"/>
    <d v="1899-12-30T00:04:40"/>
    <x v="3"/>
    <x v="9"/>
    <x v="5"/>
    <x v="1"/>
    <x v="6"/>
  </r>
  <r>
    <x v="1"/>
    <n v="19"/>
    <x v="10"/>
    <x v="2"/>
    <x v="2"/>
    <x v="5"/>
    <n v="0"/>
    <n v="2"/>
    <d v="1899-12-30T00:04:40"/>
    <x v="3"/>
    <x v="9"/>
    <x v="2"/>
    <x v="3"/>
    <x v="13"/>
  </r>
  <r>
    <x v="1"/>
    <n v="15"/>
    <x v="7"/>
    <x v="3"/>
    <x v="0"/>
    <x v="5"/>
    <n v="0"/>
    <n v="2"/>
    <d v="1899-12-30T00:04:40"/>
    <x v="3"/>
    <x v="9"/>
    <x v="5"/>
    <x v="1"/>
    <x v="1"/>
  </r>
  <r>
    <x v="1"/>
    <n v="11"/>
    <x v="8"/>
    <x v="0"/>
    <x v="2"/>
    <x v="5"/>
    <n v="0"/>
    <n v="5"/>
    <d v="1899-12-30T00:04:40"/>
    <x v="3"/>
    <x v="9"/>
    <x v="3"/>
    <x v="3"/>
    <x v="13"/>
  </r>
  <r>
    <x v="0"/>
    <n v="19"/>
    <x v="1"/>
    <x v="1"/>
    <x v="3"/>
    <x v="0"/>
    <n v="7000000"/>
    <n v="5"/>
    <d v="1899-12-30T00:04:45"/>
    <x v="0"/>
    <x v="1"/>
    <x v="6"/>
    <x v="0"/>
    <x v="7"/>
  </r>
  <r>
    <x v="0"/>
    <n v="5"/>
    <x v="2"/>
    <x v="2"/>
    <x v="2"/>
    <x v="3"/>
    <n v="15000000"/>
    <n v="3"/>
    <d v="1899-12-30T00:04:45"/>
    <x v="0"/>
    <x v="0"/>
    <x v="3"/>
    <x v="3"/>
    <x v="13"/>
  </r>
  <r>
    <x v="0"/>
    <n v="11"/>
    <x v="3"/>
    <x v="0"/>
    <x v="3"/>
    <x v="2"/>
    <n v="38000000"/>
    <n v="1"/>
    <d v="1899-12-30T00:04:45"/>
    <x v="1"/>
    <x v="0"/>
    <x v="4"/>
    <x v="0"/>
    <x v="7"/>
  </r>
  <r>
    <x v="0"/>
    <n v="1"/>
    <x v="3"/>
    <x v="4"/>
    <x v="0"/>
    <x v="1"/>
    <n v="15000000"/>
    <n v="1"/>
    <d v="1899-12-30T00:04:45"/>
    <x v="0"/>
    <x v="4"/>
    <x v="2"/>
    <x v="3"/>
    <x v="4"/>
  </r>
  <r>
    <x v="0"/>
    <n v="21"/>
    <x v="3"/>
    <x v="1"/>
    <x v="0"/>
    <x v="4"/>
    <n v="20000000"/>
    <n v="5"/>
    <d v="1899-12-30T00:04:45"/>
    <x v="0"/>
    <x v="7"/>
    <x v="0"/>
    <x v="1"/>
    <x v="2"/>
  </r>
  <r>
    <x v="0"/>
    <n v="27"/>
    <x v="4"/>
    <x v="3"/>
    <x v="2"/>
    <x v="1"/>
    <n v="11000000"/>
    <n v="3"/>
    <d v="1899-12-30T00:04:45"/>
    <x v="0"/>
    <x v="7"/>
    <x v="6"/>
    <x v="2"/>
    <x v="3"/>
  </r>
  <r>
    <x v="0"/>
    <n v="28"/>
    <x v="4"/>
    <x v="3"/>
    <x v="1"/>
    <x v="2"/>
    <n v="12000000"/>
    <n v="3"/>
    <d v="1899-12-30T00:04:45"/>
    <x v="0"/>
    <x v="4"/>
    <x v="7"/>
    <x v="0"/>
    <x v="9"/>
  </r>
  <r>
    <x v="0"/>
    <n v="11"/>
    <x v="10"/>
    <x v="3"/>
    <x v="1"/>
    <x v="0"/>
    <n v="19000000"/>
    <n v="1"/>
    <d v="1899-12-30T00:04:45"/>
    <x v="1"/>
    <x v="2"/>
    <x v="2"/>
    <x v="0"/>
    <x v="12"/>
  </r>
  <r>
    <x v="0"/>
    <n v="25"/>
    <x v="10"/>
    <x v="0"/>
    <x v="1"/>
    <x v="2"/>
    <n v="12000000"/>
    <n v="1"/>
    <d v="1899-12-30T00:04:45"/>
    <x v="0"/>
    <x v="7"/>
    <x v="5"/>
    <x v="2"/>
    <x v="8"/>
  </r>
  <r>
    <x v="0"/>
    <n v="23"/>
    <x v="10"/>
    <x v="0"/>
    <x v="0"/>
    <x v="2"/>
    <n v="12000000"/>
    <n v="1"/>
    <d v="1899-12-30T00:04:45"/>
    <x v="0"/>
    <x v="8"/>
    <x v="6"/>
    <x v="1"/>
    <x v="1"/>
  </r>
  <r>
    <x v="0"/>
    <n v="19"/>
    <x v="1"/>
    <x v="1"/>
    <x v="3"/>
    <x v="0"/>
    <n v="7000000"/>
    <n v="5"/>
    <d v="1899-12-30T00:04:45"/>
    <x v="0"/>
    <x v="1"/>
    <x v="6"/>
    <x v="0"/>
    <x v="7"/>
  </r>
  <r>
    <x v="1"/>
    <n v="11"/>
    <x v="5"/>
    <x v="3"/>
    <x v="1"/>
    <x v="5"/>
    <n v="0"/>
    <n v="4"/>
    <d v="1899-12-30T00:04:45"/>
    <x v="3"/>
    <x v="9"/>
    <x v="2"/>
    <x v="2"/>
    <x v="11"/>
  </r>
  <r>
    <x v="1"/>
    <n v="19"/>
    <x v="2"/>
    <x v="0"/>
    <x v="2"/>
    <x v="5"/>
    <n v="0"/>
    <n v="6"/>
    <d v="1899-12-30T00:04:45"/>
    <x v="3"/>
    <x v="9"/>
    <x v="2"/>
    <x v="1"/>
    <x v="14"/>
  </r>
  <r>
    <x v="1"/>
    <n v="18"/>
    <x v="4"/>
    <x v="5"/>
    <x v="2"/>
    <x v="5"/>
    <n v="0"/>
    <n v="4"/>
    <d v="1899-12-30T00:04:45"/>
    <x v="3"/>
    <x v="9"/>
    <x v="7"/>
    <x v="3"/>
    <x v="13"/>
  </r>
  <r>
    <x v="1"/>
    <n v="11"/>
    <x v="5"/>
    <x v="3"/>
    <x v="1"/>
    <x v="5"/>
    <n v="0"/>
    <n v="4"/>
    <d v="1899-12-30T00:04:45"/>
    <x v="3"/>
    <x v="9"/>
    <x v="2"/>
    <x v="2"/>
    <x v="11"/>
  </r>
  <r>
    <x v="0"/>
    <n v="13"/>
    <x v="5"/>
    <x v="4"/>
    <x v="2"/>
    <x v="2"/>
    <n v="12000000"/>
    <n v="1"/>
    <d v="1899-12-30T00:04:48"/>
    <x v="0"/>
    <x v="7"/>
    <x v="2"/>
    <x v="1"/>
    <x v="1"/>
  </r>
  <r>
    <x v="0"/>
    <n v="1"/>
    <x v="8"/>
    <x v="4"/>
    <x v="1"/>
    <x v="3"/>
    <n v="20000000"/>
    <n v="4"/>
    <d v="1899-12-30T00:04:48"/>
    <x v="2"/>
    <x v="8"/>
    <x v="5"/>
    <x v="0"/>
    <x v="10"/>
  </r>
  <r>
    <x v="0"/>
    <n v="12"/>
    <x v="2"/>
    <x v="4"/>
    <x v="0"/>
    <x v="2"/>
    <n v="10000000"/>
    <n v="5"/>
    <d v="1899-12-30T00:04:48"/>
    <x v="0"/>
    <x v="3"/>
    <x v="7"/>
    <x v="3"/>
    <x v="13"/>
  </r>
  <r>
    <x v="0"/>
    <n v="13"/>
    <x v="3"/>
    <x v="0"/>
    <x v="1"/>
    <x v="0"/>
    <n v="19000000"/>
    <n v="4"/>
    <d v="1899-12-30T00:04:48"/>
    <x v="1"/>
    <x v="7"/>
    <x v="3"/>
    <x v="1"/>
    <x v="2"/>
  </r>
  <r>
    <x v="0"/>
    <n v="8"/>
    <x v="3"/>
    <x v="4"/>
    <x v="1"/>
    <x v="1"/>
    <n v="15000000"/>
    <n v="3"/>
    <d v="1899-12-30T00:04:48"/>
    <x v="0"/>
    <x v="0"/>
    <x v="4"/>
    <x v="0"/>
    <x v="5"/>
  </r>
  <r>
    <x v="0"/>
    <n v="17"/>
    <x v="4"/>
    <x v="0"/>
    <x v="2"/>
    <x v="2"/>
    <n v="12000000"/>
    <n v="3"/>
    <d v="1899-12-30T00:04:48"/>
    <x v="0"/>
    <x v="2"/>
    <x v="4"/>
    <x v="3"/>
    <x v="13"/>
  </r>
  <r>
    <x v="0"/>
    <n v="12"/>
    <x v="4"/>
    <x v="1"/>
    <x v="2"/>
    <x v="1"/>
    <n v="15000000"/>
    <n v="1"/>
    <d v="1899-12-30T00:04:48"/>
    <x v="0"/>
    <x v="4"/>
    <x v="6"/>
    <x v="1"/>
    <x v="6"/>
  </r>
  <r>
    <x v="0"/>
    <n v="16"/>
    <x v="10"/>
    <x v="5"/>
    <x v="1"/>
    <x v="4"/>
    <n v="25000000"/>
    <n v="2"/>
    <d v="1899-12-30T00:04:48"/>
    <x v="0"/>
    <x v="0"/>
    <x v="1"/>
    <x v="2"/>
    <x v="11"/>
  </r>
  <r>
    <x v="0"/>
    <n v="13"/>
    <x v="5"/>
    <x v="4"/>
    <x v="2"/>
    <x v="2"/>
    <n v="12000000"/>
    <n v="1"/>
    <d v="1899-12-30T00:04:48"/>
    <x v="0"/>
    <x v="7"/>
    <x v="2"/>
    <x v="1"/>
    <x v="1"/>
  </r>
  <r>
    <x v="0"/>
    <n v="1"/>
    <x v="8"/>
    <x v="4"/>
    <x v="1"/>
    <x v="3"/>
    <n v="20000000"/>
    <n v="4"/>
    <d v="1899-12-30T00:04:48"/>
    <x v="2"/>
    <x v="8"/>
    <x v="5"/>
    <x v="0"/>
    <x v="10"/>
  </r>
  <r>
    <x v="1"/>
    <n v="12"/>
    <x v="9"/>
    <x v="0"/>
    <x v="2"/>
    <x v="5"/>
    <n v="0"/>
    <n v="2"/>
    <d v="1899-12-30T00:04:48"/>
    <x v="3"/>
    <x v="9"/>
    <x v="0"/>
    <x v="2"/>
    <x v="3"/>
  </r>
  <r>
    <x v="1"/>
    <n v="6"/>
    <x v="2"/>
    <x v="0"/>
    <x v="1"/>
    <x v="5"/>
    <n v="0"/>
    <n v="1"/>
    <d v="1899-12-30T00:04:48"/>
    <x v="3"/>
    <x v="9"/>
    <x v="3"/>
    <x v="1"/>
    <x v="14"/>
  </r>
  <r>
    <x v="1"/>
    <n v="17"/>
    <x v="2"/>
    <x v="0"/>
    <x v="2"/>
    <x v="5"/>
    <n v="0"/>
    <n v="4"/>
    <d v="1899-12-30T00:04:48"/>
    <x v="3"/>
    <x v="9"/>
    <x v="0"/>
    <x v="0"/>
    <x v="12"/>
  </r>
  <r>
    <x v="1"/>
    <n v="11"/>
    <x v="4"/>
    <x v="4"/>
    <x v="0"/>
    <x v="5"/>
    <n v="0"/>
    <n v="2"/>
    <d v="1899-12-30T00:04:48"/>
    <x v="3"/>
    <x v="9"/>
    <x v="6"/>
    <x v="0"/>
    <x v="9"/>
  </r>
  <r>
    <x v="1"/>
    <n v="12"/>
    <x v="9"/>
    <x v="0"/>
    <x v="2"/>
    <x v="5"/>
    <n v="0"/>
    <n v="2"/>
    <d v="1899-12-30T00:04:48"/>
    <x v="3"/>
    <x v="9"/>
    <x v="0"/>
    <x v="2"/>
    <x v="3"/>
  </r>
  <r>
    <x v="0"/>
    <n v="18"/>
    <x v="6"/>
    <x v="1"/>
    <x v="2"/>
    <x v="4"/>
    <n v="20000000"/>
    <n v="1"/>
    <d v="1899-12-30T00:05:12"/>
    <x v="0"/>
    <x v="8"/>
    <x v="7"/>
    <x v="2"/>
    <x v="3"/>
  </r>
  <r>
    <x v="0"/>
    <n v="11"/>
    <x v="3"/>
    <x v="0"/>
    <x v="1"/>
    <x v="2"/>
    <n v="38000000"/>
    <n v="2"/>
    <d v="1899-12-30T00:05:12"/>
    <x v="1"/>
    <x v="1"/>
    <x v="5"/>
    <x v="3"/>
    <x v="13"/>
  </r>
  <r>
    <x v="0"/>
    <n v="23"/>
    <x v="3"/>
    <x v="0"/>
    <x v="0"/>
    <x v="0"/>
    <n v="19000000"/>
    <n v="2"/>
    <d v="1899-12-30T00:05:12"/>
    <x v="1"/>
    <x v="7"/>
    <x v="0"/>
    <x v="0"/>
    <x v="5"/>
  </r>
  <r>
    <x v="0"/>
    <n v="28"/>
    <x v="3"/>
    <x v="4"/>
    <x v="2"/>
    <x v="0"/>
    <n v="7000000"/>
    <n v="4"/>
    <d v="1899-12-30T00:05:12"/>
    <x v="0"/>
    <x v="4"/>
    <x v="5"/>
    <x v="0"/>
    <x v="9"/>
  </r>
  <r>
    <x v="0"/>
    <n v="30"/>
    <x v="3"/>
    <x v="0"/>
    <x v="1"/>
    <x v="1"/>
    <n v="12000000"/>
    <n v="1"/>
    <d v="1899-12-30T00:05:12"/>
    <x v="0"/>
    <x v="0"/>
    <x v="6"/>
    <x v="0"/>
    <x v="5"/>
  </r>
  <r>
    <x v="0"/>
    <n v="22"/>
    <x v="4"/>
    <x v="2"/>
    <x v="2"/>
    <x v="3"/>
    <n v="20000000"/>
    <n v="2"/>
    <d v="1899-12-30T00:05:12"/>
    <x v="2"/>
    <x v="0"/>
    <x v="2"/>
    <x v="1"/>
    <x v="2"/>
  </r>
  <r>
    <x v="0"/>
    <n v="1"/>
    <x v="4"/>
    <x v="2"/>
    <x v="0"/>
    <x v="4"/>
    <n v="25000000"/>
    <n v="2"/>
    <d v="1899-12-30T00:05:12"/>
    <x v="0"/>
    <x v="2"/>
    <x v="4"/>
    <x v="2"/>
    <x v="11"/>
  </r>
  <r>
    <x v="0"/>
    <n v="24"/>
    <x v="10"/>
    <x v="5"/>
    <x v="1"/>
    <x v="1"/>
    <n v="11000000"/>
    <n v="4"/>
    <d v="1899-12-30T00:05:12"/>
    <x v="0"/>
    <x v="7"/>
    <x v="3"/>
    <x v="0"/>
    <x v="7"/>
  </r>
  <r>
    <x v="0"/>
    <n v="18"/>
    <x v="6"/>
    <x v="1"/>
    <x v="2"/>
    <x v="4"/>
    <n v="20000000"/>
    <n v="1"/>
    <d v="1899-12-30T00:05:12"/>
    <x v="0"/>
    <x v="8"/>
    <x v="7"/>
    <x v="2"/>
    <x v="3"/>
  </r>
  <r>
    <x v="1"/>
    <n v="3"/>
    <x v="5"/>
    <x v="2"/>
    <x v="1"/>
    <x v="5"/>
    <n v="0"/>
    <n v="1"/>
    <d v="1899-12-30T00:05:12"/>
    <x v="3"/>
    <x v="9"/>
    <x v="1"/>
    <x v="0"/>
    <x v="7"/>
  </r>
  <r>
    <x v="1"/>
    <n v="22"/>
    <x v="2"/>
    <x v="3"/>
    <x v="4"/>
    <x v="5"/>
    <n v="0"/>
    <n v="6"/>
    <d v="1899-12-30T00:05:12"/>
    <x v="3"/>
    <x v="9"/>
    <x v="2"/>
    <x v="0"/>
    <x v="7"/>
  </r>
  <r>
    <x v="1"/>
    <n v="5"/>
    <x v="3"/>
    <x v="3"/>
    <x v="1"/>
    <x v="5"/>
    <n v="0"/>
    <n v="3"/>
    <d v="1899-12-30T00:05:12"/>
    <x v="3"/>
    <x v="9"/>
    <x v="2"/>
    <x v="1"/>
    <x v="15"/>
  </r>
  <r>
    <x v="1"/>
    <n v="20"/>
    <x v="4"/>
    <x v="2"/>
    <x v="3"/>
    <x v="5"/>
    <n v="0"/>
    <n v="3"/>
    <d v="1899-12-30T00:05:12"/>
    <x v="3"/>
    <x v="9"/>
    <x v="0"/>
    <x v="1"/>
    <x v="6"/>
  </r>
  <r>
    <x v="1"/>
    <n v="29"/>
    <x v="4"/>
    <x v="2"/>
    <x v="1"/>
    <x v="5"/>
    <n v="0"/>
    <n v="2"/>
    <d v="1899-12-30T00:05:12"/>
    <x v="3"/>
    <x v="9"/>
    <x v="6"/>
    <x v="3"/>
    <x v="13"/>
  </r>
  <r>
    <x v="1"/>
    <n v="3"/>
    <x v="5"/>
    <x v="2"/>
    <x v="1"/>
    <x v="5"/>
    <n v="0"/>
    <n v="1"/>
    <d v="1899-12-30T00:05:12"/>
    <x v="3"/>
    <x v="9"/>
    <x v="1"/>
    <x v="0"/>
    <x v="7"/>
  </r>
  <r>
    <x v="0"/>
    <n v="1"/>
    <x v="8"/>
    <x v="5"/>
    <x v="2"/>
    <x v="2"/>
    <n v="12000000"/>
    <n v="3"/>
    <d v="1899-12-30T00:05:14"/>
    <x v="0"/>
    <x v="0"/>
    <x v="3"/>
    <x v="1"/>
    <x v="1"/>
  </r>
  <r>
    <x v="0"/>
    <n v="17"/>
    <x v="1"/>
    <x v="5"/>
    <x v="2"/>
    <x v="2"/>
    <n v="12000000"/>
    <n v="4"/>
    <d v="1899-12-30T00:05:14"/>
    <x v="0"/>
    <x v="2"/>
    <x v="5"/>
    <x v="2"/>
    <x v="8"/>
  </r>
  <r>
    <x v="0"/>
    <n v="9"/>
    <x v="2"/>
    <x v="3"/>
    <x v="2"/>
    <x v="4"/>
    <n v="25000000"/>
    <n v="2"/>
    <d v="1899-12-30T00:05:14"/>
    <x v="0"/>
    <x v="3"/>
    <x v="3"/>
    <x v="0"/>
    <x v="10"/>
  </r>
  <r>
    <x v="0"/>
    <n v="29"/>
    <x v="2"/>
    <x v="0"/>
    <x v="3"/>
    <x v="0"/>
    <n v="7000000"/>
    <n v="4"/>
    <d v="1899-12-30T00:05:14"/>
    <x v="0"/>
    <x v="2"/>
    <x v="6"/>
    <x v="2"/>
    <x v="3"/>
  </r>
  <r>
    <x v="0"/>
    <n v="11"/>
    <x v="3"/>
    <x v="2"/>
    <x v="2"/>
    <x v="2"/>
    <n v="38000000"/>
    <n v="3"/>
    <d v="1899-12-30T00:05:14"/>
    <x v="1"/>
    <x v="4"/>
    <x v="5"/>
    <x v="0"/>
    <x v="5"/>
  </r>
  <r>
    <x v="0"/>
    <n v="17"/>
    <x v="3"/>
    <x v="1"/>
    <x v="0"/>
    <x v="0"/>
    <n v="19000000"/>
    <n v="2"/>
    <d v="1899-12-30T00:05:14"/>
    <x v="1"/>
    <x v="1"/>
    <x v="1"/>
    <x v="1"/>
    <x v="1"/>
  </r>
  <r>
    <x v="0"/>
    <n v="4"/>
    <x v="3"/>
    <x v="0"/>
    <x v="2"/>
    <x v="3"/>
    <n v="15000000"/>
    <n v="5"/>
    <d v="1899-12-30T00:05:14"/>
    <x v="0"/>
    <x v="2"/>
    <x v="4"/>
    <x v="0"/>
    <x v="12"/>
  </r>
  <r>
    <x v="0"/>
    <n v="1"/>
    <x v="3"/>
    <x v="3"/>
    <x v="0"/>
    <x v="1"/>
    <n v="15000000"/>
    <n v="5"/>
    <d v="1899-12-30T00:05:14"/>
    <x v="0"/>
    <x v="2"/>
    <x v="0"/>
    <x v="0"/>
    <x v="7"/>
  </r>
  <r>
    <x v="0"/>
    <n v="11"/>
    <x v="4"/>
    <x v="0"/>
    <x v="2"/>
    <x v="1"/>
    <n v="11000000"/>
    <n v="1"/>
    <d v="1899-12-30T00:05:14"/>
    <x v="0"/>
    <x v="0"/>
    <x v="3"/>
    <x v="1"/>
    <x v="1"/>
  </r>
  <r>
    <x v="0"/>
    <n v="4"/>
    <x v="4"/>
    <x v="0"/>
    <x v="1"/>
    <x v="2"/>
    <n v="12000000"/>
    <n v="1"/>
    <d v="1899-12-30T00:05:14"/>
    <x v="0"/>
    <x v="1"/>
    <x v="5"/>
    <x v="3"/>
    <x v="4"/>
  </r>
  <r>
    <x v="0"/>
    <n v="1"/>
    <x v="8"/>
    <x v="5"/>
    <x v="2"/>
    <x v="2"/>
    <n v="12000000"/>
    <n v="3"/>
    <d v="1899-12-30T00:05:14"/>
    <x v="0"/>
    <x v="0"/>
    <x v="3"/>
    <x v="1"/>
    <x v="1"/>
  </r>
  <r>
    <x v="0"/>
    <n v="17"/>
    <x v="1"/>
    <x v="5"/>
    <x v="2"/>
    <x v="2"/>
    <n v="12000000"/>
    <n v="4"/>
    <d v="1899-12-30T00:05:14"/>
    <x v="0"/>
    <x v="2"/>
    <x v="5"/>
    <x v="2"/>
    <x v="8"/>
  </r>
  <r>
    <x v="1"/>
    <n v="11"/>
    <x v="1"/>
    <x v="0"/>
    <x v="0"/>
    <x v="5"/>
    <n v="0"/>
    <n v="1"/>
    <d v="1899-12-30T00:05:14"/>
    <x v="3"/>
    <x v="9"/>
    <x v="0"/>
    <x v="1"/>
    <x v="14"/>
  </r>
  <r>
    <x v="1"/>
    <n v="12"/>
    <x v="1"/>
    <x v="4"/>
    <x v="2"/>
    <x v="5"/>
    <n v="0"/>
    <n v="1"/>
    <d v="1899-12-30T00:05:14"/>
    <x v="3"/>
    <x v="9"/>
    <x v="2"/>
    <x v="1"/>
    <x v="1"/>
  </r>
  <r>
    <x v="1"/>
    <n v="25"/>
    <x v="3"/>
    <x v="4"/>
    <x v="1"/>
    <x v="5"/>
    <n v="0"/>
    <n v="1"/>
    <d v="1899-12-30T00:05:14"/>
    <x v="3"/>
    <x v="9"/>
    <x v="7"/>
    <x v="0"/>
    <x v="5"/>
  </r>
  <r>
    <x v="0"/>
    <n v="8"/>
    <x v="5"/>
    <x v="2"/>
    <x v="0"/>
    <x v="1"/>
    <n v="15000000"/>
    <n v="5"/>
    <d v="1899-12-30T00:05:15"/>
    <x v="0"/>
    <x v="7"/>
    <x v="1"/>
    <x v="0"/>
    <x v="7"/>
  </r>
  <r>
    <x v="0"/>
    <n v="12"/>
    <x v="9"/>
    <x v="2"/>
    <x v="0"/>
    <x v="4"/>
    <n v="25000000"/>
    <n v="1"/>
    <d v="1899-12-30T00:05:15"/>
    <x v="0"/>
    <x v="8"/>
    <x v="5"/>
    <x v="1"/>
    <x v="6"/>
  </r>
  <r>
    <x v="0"/>
    <n v="30"/>
    <x v="2"/>
    <x v="2"/>
    <x v="2"/>
    <x v="3"/>
    <n v="20000000"/>
    <n v="3"/>
    <d v="1899-12-30T00:05:15"/>
    <x v="0"/>
    <x v="0"/>
    <x v="4"/>
    <x v="2"/>
    <x v="3"/>
  </r>
  <r>
    <x v="0"/>
    <n v="18"/>
    <x v="4"/>
    <x v="4"/>
    <x v="0"/>
    <x v="3"/>
    <n v="11000000"/>
    <n v="1"/>
    <d v="1899-12-30T00:05:15"/>
    <x v="2"/>
    <x v="4"/>
    <x v="6"/>
    <x v="1"/>
    <x v="6"/>
  </r>
  <r>
    <x v="0"/>
    <n v="3"/>
    <x v="4"/>
    <x v="1"/>
    <x v="2"/>
    <x v="2"/>
    <n v="12000000"/>
    <n v="4"/>
    <d v="1899-12-30T00:05:15"/>
    <x v="0"/>
    <x v="3"/>
    <x v="4"/>
    <x v="0"/>
    <x v="9"/>
  </r>
  <r>
    <x v="0"/>
    <n v="7"/>
    <x v="4"/>
    <x v="1"/>
    <x v="2"/>
    <x v="1"/>
    <n v="15000000"/>
    <n v="5"/>
    <d v="1899-12-30T00:05:15"/>
    <x v="0"/>
    <x v="7"/>
    <x v="3"/>
    <x v="1"/>
    <x v="2"/>
  </r>
  <r>
    <x v="0"/>
    <n v="19"/>
    <x v="4"/>
    <x v="4"/>
    <x v="1"/>
    <x v="1"/>
    <n v="15000000"/>
    <n v="3"/>
    <d v="1899-12-30T00:05:15"/>
    <x v="0"/>
    <x v="2"/>
    <x v="2"/>
    <x v="0"/>
    <x v="5"/>
  </r>
  <r>
    <x v="0"/>
    <n v="13"/>
    <x v="10"/>
    <x v="0"/>
    <x v="3"/>
    <x v="2"/>
    <n v="38000000"/>
    <n v="2"/>
    <d v="1899-12-30T00:05:15"/>
    <x v="1"/>
    <x v="4"/>
    <x v="0"/>
    <x v="3"/>
    <x v="13"/>
  </r>
  <r>
    <x v="0"/>
    <n v="14"/>
    <x v="10"/>
    <x v="1"/>
    <x v="0"/>
    <x v="2"/>
    <n v="12000000"/>
    <n v="2"/>
    <d v="1899-12-30T00:05:15"/>
    <x v="0"/>
    <x v="1"/>
    <x v="5"/>
    <x v="1"/>
    <x v="2"/>
  </r>
  <r>
    <x v="0"/>
    <n v="8"/>
    <x v="5"/>
    <x v="2"/>
    <x v="0"/>
    <x v="1"/>
    <n v="15000000"/>
    <n v="5"/>
    <d v="1899-12-30T00:05:15"/>
    <x v="0"/>
    <x v="7"/>
    <x v="1"/>
    <x v="0"/>
    <x v="7"/>
  </r>
  <r>
    <x v="0"/>
    <n v="12"/>
    <x v="9"/>
    <x v="2"/>
    <x v="0"/>
    <x v="4"/>
    <n v="25000000"/>
    <n v="1"/>
    <d v="1899-12-30T00:05:15"/>
    <x v="0"/>
    <x v="8"/>
    <x v="5"/>
    <x v="1"/>
    <x v="6"/>
  </r>
  <r>
    <x v="1"/>
    <n v="29"/>
    <x v="8"/>
    <x v="1"/>
    <x v="0"/>
    <x v="5"/>
    <n v="0"/>
    <n v="2"/>
    <d v="1899-12-30T00:05:15"/>
    <x v="3"/>
    <x v="9"/>
    <x v="3"/>
    <x v="2"/>
    <x v="8"/>
  </r>
  <r>
    <x v="1"/>
    <n v="5"/>
    <x v="3"/>
    <x v="2"/>
    <x v="0"/>
    <x v="5"/>
    <n v="0"/>
    <n v="5"/>
    <d v="1899-12-30T00:05:15"/>
    <x v="3"/>
    <x v="9"/>
    <x v="6"/>
    <x v="0"/>
    <x v="5"/>
  </r>
  <r>
    <x v="1"/>
    <n v="10"/>
    <x v="10"/>
    <x v="0"/>
    <x v="3"/>
    <x v="5"/>
    <n v="0"/>
    <n v="3"/>
    <d v="1899-12-30T00:05:15"/>
    <x v="3"/>
    <x v="9"/>
    <x v="1"/>
    <x v="0"/>
    <x v="0"/>
  </r>
  <r>
    <x v="1"/>
    <n v="5"/>
    <x v="10"/>
    <x v="1"/>
    <x v="2"/>
    <x v="5"/>
    <n v="0"/>
    <n v="5"/>
    <d v="1899-12-30T00:05:15"/>
    <x v="3"/>
    <x v="9"/>
    <x v="7"/>
    <x v="1"/>
    <x v="15"/>
  </r>
  <r>
    <x v="1"/>
    <n v="29"/>
    <x v="8"/>
    <x v="1"/>
    <x v="0"/>
    <x v="5"/>
    <n v="0"/>
    <n v="2"/>
    <d v="1899-12-30T00:05:15"/>
    <x v="3"/>
    <x v="9"/>
    <x v="3"/>
    <x v="2"/>
    <x v="8"/>
  </r>
  <r>
    <x v="0"/>
    <n v="18"/>
    <x v="9"/>
    <x v="0"/>
    <x v="0"/>
    <x v="4"/>
    <n v="25000000"/>
    <n v="5"/>
    <d v="1899-12-30T00:06:15"/>
    <x v="0"/>
    <x v="6"/>
    <x v="3"/>
    <x v="0"/>
    <x v="10"/>
  </r>
  <r>
    <x v="0"/>
    <n v="12"/>
    <x v="1"/>
    <x v="3"/>
    <x v="0"/>
    <x v="1"/>
    <n v="15000000"/>
    <n v="4"/>
    <d v="1899-12-30T00:06:15"/>
    <x v="0"/>
    <x v="5"/>
    <x v="1"/>
    <x v="2"/>
    <x v="3"/>
  </r>
  <r>
    <x v="0"/>
    <n v="30"/>
    <x v="2"/>
    <x v="5"/>
    <x v="2"/>
    <x v="3"/>
    <n v="20000000"/>
    <n v="5"/>
    <d v="1899-12-30T00:06:15"/>
    <x v="2"/>
    <x v="0"/>
    <x v="6"/>
    <x v="3"/>
    <x v="4"/>
  </r>
  <r>
    <x v="0"/>
    <n v="16"/>
    <x v="2"/>
    <x v="5"/>
    <x v="2"/>
    <x v="1"/>
    <n v="12000000"/>
    <n v="2"/>
    <d v="1899-12-30T00:06:15"/>
    <x v="0"/>
    <x v="2"/>
    <x v="4"/>
    <x v="3"/>
    <x v="4"/>
  </r>
  <r>
    <x v="0"/>
    <n v="28"/>
    <x v="2"/>
    <x v="3"/>
    <x v="0"/>
    <x v="2"/>
    <n v="12000000"/>
    <n v="2"/>
    <d v="1899-12-30T00:06:15"/>
    <x v="0"/>
    <x v="3"/>
    <x v="3"/>
    <x v="0"/>
    <x v="7"/>
  </r>
  <r>
    <x v="0"/>
    <n v="7"/>
    <x v="3"/>
    <x v="0"/>
    <x v="0"/>
    <x v="2"/>
    <n v="10000000"/>
    <n v="1"/>
    <d v="1899-12-30T00:06:15"/>
    <x v="0"/>
    <x v="0"/>
    <x v="2"/>
    <x v="2"/>
    <x v="8"/>
  </r>
  <r>
    <x v="0"/>
    <n v="9"/>
    <x v="3"/>
    <x v="0"/>
    <x v="0"/>
    <x v="0"/>
    <n v="7000000"/>
    <n v="4"/>
    <d v="1899-12-30T00:06:15"/>
    <x v="0"/>
    <x v="2"/>
    <x v="4"/>
    <x v="1"/>
    <x v="2"/>
  </r>
  <r>
    <x v="0"/>
    <n v="18"/>
    <x v="3"/>
    <x v="3"/>
    <x v="2"/>
    <x v="1"/>
    <n v="15000000"/>
    <n v="1"/>
    <d v="1899-12-30T00:06:15"/>
    <x v="0"/>
    <x v="7"/>
    <x v="5"/>
    <x v="1"/>
    <x v="2"/>
  </r>
  <r>
    <x v="0"/>
    <n v="4"/>
    <x v="4"/>
    <x v="0"/>
    <x v="2"/>
    <x v="2"/>
    <n v="38000000"/>
    <n v="5"/>
    <d v="1899-12-30T00:06:15"/>
    <x v="1"/>
    <x v="2"/>
    <x v="0"/>
    <x v="1"/>
    <x v="2"/>
  </r>
  <r>
    <x v="0"/>
    <n v="23"/>
    <x v="4"/>
    <x v="0"/>
    <x v="2"/>
    <x v="2"/>
    <n v="12000000"/>
    <n v="2"/>
    <d v="1899-12-30T00:06:15"/>
    <x v="0"/>
    <x v="4"/>
    <x v="5"/>
    <x v="1"/>
    <x v="15"/>
  </r>
  <r>
    <x v="0"/>
    <n v="31"/>
    <x v="10"/>
    <x v="2"/>
    <x v="1"/>
    <x v="0"/>
    <n v="19000000"/>
    <n v="3"/>
    <d v="1899-12-30T00:06:15"/>
    <x v="1"/>
    <x v="1"/>
    <x v="2"/>
    <x v="0"/>
    <x v="7"/>
  </r>
  <r>
    <x v="0"/>
    <n v="18"/>
    <x v="9"/>
    <x v="0"/>
    <x v="0"/>
    <x v="4"/>
    <n v="25000000"/>
    <n v="5"/>
    <d v="1899-12-30T00:06:15"/>
    <x v="0"/>
    <x v="6"/>
    <x v="3"/>
    <x v="0"/>
    <x v="10"/>
  </r>
  <r>
    <x v="1"/>
    <n v="15"/>
    <x v="2"/>
    <x v="2"/>
    <x v="2"/>
    <x v="5"/>
    <n v="0"/>
    <n v="1"/>
    <d v="1899-12-30T00:06:15"/>
    <x v="3"/>
    <x v="9"/>
    <x v="5"/>
    <x v="0"/>
    <x v="7"/>
  </r>
  <r>
    <x v="1"/>
    <n v="15"/>
    <x v="10"/>
    <x v="1"/>
    <x v="2"/>
    <x v="5"/>
    <n v="0"/>
    <n v="1"/>
    <d v="1899-12-30T00:06:15"/>
    <x v="3"/>
    <x v="9"/>
    <x v="7"/>
    <x v="0"/>
    <x v="5"/>
  </r>
  <r>
    <x v="0"/>
    <n v="1"/>
    <x v="8"/>
    <x v="0"/>
    <x v="2"/>
    <x v="4"/>
    <n v="25000000"/>
    <n v="1"/>
    <d v="1899-12-30T00:06:18"/>
    <x v="0"/>
    <x v="0"/>
    <x v="7"/>
    <x v="0"/>
    <x v="9"/>
  </r>
  <r>
    <x v="0"/>
    <n v="7"/>
    <x v="11"/>
    <x v="3"/>
    <x v="2"/>
    <x v="0"/>
    <n v="19000000"/>
    <n v="6"/>
    <d v="1899-12-30T00:06:18"/>
    <x v="1"/>
    <x v="2"/>
    <x v="0"/>
    <x v="0"/>
    <x v="0"/>
  </r>
  <r>
    <x v="0"/>
    <n v="27"/>
    <x v="2"/>
    <x v="2"/>
    <x v="1"/>
    <x v="2"/>
    <n v="38000000"/>
    <n v="3"/>
    <d v="1899-12-30T00:06:18"/>
    <x v="1"/>
    <x v="7"/>
    <x v="3"/>
    <x v="1"/>
    <x v="2"/>
  </r>
  <r>
    <x v="0"/>
    <n v="12"/>
    <x v="2"/>
    <x v="0"/>
    <x v="1"/>
    <x v="0"/>
    <n v="7000000"/>
    <n v="1"/>
    <d v="1899-12-30T00:06:18"/>
    <x v="0"/>
    <x v="7"/>
    <x v="7"/>
    <x v="1"/>
    <x v="15"/>
  </r>
  <r>
    <x v="0"/>
    <n v="11"/>
    <x v="3"/>
    <x v="0"/>
    <x v="1"/>
    <x v="2"/>
    <n v="12000000"/>
    <n v="3"/>
    <d v="1899-12-30T00:06:18"/>
    <x v="0"/>
    <x v="6"/>
    <x v="3"/>
    <x v="3"/>
    <x v="4"/>
  </r>
  <r>
    <x v="0"/>
    <n v="29"/>
    <x v="3"/>
    <x v="0"/>
    <x v="2"/>
    <x v="1"/>
    <n v="12000000"/>
    <n v="5"/>
    <d v="1899-12-30T00:06:18"/>
    <x v="0"/>
    <x v="8"/>
    <x v="3"/>
    <x v="3"/>
    <x v="4"/>
  </r>
  <r>
    <x v="0"/>
    <n v="31"/>
    <x v="3"/>
    <x v="3"/>
    <x v="2"/>
    <x v="1"/>
    <n v="15000000"/>
    <n v="1"/>
    <d v="1899-12-30T00:06:18"/>
    <x v="0"/>
    <x v="3"/>
    <x v="7"/>
    <x v="1"/>
    <x v="2"/>
  </r>
  <r>
    <x v="0"/>
    <n v="22"/>
    <x v="4"/>
    <x v="2"/>
    <x v="1"/>
    <x v="2"/>
    <n v="12000000"/>
    <n v="6"/>
    <d v="1899-12-30T00:06:18"/>
    <x v="0"/>
    <x v="0"/>
    <x v="3"/>
    <x v="2"/>
    <x v="11"/>
  </r>
  <r>
    <x v="0"/>
    <n v="1"/>
    <x v="4"/>
    <x v="4"/>
    <x v="2"/>
    <x v="1"/>
    <n v="15000000"/>
    <n v="3"/>
    <d v="1899-12-30T00:06:18"/>
    <x v="0"/>
    <x v="2"/>
    <x v="5"/>
    <x v="1"/>
    <x v="6"/>
  </r>
  <r>
    <x v="0"/>
    <n v="25"/>
    <x v="10"/>
    <x v="2"/>
    <x v="1"/>
    <x v="3"/>
    <n v="20000000"/>
    <n v="4"/>
    <d v="1899-12-30T00:06:18"/>
    <x v="2"/>
    <x v="7"/>
    <x v="2"/>
    <x v="0"/>
    <x v="7"/>
  </r>
  <r>
    <x v="0"/>
    <n v="1"/>
    <x v="8"/>
    <x v="0"/>
    <x v="2"/>
    <x v="4"/>
    <n v="25000000"/>
    <n v="1"/>
    <d v="1899-12-30T00:06:18"/>
    <x v="0"/>
    <x v="0"/>
    <x v="7"/>
    <x v="0"/>
    <x v="9"/>
  </r>
  <r>
    <x v="0"/>
    <n v="7"/>
    <x v="11"/>
    <x v="3"/>
    <x v="2"/>
    <x v="0"/>
    <n v="19000000"/>
    <n v="6"/>
    <d v="1899-12-30T00:06:18"/>
    <x v="1"/>
    <x v="2"/>
    <x v="0"/>
    <x v="0"/>
    <x v="0"/>
  </r>
  <r>
    <x v="1"/>
    <n v="7"/>
    <x v="3"/>
    <x v="2"/>
    <x v="1"/>
    <x v="5"/>
    <n v="0"/>
    <n v="1"/>
    <d v="1899-12-30T00:06:18"/>
    <x v="3"/>
    <x v="9"/>
    <x v="2"/>
    <x v="0"/>
    <x v="10"/>
  </r>
  <r>
    <x v="1"/>
    <n v="16"/>
    <x v="4"/>
    <x v="0"/>
    <x v="0"/>
    <x v="5"/>
    <n v="0"/>
    <n v="1"/>
    <d v="1899-12-30T00:06:18"/>
    <x v="3"/>
    <x v="9"/>
    <x v="6"/>
    <x v="2"/>
    <x v="8"/>
  </r>
  <r>
    <x v="1"/>
    <n v="11"/>
    <x v="10"/>
    <x v="2"/>
    <x v="1"/>
    <x v="5"/>
    <n v="0"/>
    <n v="2"/>
    <d v="1899-12-30T00:06:18"/>
    <x v="3"/>
    <x v="9"/>
    <x v="4"/>
    <x v="1"/>
    <x v="1"/>
  </r>
  <r>
    <x v="0"/>
    <n v="17"/>
    <x v="6"/>
    <x v="3"/>
    <x v="2"/>
    <x v="3"/>
    <n v="15000000"/>
    <n v="2"/>
    <d v="1899-12-30T00:06:20"/>
    <x v="0"/>
    <x v="8"/>
    <x v="2"/>
    <x v="2"/>
    <x v="11"/>
  </r>
  <r>
    <x v="0"/>
    <n v="27"/>
    <x v="3"/>
    <x v="2"/>
    <x v="2"/>
    <x v="0"/>
    <n v="19000000"/>
    <n v="2"/>
    <d v="1899-12-30T00:06:20"/>
    <x v="1"/>
    <x v="0"/>
    <x v="3"/>
    <x v="1"/>
    <x v="1"/>
  </r>
  <r>
    <x v="0"/>
    <n v="22"/>
    <x v="3"/>
    <x v="0"/>
    <x v="1"/>
    <x v="2"/>
    <n v="38000000"/>
    <n v="1"/>
    <d v="1899-12-30T00:06:20"/>
    <x v="1"/>
    <x v="7"/>
    <x v="7"/>
    <x v="3"/>
    <x v="13"/>
  </r>
  <r>
    <x v="0"/>
    <n v="31"/>
    <x v="3"/>
    <x v="2"/>
    <x v="1"/>
    <x v="3"/>
    <n v="20000000"/>
    <n v="1"/>
    <d v="1899-12-30T00:06:20"/>
    <x v="2"/>
    <x v="6"/>
    <x v="5"/>
    <x v="0"/>
    <x v="9"/>
  </r>
  <r>
    <x v="0"/>
    <n v="10"/>
    <x v="3"/>
    <x v="0"/>
    <x v="1"/>
    <x v="4"/>
    <n v="25000000"/>
    <n v="3"/>
    <d v="1899-12-30T00:06:20"/>
    <x v="0"/>
    <x v="2"/>
    <x v="2"/>
    <x v="1"/>
    <x v="1"/>
  </r>
  <r>
    <x v="0"/>
    <n v="29"/>
    <x v="3"/>
    <x v="0"/>
    <x v="1"/>
    <x v="2"/>
    <n v="10000000"/>
    <n v="1"/>
    <d v="1899-12-30T00:06:20"/>
    <x v="0"/>
    <x v="2"/>
    <x v="7"/>
    <x v="1"/>
    <x v="1"/>
  </r>
  <r>
    <x v="0"/>
    <n v="22"/>
    <x v="4"/>
    <x v="2"/>
    <x v="1"/>
    <x v="1"/>
    <n v="15000000"/>
    <n v="5"/>
    <d v="1899-12-30T00:06:20"/>
    <x v="0"/>
    <x v="0"/>
    <x v="6"/>
    <x v="0"/>
    <x v="0"/>
  </r>
  <r>
    <x v="0"/>
    <n v="17"/>
    <x v="10"/>
    <x v="5"/>
    <x v="3"/>
    <x v="1"/>
    <n v="12000000"/>
    <n v="1"/>
    <d v="1899-12-30T00:06:20"/>
    <x v="0"/>
    <x v="7"/>
    <x v="6"/>
    <x v="0"/>
    <x v="10"/>
  </r>
  <r>
    <x v="0"/>
    <n v="17"/>
    <x v="6"/>
    <x v="3"/>
    <x v="2"/>
    <x v="3"/>
    <n v="15000000"/>
    <n v="2"/>
    <d v="1899-12-30T00:06:20"/>
    <x v="0"/>
    <x v="8"/>
    <x v="2"/>
    <x v="2"/>
    <x v="11"/>
  </r>
  <r>
    <x v="1"/>
    <n v="13"/>
    <x v="2"/>
    <x v="2"/>
    <x v="1"/>
    <x v="5"/>
    <n v="0"/>
    <n v="1"/>
    <d v="1899-12-30T00:06:20"/>
    <x v="3"/>
    <x v="9"/>
    <x v="0"/>
    <x v="3"/>
    <x v="4"/>
  </r>
  <r>
    <x v="1"/>
    <n v="5"/>
    <x v="3"/>
    <x v="4"/>
    <x v="2"/>
    <x v="5"/>
    <n v="0"/>
    <n v="5"/>
    <d v="1899-12-30T00:06:20"/>
    <x v="3"/>
    <x v="9"/>
    <x v="4"/>
    <x v="1"/>
    <x v="1"/>
  </r>
  <r>
    <x v="1"/>
    <n v="19"/>
    <x v="4"/>
    <x v="2"/>
    <x v="0"/>
    <x v="5"/>
    <n v="0"/>
    <n v="2"/>
    <d v="1899-12-30T00:06:20"/>
    <x v="3"/>
    <x v="9"/>
    <x v="2"/>
    <x v="1"/>
    <x v="1"/>
  </r>
  <r>
    <x v="1"/>
    <n v="28"/>
    <x v="4"/>
    <x v="2"/>
    <x v="1"/>
    <x v="5"/>
    <n v="0"/>
    <n v="4"/>
    <d v="1899-12-30T00:06:20"/>
    <x v="3"/>
    <x v="9"/>
    <x v="5"/>
    <x v="3"/>
    <x v="4"/>
  </r>
  <r>
    <x v="1"/>
    <n v="10"/>
    <x v="10"/>
    <x v="4"/>
    <x v="2"/>
    <x v="5"/>
    <n v="0"/>
    <n v="5"/>
    <d v="1899-12-30T00:06:20"/>
    <x v="3"/>
    <x v="9"/>
    <x v="6"/>
    <x v="0"/>
    <x v="9"/>
  </r>
  <r>
    <x v="0"/>
    <n v="1"/>
    <x v="0"/>
    <x v="3"/>
    <x v="4"/>
    <x v="2"/>
    <n v="12000000"/>
    <n v="1"/>
    <d v="1899-12-30T00:06:30"/>
    <x v="0"/>
    <x v="5"/>
    <x v="1"/>
    <x v="3"/>
    <x v="4"/>
  </r>
  <r>
    <x v="0"/>
    <n v="1"/>
    <x v="0"/>
    <x v="1"/>
    <x v="1"/>
    <x v="2"/>
    <n v="12000000"/>
    <n v="1"/>
    <d v="1899-12-30T00:06:30"/>
    <x v="0"/>
    <x v="4"/>
    <x v="6"/>
    <x v="1"/>
    <x v="1"/>
  </r>
  <r>
    <x v="0"/>
    <n v="1"/>
    <x v="0"/>
    <x v="2"/>
    <x v="2"/>
    <x v="4"/>
    <n v="25000000"/>
    <n v="2"/>
    <d v="1899-12-30T00:06:30"/>
    <x v="0"/>
    <x v="5"/>
    <x v="6"/>
    <x v="0"/>
    <x v="7"/>
  </r>
  <r>
    <x v="0"/>
    <n v="12"/>
    <x v="9"/>
    <x v="5"/>
    <x v="2"/>
    <x v="3"/>
    <n v="11000000"/>
    <n v="1"/>
    <d v="1899-12-30T00:06:30"/>
    <x v="2"/>
    <x v="1"/>
    <x v="2"/>
    <x v="1"/>
    <x v="1"/>
  </r>
  <r>
    <x v="0"/>
    <n v="27"/>
    <x v="1"/>
    <x v="3"/>
    <x v="1"/>
    <x v="1"/>
    <n v="15000000"/>
    <n v="4"/>
    <d v="1899-12-30T00:06:30"/>
    <x v="0"/>
    <x v="4"/>
    <x v="5"/>
    <x v="0"/>
    <x v="10"/>
  </r>
  <r>
    <x v="0"/>
    <n v="16"/>
    <x v="1"/>
    <x v="5"/>
    <x v="1"/>
    <x v="4"/>
    <n v="20000000"/>
    <n v="3"/>
    <d v="1899-12-30T00:06:30"/>
    <x v="0"/>
    <x v="6"/>
    <x v="7"/>
    <x v="0"/>
    <x v="5"/>
  </r>
  <r>
    <x v="0"/>
    <n v="24"/>
    <x v="2"/>
    <x v="0"/>
    <x v="0"/>
    <x v="1"/>
    <n v="15000000"/>
    <n v="5"/>
    <d v="1899-12-30T00:06:30"/>
    <x v="0"/>
    <x v="0"/>
    <x v="2"/>
    <x v="1"/>
    <x v="6"/>
  </r>
  <r>
    <x v="0"/>
    <n v="30"/>
    <x v="2"/>
    <x v="4"/>
    <x v="2"/>
    <x v="2"/>
    <n v="12000000"/>
    <n v="4"/>
    <d v="1899-12-30T00:06:30"/>
    <x v="0"/>
    <x v="2"/>
    <x v="2"/>
    <x v="0"/>
    <x v="5"/>
  </r>
  <r>
    <x v="0"/>
    <n v="11"/>
    <x v="2"/>
    <x v="0"/>
    <x v="1"/>
    <x v="4"/>
    <n v="21000000"/>
    <n v="1"/>
    <d v="1899-12-30T00:06:30"/>
    <x v="0"/>
    <x v="2"/>
    <x v="7"/>
    <x v="2"/>
    <x v="11"/>
  </r>
  <r>
    <x v="0"/>
    <n v="8"/>
    <x v="3"/>
    <x v="1"/>
    <x v="1"/>
    <x v="0"/>
    <n v="19000000"/>
    <n v="3"/>
    <d v="1899-12-30T00:06:30"/>
    <x v="1"/>
    <x v="2"/>
    <x v="3"/>
    <x v="1"/>
    <x v="2"/>
  </r>
  <r>
    <x v="0"/>
    <n v="26"/>
    <x v="3"/>
    <x v="0"/>
    <x v="0"/>
    <x v="2"/>
    <n v="38000000"/>
    <n v="4"/>
    <d v="1899-12-30T00:06:30"/>
    <x v="1"/>
    <x v="0"/>
    <x v="3"/>
    <x v="3"/>
    <x v="13"/>
  </r>
  <r>
    <x v="0"/>
    <n v="10"/>
    <x v="3"/>
    <x v="0"/>
    <x v="1"/>
    <x v="3"/>
    <n v="11000000"/>
    <n v="5"/>
    <d v="1899-12-30T00:06:30"/>
    <x v="2"/>
    <x v="3"/>
    <x v="5"/>
    <x v="3"/>
    <x v="4"/>
  </r>
  <r>
    <x v="0"/>
    <n v="31"/>
    <x v="3"/>
    <x v="3"/>
    <x v="2"/>
    <x v="4"/>
    <n v="21000000"/>
    <n v="5"/>
    <d v="1899-12-30T00:06:30"/>
    <x v="0"/>
    <x v="4"/>
    <x v="0"/>
    <x v="1"/>
    <x v="1"/>
  </r>
  <r>
    <x v="0"/>
    <n v="11"/>
    <x v="3"/>
    <x v="2"/>
    <x v="0"/>
    <x v="4"/>
    <n v="25000000"/>
    <n v="2"/>
    <d v="1899-12-30T00:06:30"/>
    <x v="0"/>
    <x v="4"/>
    <x v="3"/>
    <x v="0"/>
    <x v="7"/>
  </r>
  <r>
    <x v="0"/>
    <n v="5"/>
    <x v="3"/>
    <x v="1"/>
    <x v="1"/>
    <x v="3"/>
    <n v="20000000"/>
    <n v="4"/>
    <d v="1899-12-30T00:06:30"/>
    <x v="0"/>
    <x v="8"/>
    <x v="0"/>
    <x v="0"/>
    <x v="10"/>
  </r>
  <r>
    <x v="0"/>
    <n v="28"/>
    <x v="3"/>
    <x v="4"/>
    <x v="0"/>
    <x v="0"/>
    <n v="7000000"/>
    <n v="5"/>
    <d v="1899-12-30T00:06:30"/>
    <x v="0"/>
    <x v="0"/>
    <x v="5"/>
    <x v="2"/>
    <x v="8"/>
  </r>
  <r>
    <x v="0"/>
    <n v="4"/>
    <x v="4"/>
    <x v="1"/>
    <x v="1"/>
    <x v="2"/>
    <n v="38000000"/>
    <n v="4"/>
    <d v="1899-12-30T00:06:30"/>
    <x v="1"/>
    <x v="8"/>
    <x v="0"/>
    <x v="1"/>
    <x v="2"/>
  </r>
  <r>
    <x v="0"/>
    <n v="15"/>
    <x v="4"/>
    <x v="1"/>
    <x v="3"/>
    <x v="0"/>
    <n v="19000000"/>
    <n v="7"/>
    <d v="1899-12-30T00:06:30"/>
    <x v="1"/>
    <x v="5"/>
    <x v="7"/>
    <x v="2"/>
    <x v="8"/>
  </r>
  <r>
    <x v="0"/>
    <n v="22"/>
    <x v="4"/>
    <x v="4"/>
    <x v="2"/>
    <x v="3"/>
    <n v="20000000"/>
    <n v="3"/>
    <d v="1899-12-30T00:06:30"/>
    <x v="2"/>
    <x v="7"/>
    <x v="6"/>
    <x v="1"/>
    <x v="6"/>
  </r>
  <r>
    <x v="0"/>
    <n v="3"/>
    <x v="4"/>
    <x v="1"/>
    <x v="2"/>
    <x v="2"/>
    <n v="12000000"/>
    <n v="2"/>
    <d v="1899-12-30T00:06:30"/>
    <x v="0"/>
    <x v="0"/>
    <x v="1"/>
    <x v="0"/>
    <x v="10"/>
  </r>
  <r>
    <x v="0"/>
    <n v="15"/>
    <x v="4"/>
    <x v="0"/>
    <x v="1"/>
    <x v="2"/>
    <n v="12000000"/>
    <n v="3"/>
    <d v="1899-12-30T00:06:30"/>
    <x v="0"/>
    <x v="3"/>
    <x v="2"/>
    <x v="0"/>
    <x v="7"/>
  </r>
  <r>
    <x v="0"/>
    <n v="3"/>
    <x v="4"/>
    <x v="0"/>
    <x v="0"/>
    <x v="2"/>
    <n v="12000000"/>
    <n v="3"/>
    <d v="1899-12-30T00:06:30"/>
    <x v="0"/>
    <x v="2"/>
    <x v="3"/>
    <x v="1"/>
    <x v="2"/>
  </r>
  <r>
    <x v="0"/>
    <n v="11"/>
    <x v="4"/>
    <x v="4"/>
    <x v="3"/>
    <x v="1"/>
    <n v="15000000"/>
    <n v="3"/>
    <d v="1899-12-30T00:06:30"/>
    <x v="0"/>
    <x v="8"/>
    <x v="3"/>
    <x v="2"/>
    <x v="8"/>
  </r>
  <r>
    <x v="0"/>
    <n v="22"/>
    <x v="4"/>
    <x v="5"/>
    <x v="2"/>
    <x v="1"/>
    <n v="15000000"/>
    <n v="4"/>
    <d v="1899-12-30T00:06:30"/>
    <x v="0"/>
    <x v="0"/>
    <x v="3"/>
    <x v="0"/>
    <x v="9"/>
  </r>
  <r>
    <x v="0"/>
    <n v="20"/>
    <x v="4"/>
    <x v="0"/>
    <x v="2"/>
    <x v="1"/>
    <n v="15000000"/>
    <n v="6"/>
    <d v="1899-12-30T00:06:30"/>
    <x v="0"/>
    <x v="3"/>
    <x v="0"/>
    <x v="3"/>
    <x v="13"/>
  </r>
  <r>
    <x v="0"/>
    <n v="30"/>
    <x v="4"/>
    <x v="5"/>
    <x v="2"/>
    <x v="0"/>
    <n v="7000000"/>
    <n v="3"/>
    <d v="1899-12-30T00:06:30"/>
    <x v="0"/>
    <x v="0"/>
    <x v="6"/>
    <x v="1"/>
    <x v="2"/>
  </r>
  <r>
    <x v="0"/>
    <n v="2"/>
    <x v="10"/>
    <x v="1"/>
    <x v="2"/>
    <x v="1"/>
    <n v="12000000"/>
    <n v="3"/>
    <d v="1899-12-30T00:06:30"/>
    <x v="0"/>
    <x v="4"/>
    <x v="2"/>
    <x v="1"/>
    <x v="2"/>
  </r>
  <r>
    <x v="0"/>
    <n v="17"/>
    <x v="10"/>
    <x v="0"/>
    <x v="2"/>
    <x v="1"/>
    <n v="11000000"/>
    <n v="4"/>
    <d v="1899-12-30T00:06:30"/>
    <x v="0"/>
    <x v="5"/>
    <x v="5"/>
    <x v="0"/>
    <x v="5"/>
  </r>
  <r>
    <x v="0"/>
    <n v="24"/>
    <x v="10"/>
    <x v="2"/>
    <x v="0"/>
    <x v="4"/>
    <n v="25000000"/>
    <n v="6"/>
    <d v="1899-12-30T00:06:30"/>
    <x v="0"/>
    <x v="3"/>
    <x v="7"/>
    <x v="0"/>
    <x v="9"/>
  </r>
  <r>
    <x v="0"/>
    <n v="28"/>
    <x v="10"/>
    <x v="5"/>
    <x v="2"/>
    <x v="3"/>
    <n v="20000000"/>
    <n v="2"/>
    <d v="1899-12-30T00:06:30"/>
    <x v="0"/>
    <x v="4"/>
    <x v="7"/>
    <x v="1"/>
    <x v="2"/>
  </r>
  <r>
    <x v="0"/>
    <n v="1"/>
    <x v="0"/>
    <x v="3"/>
    <x v="4"/>
    <x v="2"/>
    <n v="12000000"/>
    <n v="1"/>
    <d v="1899-12-30T00:06:30"/>
    <x v="0"/>
    <x v="5"/>
    <x v="1"/>
    <x v="3"/>
    <x v="4"/>
  </r>
  <r>
    <x v="0"/>
    <n v="1"/>
    <x v="0"/>
    <x v="1"/>
    <x v="1"/>
    <x v="2"/>
    <n v="12000000"/>
    <n v="1"/>
    <d v="1899-12-30T00:06:30"/>
    <x v="0"/>
    <x v="4"/>
    <x v="6"/>
    <x v="1"/>
    <x v="1"/>
  </r>
  <r>
    <x v="0"/>
    <n v="1"/>
    <x v="0"/>
    <x v="2"/>
    <x v="2"/>
    <x v="4"/>
    <n v="25000000"/>
    <n v="2"/>
    <d v="1899-12-30T00:06:30"/>
    <x v="0"/>
    <x v="5"/>
    <x v="6"/>
    <x v="0"/>
    <x v="7"/>
  </r>
  <r>
    <x v="0"/>
    <n v="12"/>
    <x v="9"/>
    <x v="5"/>
    <x v="2"/>
    <x v="3"/>
    <n v="11000000"/>
    <n v="1"/>
    <d v="1899-12-30T00:06:30"/>
    <x v="2"/>
    <x v="1"/>
    <x v="2"/>
    <x v="1"/>
    <x v="1"/>
  </r>
  <r>
    <x v="1"/>
    <n v="19"/>
    <x v="7"/>
    <x v="0"/>
    <x v="1"/>
    <x v="5"/>
    <n v="0"/>
    <n v="3"/>
    <d v="1899-12-30T00:06:30"/>
    <x v="3"/>
    <x v="9"/>
    <x v="1"/>
    <x v="3"/>
    <x v="4"/>
  </r>
  <r>
    <x v="1"/>
    <n v="3"/>
    <x v="11"/>
    <x v="0"/>
    <x v="1"/>
    <x v="5"/>
    <n v="0"/>
    <n v="1"/>
    <d v="1899-12-30T00:06:30"/>
    <x v="3"/>
    <x v="9"/>
    <x v="6"/>
    <x v="1"/>
    <x v="2"/>
  </r>
  <r>
    <x v="1"/>
    <n v="23"/>
    <x v="2"/>
    <x v="3"/>
    <x v="1"/>
    <x v="5"/>
    <n v="0"/>
    <n v="3"/>
    <d v="1899-12-30T00:06:30"/>
    <x v="3"/>
    <x v="9"/>
    <x v="7"/>
    <x v="0"/>
    <x v="5"/>
  </r>
  <r>
    <x v="1"/>
    <n v="5"/>
    <x v="3"/>
    <x v="0"/>
    <x v="0"/>
    <x v="5"/>
    <n v="0"/>
    <n v="1"/>
    <d v="1899-12-30T00:06:30"/>
    <x v="3"/>
    <x v="9"/>
    <x v="2"/>
    <x v="0"/>
    <x v="9"/>
  </r>
  <r>
    <x v="1"/>
    <n v="10"/>
    <x v="3"/>
    <x v="4"/>
    <x v="1"/>
    <x v="5"/>
    <n v="0"/>
    <n v="6"/>
    <d v="1899-12-30T00:06:30"/>
    <x v="3"/>
    <x v="9"/>
    <x v="5"/>
    <x v="2"/>
    <x v="11"/>
  </r>
  <r>
    <x v="1"/>
    <n v="24"/>
    <x v="3"/>
    <x v="4"/>
    <x v="2"/>
    <x v="5"/>
    <n v="0"/>
    <n v="3"/>
    <d v="1899-12-30T00:06:30"/>
    <x v="3"/>
    <x v="9"/>
    <x v="1"/>
    <x v="3"/>
    <x v="13"/>
  </r>
  <r>
    <x v="1"/>
    <n v="29"/>
    <x v="10"/>
    <x v="3"/>
    <x v="2"/>
    <x v="5"/>
    <n v="0"/>
    <n v="3"/>
    <d v="1899-12-30T00:06:30"/>
    <x v="3"/>
    <x v="9"/>
    <x v="5"/>
    <x v="1"/>
    <x v="1"/>
  </r>
  <r>
    <x v="1"/>
    <n v="30"/>
    <x v="10"/>
    <x v="1"/>
    <x v="4"/>
    <x v="5"/>
    <n v="0"/>
    <n v="1"/>
    <d v="1899-12-30T00:06:30"/>
    <x v="3"/>
    <x v="9"/>
    <x v="1"/>
    <x v="0"/>
    <x v="0"/>
  </r>
  <r>
    <x v="1"/>
    <n v="21"/>
    <x v="10"/>
    <x v="0"/>
    <x v="1"/>
    <x v="5"/>
    <n v="0"/>
    <n v="2"/>
    <d v="1899-12-30T00:06:30"/>
    <x v="3"/>
    <x v="9"/>
    <x v="6"/>
    <x v="1"/>
    <x v="1"/>
  </r>
  <r>
    <x v="1"/>
    <n v="19"/>
    <x v="7"/>
    <x v="0"/>
    <x v="1"/>
    <x v="5"/>
    <n v="0"/>
    <n v="3"/>
    <d v="1899-12-30T00:06:30"/>
    <x v="3"/>
    <x v="9"/>
    <x v="1"/>
    <x v="3"/>
    <x v="4"/>
  </r>
  <r>
    <x v="1"/>
    <n v="3"/>
    <x v="11"/>
    <x v="0"/>
    <x v="1"/>
    <x v="5"/>
    <n v="0"/>
    <n v="1"/>
    <d v="1899-12-30T00:06:30"/>
    <x v="3"/>
    <x v="9"/>
    <x v="6"/>
    <x v="1"/>
    <x v="2"/>
  </r>
  <r>
    <x v="0"/>
    <n v="19"/>
    <x v="6"/>
    <x v="1"/>
    <x v="3"/>
    <x v="2"/>
    <n v="12000000"/>
    <n v="3"/>
    <d v="1899-12-30T00:07:10"/>
    <x v="0"/>
    <x v="1"/>
    <x v="6"/>
    <x v="1"/>
    <x v="6"/>
  </r>
  <r>
    <x v="0"/>
    <n v="22"/>
    <x v="2"/>
    <x v="5"/>
    <x v="0"/>
    <x v="3"/>
    <n v="15000000"/>
    <n v="2"/>
    <d v="1899-12-30T00:07:10"/>
    <x v="0"/>
    <x v="3"/>
    <x v="5"/>
    <x v="2"/>
    <x v="8"/>
  </r>
  <r>
    <x v="0"/>
    <n v="25"/>
    <x v="3"/>
    <x v="0"/>
    <x v="2"/>
    <x v="0"/>
    <n v="19000000"/>
    <n v="4"/>
    <d v="1899-12-30T00:07:10"/>
    <x v="1"/>
    <x v="8"/>
    <x v="2"/>
    <x v="3"/>
    <x v="4"/>
  </r>
  <r>
    <x v="0"/>
    <n v="31"/>
    <x v="3"/>
    <x v="0"/>
    <x v="0"/>
    <x v="1"/>
    <n v="11000000"/>
    <n v="1"/>
    <d v="1899-12-30T00:07:10"/>
    <x v="0"/>
    <x v="4"/>
    <x v="3"/>
    <x v="1"/>
    <x v="1"/>
  </r>
  <r>
    <x v="0"/>
    <n v="29"/>
    <x v="3"/>
    <x v="4"/>
    <x v="1"/>
    <x v="2"/>
    <n v="12000000"/>
    <n v="3"/>
    <d v="1899-12-30T00:07:10"/>
    <x v="0"/>
    <x v="4"/>
    <x v="4"/>
    <x v="1"/>
    <x v="1"/>
  </r>
  <r>
    <x v="0"/>
    <n v="2"/>
    <x v="4"/>
    <x v="4"/>
    <x v="4"/>
    <x v="2"/>
    <n v="38000000"/>
    <n v="1"/>
    <d v="1899-12-30T00:07:10"/>
    <x v="1"/>
    <x v="0"/>
    <x v="2"/>
    <x v="2"/>
    <x v="8"/>
  </r>
  <r>
    <x v="0"/>
    <n v="22"/>
    <x v="4"/>
    <x v="5"/>
    <x v="1"/>
    <x v="4"/>
    <n v="25000000"/>
    <n v="3"/>
    <d v="1899-12-30T00:07:10"/>
    <x v="0"/>
    <x v="7"/>
    <x v="6"/>
    <x v="1"/>
    <x v="6"/>
  </r>
  <r>
    <x v="0"/>
    <n v="29"/>
    <x v="10"/>
    <x v="0"/>
    <x v="1"/>
    <x v="0"/>
    <n v="7000000"/>
    <n v="1"/>
    <d v="1899-12-30T00:07:10"/>
    <x v="0"/>
    <x v="3"/>
    <x v="2"/>
    <x v="0"/>
    <x v="9"/>
  </r>
  <r>
    <x v="0"/>
    <n v="19"/>
    <x v="6"/>
    <x v="1"/>
    <x v="3"/>
    <x v="2"/>
    <n v="12000000"/>
    <n v="3"/>
    <d v="1899-12-30T00:07:10"/>
    <x v="0"/>
    <x v="1"/>
    <x v="6"/>
    <x v="1"/>
    <x v="6"/>
  </r>
  <r>
    <x v="1"/>
    <n v="28"/>
    <x v="2"/>
    <x v="3"/>
    <x v="2"/>
    <x v="5"/>
    <n v="0"/>
    <n v="1"/>
    <d v="1899-12-30T00:07:10"/>
    <x v="3"/>
    <x v="9"/>
    <x v="7"/>
    <x v="0"/>
    <x v="12"/>
  </r>
  <r>
    <x v="1"/>
    <n v="5"/>
    <x v="3"/>
    <x v="3"/>
    <x v="2"/>
    <x v="5"/>
    <n v="0"/>
    <n v="2"/>
    <d v="1899-12-30T00:07:10"/>
    <x v="3"/>
    <x v="9"/>
    <x v="0"/>
    <x v="0"/>
    <x v="7"/>
  </r>
  <r>
    <x v="1"/>
    <n v="29"/>
    <x v="3"/>
    <x v="2"/>
    <x v="3"/>
    <x v="5"/>
    <n v="0"/>
    <n v="5"/>
    <d v="1899-12-30T00:07:10"/>
    <x v="3"/>
    <x v="9"/>
    <x v="1"/>
    <x v="3"/>
    <x v="4"/>
  </r>
  <r>
    <x v="1"/>
    <n v="30"/>
    <x v="4"/>
    <x v="2"/>
    <x v="2"/>
    <x v="5"/>
    <n v="0"/>
    <n v="1"/>
    <d v="1899-12-30T00:07:10"/>
    <x v="3"/>
    <x v="9"/>
    <x v="3"/>
    <x v="0"/>
    <x v="12"/>
  </r>
  <r>
    <x v="1"/>
    <n v="15"/>
    <x v="4"/>
    <x v="4"/>
    <x v="2"/>
    <x v="5"/>
    <n v="0"/>
    <n v="4"/>
    <d v="1899-12-30T00:07:10"/>
    <x v="3"/>
    <x v="9"/>
    <x v="7"/>
    <x v="0"/>
    <x v="12"/>
  </r>
  <r>
    <x v="0"/>
    <n v="14"/>
    <x v="5"/>
    <x v="2"/>
    <x v="0"/>
    <x v="4"/>
    <n v="20000000"/>
    <n v="6"/>
    <d v="1899-12-30T00:07:14"/>
    <x v="0"/>
    <x v="5"/>
    <x v="3"/>
    <x v="0"/>
    <x v="7"/>
  </r>
  <r>
    <x v="0"/>
    <n v="11"/>
    <x v="6"/>
    <x v="0"/>
    <x v="1"/>
    <x v="0"/>
    <n v="19000000"/>
    <n v="3"/>
    <d v="1899-12-30T00:07:14"/>
    <x v="1"/>
    <x v="4"/>
    <x v="6"/>
    <x v="1"/>
    <x v="1"/>
  </r>
  <r>
    <x v="0"/>
    <n v="13"/>
    <x v="8"/>
    <x v="2"/>
    <x v="2"/>
    <x v="2"/>
    <n v="12000000"/>
    <n v="1"/>
    <d v="1899-12-30T00:07:14"/>
    <x v="0"/>
    <x v="4"/>
    <x v="7"/>
    <x v="1"/>
    <x v="1"/>
  </r>
  <r>
    <x v="0"/>
    <n v="28"/>
    <x v="1"/>
    <x v="2"/>
    <x v="2"/>
    <x v="2"/>
    <n v="38000000"/>
    <n v="5"/>
    <d v="1899-12-30T00:07:14"/>
    <x v="1"/>
    <x v="7"/>
    <x v="7"/>
    <x v="0"/>
    <x v="5"/>
  </r>
  <r>
    <x v="0"/>
    <n v="30"/>
    <x v="2"/>
    <x v="2"/>
    <x v="0"/>
    <x v="0"/>
    <n v="7000000"/>
    <n v="1"/>
    <d v="1899-12-30T00:07:14"/>
    <x v="0"/>
    <x v="3"/>
    <x v="2"/>
    <x v="2"/>
    <x v="8"/>
  </r>
  <r>
    <x v="0"/>
    <n v="20"/>
    <x v="2"/>
    <x v="2"/>
    <x v="0"/>
    <x v="2"/>
    <n v="12000000"/>
    <n v="2"/>
    <d v="1899-12-30T00:07:14"/>
    <x v="0"/>
    <x v="0"/>
    <x v="5"/>
    <x v="0"/>
    <x v="5"/>
  </r>
  <r>
    <x v="0"/>
    <n v="22"/>
    <x v="3"/>
    <x v="0"/>
    <x v="0"/>
    <x v="2"/>
    <n v="12000000"/>
    <n v="2"/>
    <d v="1899-12-30T00:07:14"/>
    <x v="0"/>
    <x v="2"/>
    <x v="1"/>
    <x v="1"/>
    <x v="6"/>
  </r>
  <r>
    <x v="0"/>
    <n v="17"/>
    <x v="4"/>
    <x v="3"/>
    <x v="3"/>
    <x v="1"/>
    <n v="15000000"/>
    <n v="2"/>
    <d v="1899-12-30T00:07:14"/>
    <x v="0"/>
    <x v="1"/>
    <x v="1"/>
    <x v="0"/>
    <x v="12"/>
  </r>
  <r>
    <x v="0"/>
    <n v="20"/>
    <x v="4"/>
    <x v="3"/>
    <x v="2"/>
    <x v="1"/>
    <n v="11000000"/>
    <n v="2"/>
    <d v="1899-12-30T00:07:14"/>
    <x v="0"/>
    <x v="4"/>
    <x v="2"/>
    <x v="1"/>
    <x v="1"/>
  </r>
  <r>
    <x v="0"/>
    <n v="22"/>
    <x v="4"/>
    <x v="0"/>
    <x v="4"/>
    <x v="4"/>
    <n v="25000000"/>
    <n v="4"/>
    <d v="1899-12-30T00:07:14"/>
    <x v="0"/>
    <x v="1"/>
    <x v="0"/>
    <x v="1"/>
    <x v="6"/>
  </r>
  <r>
    <x v="0"/>
    <n v="3"/>
    <x v="4"/>
    <x v="2"/>
    <x v="0"/>
    <x v="3"/>
    <n v="15000000"/>
    <n v="3"/>
    <d v="1899-12-30T00:07:14"/>
    <x v="0"/>
    <x v="8"/>
    <x v="7"/>
    <x v="0"/>
    <x v="5"/>
  </r>
  <r>
    <x v="0"/>
    <n v="14"/>
    <x v="5"/>
    <x v="2"/>
    <x v="0"/>
    <x v="4"/>
    <n v="20000000"/>
    <n v="6"/>
    <d v="1899-12-30T00:07:14"/>
    <x v="0"/>
    <x v="5"/>
    <x v="3"/>
    <x v="0"/>
    <x v="7"/>
  </r>
  <r>
    <x v="0"/>
    <n v="11"/>
    <x v="6"/>
    <x v="0"/>
    <x v="1"/>
    <x v="0"/>
    <n v="19000000"/>
    <n v="3"/>
    <d v="1899-12-30T00:07:14"/>
    <x v="1"/>
    <x v="4"/>
    <x v="6"/>
    <x v="1"/>
    <x v="1"/>
  </r>
  <r>
    <x v="0"/>
    <n v="13"/>
    <x v="8"/>
    <x v="2"/>
    <x v="2"/>
    <x v="2"/>
    <n v="12000000"/>
    <n v="1"/>
    <d v="1899-12-30T00:07:14"/>
    <x v="0"/>
    <x v="4"/>
    <x v="7"/>
    <x v="1"/>
    <x v="1"/>
  </r>
  <r>
    <x v="0"/>
    <n v="28"/>
    <x v="1"/>
    <x v="2"/>
    <x v="2"/>
    <x v="2"/>
    <n v="38000000"/>
    <n v="5"/>
    <d v="1899-12-30T00:07:14"/>
    <x v="1"/>
    <x v="7"/>
    <x v="7"/>
    <x v="0"/>
    <x v="5"/>
  </r>
  <r>
    <x v="1"/>
    <n v="13"/>
    <x v="7"/>
    <x v="4"/>
    <x v="2"/>
    <x v="5"/>
    <n v="0"/>
    <n v="2"/>
    <d v="1899-12-30T00:07:14"/>
    <x v="3"/>
    <x v="9"/>
    <x v="6"/>
    <x v="2"/>
    <x v="11"/>
  </r>
  <r>
    <x v="1"/>
    <n v="11"/>
    <x v="4"/>
    <x v="2"/>
    <x v="1"/>
    <x v="5"/>
    <n v="0"/>
    <n v="2"/>
    <d v="1899-12-30T00:07:14"/>
    <x v="3"/>
    <x v="9"/>
    <x v="3"/>
    <x v="3"/>
    <x v="4"/>
  </r>
  <r>
    <x v="1"/>
    <n v="13"/>
    <x v="7"/>
    <x v="4"/>
    <x v="2"/>
    <x v="5"/>
    <n v="0"/>
    <n v="2"/>
    <d v="1899-12-30T00:07:14"/>
    <x v="3"/>
    <x v="9"/>
    <x v="6"/>
    <x v="2"/>
    <x v="11"/>
  </r>
  <r>
    <x v="0"/>
    <n v="11"/>
    <x v="5"/>
    <x v="0"/>
    <x v="2"/>
    <x v="2"/>
    <n v="38000000"/>
    <n v="4"/>
    <d v="1899-12-30T00:07:30"/>
    <x v="1"/>
    <x v="5"/>
    <x v="7"/>
    <x v="3"/>
    <x v="13"/>
  </r>
  <r>
    <x v="0"/>
    <n v="6"/>
    <x v="5"/>
    <x v="2"/>
    <x v="2"/>
    <x v="4"/>
    <n v="20000000"/>
    <n v="3"/>
    <d v="1899-12-30T00:07:30"/>
    <x v="0"/>
    <x v="2"/>
    <x v="1"/>
    <x v="1"/>
    <x v="1"/>
  </r>
  <r>
    <x v="0"/>
    <n v="1"/>
    <x v="0"/>
    <x v="0"/>
    <x v="3"/>
    <x v="2"/>
    <n v="12000000"/>
    <n v="1"/>
    <d v="1899-12-30T00:07:30"/>
    <x v="0"/>
    <x v="0"/>
    <x v="1"/>
    <x v="2"/>
    <x v="11"/>
  </r>
  <r>
    <x v="0"/>
    <n v="10"/>
    <x v="8"/>
    <x v="3"/>
    <x v="0"/>
    <x v="2"/>
    <n v="38000000"/>
    <n v="2"/>
    <d v="1899-12-30T00:07:30"/>
    <x v="4"/>
    <x v="5"/>
    <x v="5"/>
    <x v="1"/>
    <x v="6"/>
  </r>
  <r>
    <x v="0"/>
    <n v="1"/>
    <x v="8"/>
    <x v="5"/>
    <x v="2"/>
    <x v="1"/>
    <n v="15000000"/>
    <n v="1"/>
    <d v="1899-12-30T00:07:30"/>
    <x v="0"/>
    <x v="7"/>
    <x v="5"/>
    <x v="0"/>
    <x v="9"/>
  </r>
  <r>
    <x v="0"/>
    <n v="30"/>
    <x v="2"/>
    <x v="2"/>
    <x v="2"/>
    <x v="0"/>
    <n v="7000000"/>
    <n v="2"/>
    <d v="1899-12-30T00:07:30"/>
    <x v="0"/>
    <x v="2"/>
    <x v="5"/>
    <x v="0"/>
    <x v="10"/>
  </r>
  <r>
    <x v="0"/>
    <n v="27"/>
    <x v="2"/>
    <x v="0"/>
    <x v="1"/>
    <x v="0"/>
    <n v="7000000"/>
    <n v="1"/>
    <d v="1899-12-30T00:07:30"/>
    <x v="0"/>
    <x v="6"/>
    <x v="7"/>
    <x v="3"/>
    <x v="13"/>
  </r>
  <r>
    <x v="0"/>
    <n v="15"/>
    <x v="3"/>
    <x v="2"/>
    <x v="0"/>
    <x v="0"/>
    <n v="19000000"/>
    <n v="2"/>
    <d v="1899-12-30T00:07:30"/>
    <x v="1"/>
    <x v="0"/>
    <x v="2"/>
    <x v="2"/>
    <x v="11"/>
  </r>
  <r>
    <x v="0"/>
    <n v="5"/>
    <x v="3"/>
    <x v="0"/>
    <x v="2"/>
    <x v="3"/>
    <n v="15000000"/>
    <n v="6"/>
    <d v="1899-12-30T00:07:30"/>
    <x v="0"/>
    <x v="6"/>
    <x v="2"/>
    <x v="3"/>
    <x v="4"/>
  </r>
  <r>
    <x v="0"/>
    <n v="6"/>
    <x v="3"/>
    <x v="4"/>
    <x v="1"/>
    <x v="4"/>
    <n v="20000000"/>
    <n v="6"/>
    <d v="1899-12-30T00:07:30"/>
    <x v="0"/>
    <x v="2"/>
    <x v="2"/>
    <x v="0"/>
    <x v="9"/>
  </r>
  <r>
    <x v="0"/>
    <n v="12"/>
    <x v="3"/>
    <x v="5"/>
    <x v="0"/>
    <x v="2"/>
    <n v="12000000"/>
    <n v="2"/>
    <d v="1899-12-30T00:07:30"/>
    <x v="0"/>
    <x v="0"/>
    <x v="4"/>
    <x v="2"/>
    <x v="8"/>
  </r>
  <r>
    <x v="0"/>
    <n v="28"/>
    <x v="3"/>
    <x v="1"/>
    <x v="1"/>
    <x v="2"/>
    <n v="12000000"/>
    <n v="2"/>
    <d v="1899-12-30T00:07:30"/>
    <x v="0"/>
    <x v="0"/>
    <x v="0"/>
    <x v="0"/>
    <x v="0"/>
  </r>
  <r>
    <x v="0"/>
    <n v="8"/>
    <x v="3"/>
    <x v="0"/>
    <x v="1"/>
    <x v="2"/>
    <n v="12000000"/>
    <n v="3"/>
    <d v="1899-12-30T00:07:30"/>
    <x v="0"/>
    <x v="2"/>
    <x v="3"/>
    <x v="1"/>
    <x v="15"/>
  </r>
  <r>
    <x v="0"/>
    <n v="7"/>
    <x v="3"/>
    <x v="3"/>
    <x v="2"/>
    <x v="2"/>
    <n v="12000000"/>
    <n v="3"/>
    <d v="1899-12-30T00:07:30"/>
    <x v="0"/>
    <x v="7"/>
    <x v="4"/>
    <x v="0"/>
    <x v="10"/>
  </r>
  <r>
    <x v="0"/>
    <n v="9"/>
    <x v="3"/>
    <x v="4"/>
    <x v="2"/>
    <x v="1"/>
    <n v="15000000"/>
    <n v="1"/>
    <d v="1899-12-30T00:07:30"/>
    <x v="0"/>
    <x v="2"/>
    <x v="6"/>
    <x v="3"/>
    <x v="4"/>
  </r>
  <r>
    <x v="0"/>
    <n v="16"/>
    <x v="4"/>
    <x v="1"/>
    <x v="1"/>
    <x v="0"/>
    <n v="19000000"/>
    <n v="1"/>
    <d v="1899-12-30T00:07:30"/>
    <x v="1"/>
    <x v="0"/>
    <x v="3"/>
    <x v="1"/>
    <x v="2"/>
  </r>
  <r>
    <x v="0"/>
    <n v="22"/>
    <x v="4"/>
    <x v="1"/>
    <x v="1"/>
    <x v="1"/>
    <n v="11000000"/>
    <n v="3"/>
    <d v="1899-12-30T00:07:30"/>
    <x v="0"/>
    <x v="0"/>
    <x v="2"/>
    <x v="2"/>
    <x v="11"/>
  </r>
  <r>
    <x v="0"/>
    <n v="5"/>
    <x v="4"/>
    <x v="0"/>
    <x v="2"/>
    <x v="1"/>
    <n v="15000000"/>
    <n v="2"/>
    <d v="1899-12-30T00:07:30"/>
    <x v="0"/>
    <x v="8"/>
    <x v="4"/>
    <x v="3"/>
    <x v="13"/>
  </r>
  <r>
    <x v="0"/>
    <n v="29"/>
    <x v="4"/>
    <x v="3"/>
    <x v="2"/>
    <x v="1"/>
    <n v="15000000"/>
    <n v="4"/>
    <d v="1899-12-30T00:07:30"/>
    <x v="0"/>
    <x v="0"/>
    <x v="1"/>
    <x v="0"/>
    <x v="10"/>
  </r>
  <r>
    <x v="0"/>
    <n v="12"/>
    <x v="4"/>
    <x v="0"/>
    <x v="3"/>
    <x v="3"/>
    <n v="15000000"/>
    <n v="2"/>
    <d v="1899-12-30T00:07:30"/>
    <x v="0"/>
    <x v="0"/>
    <x v="6"/>
    <x v="0"/>
    <x v="5"/>
  </r>
  <r>
    <x v="0"/>
    <n v="11"/>
    <x v="5"/>
    <x v="0"/>
    <x v="2"/>
    <x v="2"/>
    <n v="38000000"/>
    <n v="4"/>
    <d v="1899-12-30T00:07:30"/>
    <x v="1"/>
    <x v="5"/>
    <x v="7"/>
    <x v="3"/>
    <x v="13"/>
  </r>
  <r>
    <x v="0"/>
    <n v="6"/>
    <x v="5"/>
    <x v="2"/>
    <x v="2"/>
    <x v="4"/>
    <n v="20000000"/>
    <n v="3"/>
    <d v="1899-12-30T00:07:30"/>
    <x v="0"/>
    <x v="2"/>
    <x v="1"/>
    <x v="1"/>
    <x v="1"/>
  </r>
  <r>
    <x v="0"/>
    <n v="1"/>
    <x v="0"/>
    <x v="0"/>
    <x v="3"/>
    <x v="2"/>
    <n v="12000000"/>
    <n v="1"/>
    <d v="1899-12-30T00:07:30"/>
    <x v="0"/>
    <x v="0"/>
    <x v="1"/>
    <x v="2"/>
    <x v="11"/>
  </r>
  <r>
    <x v="0"/>
    <n v="10"/>
    <x v="8"/>
    <x v="3"/>
    <x v="0"/>
    <x v="2"/>
    <n v="38000000"/>
    <n v="2"/>
    <d v="1899-12-30T00:07:30"/>
    <x v="4"/>
    <x v="5"/>
    <x v="5"/>
    <x v="1"/>
    <x v="6"/>
  </r>
  <r>
    <x v="0"/>
    <n v="1"/>
    <x v="8"/>
    <x v="5"/>
    <x v="2"/>
    <x v="1"/>
    <n v="15000000"/>
    <n v="1"/>
    <d v="1899-12-30T00:07:30"/>
    <x v="0"/>
    <x v="7"/>
    <x v="5"/>
    <x v="0"/>
    <x v="9"/>
  </r>
  <r>
    <x v="1"/>
    <n v="7"/>
    <x v="11"/>
    <x v="1"/>
    <x v="0"/>
    <x v="5"/>
    <n v="0"/>
    <n v="3"/>
    <d v="1899-12-30T00:07:30"/>
    <x v="3"/>
    <x v="9"/>
    <x v="7"/>
    <x v="2"/>
    <x v="11"/>
  </r>
  <r>
    <x v="1"/>
    <n v="12"/>
    <x v="1"/>
    <x v="4"/>
    <x v="1"/>
    <x v="5"/>
    <n v="0"/>
    <n v="2"/>
    <d v="1899-12-30T00:07:30"/>
    <x v="3"/>
    <x v="9"/>
    <x v="2"/>
    <x v="1"/>
    <x v="2"/>
  </r>
  <r>
    <x v="1"/>
    <n v="1"/>
    <x v="2"/>
    <x v="2"/>
    <x v="2"/>
    <x v="5"/>
    <n v="0"/>
    <n v="4"/>
    <d v="1899-12-30T00:07:30"/>
    <x v="3"/>
    <x v="9"/>
    <x v="2"/>
    <x v="0"/>
    <x v="10"/>
  </r>
  <r>
    <x v="1"/>
    <n v="29"/>
    <x v="2"/>
    <x v="3"/>
    <x v="2"/>
    <x v="5"/>
    <n v="0"/>
    <n v="2"/>
    <d v="1899-12-30T00:07:30"/>
    <x v="3"/>
    <x v="9"/>
    <x v="4"/>
    <x v="1"/>
    <x v="6"/>
  </r>
  <r>
    <x v="1"/>
    <n v="26"/>
    <x v="3"/>
    <x v="3"/>
    <x v="0"/>
    <x v="5"/>
    <n v="0"/>
    <n v="3"/>
    <d v="1899-12-30T00:07:30"/>
    <x v="3"/>
    <x v="9"/>
    <x v="2"/>
    <x v="0"/>
    <x v="5"/>
  </r>
  <r>
    <x v="1"/>
    <n v="30"/>
    <x v="10"/>
    <x v="4"/>
    <x v="0"/>
    <x v="5"/>
    <n v="0"/>
    <n v="7"/>
    <d v="1899-12-30T00:07:30"/>
    <x v="3"/>
    <x v="9"/>
    <x v="5"/>
    <x v="1"/>
    <x v="6"/>
  </r>
  <r>
    <x v="1"/>
    <n v="7"/>
    <x v="11"/>
    <x v="1"/>
    <x v="0"/>
    <x v="5"/>
    <n v="0"/>
    <n v="3"/>
    <d v="1899-12-30T00:07:30"/>
    <x v="3"/>
    <x v="9"/>
    <x v="7"/>
    <x v="2"/>
    <x v="11"/>
  </r>
  <r>
    <x v="0"/>
    <n v="16"/>
    <x v="6"/>
    <x v="3"/>
    <x v="1"/>
    <x v="1"/>
    <n v="11000000"/>
    <n v="3"/>
    <d v="1899-12-30T00:08:00"/>
    <x v="0"/>
    <x v="1"/>
    <x v="2"/>
    <x v="0"/>
    <x v="5"/>
  </r>
  <r>
    <x v="0"/>
    <n v="13"/>
    <x v="2"/>
    <x v="5"/>
    <x v="1"/>
    <x v="2"/>
    <n v="10000000"/>
    <n v="2"/>
    <d v="1899-12-30T00:08:00"/>
    <x v="0"/>
    <x v="0"/>
    <x v="3"/>
    <x v="0"/>
    <x v="5"/>
  </r>
  <r>
    <x v="0"/>
    <n v="16"/>
    <x v="2"/>
    <x v="0"/>
    <x v="2"/>
    <x v="2"/>
    <n v="12000000"/>
    <n v="2"/>
    <d v="1899-12-30T00:08:00"/>
    <x v="0"/>
    <x v="4"/>
    <x v="7"/>
    <x v="1"/>
    <x v="1"/>
  </r>
  <r>
    <x v="0"/>
    <n v="26"/>
    <x v="3"/>
    <x v="2"/>
    <x v="2"/>
    <x v="2"/>
    <n v="38000000"/>
    <n v="5"/>
    <d v="1899-12-30T00:08:00"/>
    <x v="1"/>
    <x v="2"/>
    <x v="6"/>
    <x v="1"/>
    <x v="2"/>
  </r>
  <r>
    <x v="0"/>
    <n v="9"/>
    <x v="3"/>
    <x v="1"/>
    <x v="2"/>
    <x v="3"/>
    <n v="20000000"/>
    <n v="1"/>
    <d v="1899-12-30T00:08:00"/>
    <x v="2"/>
    <x v="2"/>
    <x v="5"/>
    <x v="1"/>
    <x v="14"/>
  </r>
  <r>
    <x v="0"/>
    <n v="28"/>
    <x v="3"/>
    <x v="1"/>
    <x v="2"/>
    <x v="0"/>
    <n v="7000000"/>
    <n v="2"/>
    <d v="1899-12-30T00:08:00"/>
    <x v="0"/>
    <x v="2"/>
    <x v="6"/>
    <x v="1"/>
    <x v="6"/>
  </r>
  <r>
    <x v="0"/>
    <n v="30"/>
    <x v="3"/>
    <x v="2"/>
    <x v="0"/>
    <x v="1"/>
    <n v="15000000"/>
    <n v="4"/>
    <d v="1899-12-30T00:08:00"/>
    <x v="0"/>
    <x v="1"/>
    <x v="3"/>
    <x v="0"/>
    <x v="10"/>
  </r>
  <r>
    <x v="0"/>
    <n v="5"/>
    <x v="4"/>
    <x v="1"/>
    <x v="0"/>
    <x v="4"/>
    <n v="25000000"/>
    <n v="2"/>
    <d v="1899-12-30T00:08:00"/>
    <x v="0"/>
    <x v="0"/>
    <x v="1"/>
    <x v="3"/>
    <x v="4"/>
  </r>
  <r>
    <x v="0"/>
    <n v="16"/>
    <x v="6"/>
    <x v="3"/>
    <x v="1"/>
    <x v="1"/>
    <n v="11000000"/>
    <n v="3"/>
    <d v="1899-12-30T00:08:00"/>
    <x v="0"/>
    <x v="1"/>
    <x v="2"/>
    <x v="0"/>
    <x v="5"/>
  </r>
  <r>
    <x v="1"/>
    <n v="12"/>
    <x v="2"/>
    <x v="2"/>
    <x v="2"/>
    <x v="5"/>
    <n v="0"/>
    <n v="3"/>
    <d v="1899-12-30T00:08:00"/>
    <x v="3"/>
    <x v="9"/>
    <x v="2"/>
    <x v="3"/>
    <x v="13"/>
  </r>
  <r>
    <x v="1"/>
    <n v="1"/>
    <x v="3"/>
    <x v="4"/>
    <x v="2"/>
    <x v="5"/>
    <n v="0"/>
    <n v="1"/>
    <d v="1899-12-30T00:08:00"/>
    <x v="3"/>
    <x v="9"/>
    <x v="2"/>
    <x v="3"/>
    <x v="13"/>
  </r>
  <r>
    <x v="1"/>
    <n v="5"/>
    <x v="3"/>
    <x v="4"/>
    <x v="3"/>
    <x v="5"/>
    <n v="0"/>
    <n v="4"/>
    <d v="1899-12-30T00:08:00"/>
    <x v="3"/>
    <x v="9"/>
    <x v="5"/>
    <x v="2"/>
    <x v="11"/>
  </r>
  <r>
    <x v="1"/>
    <n v="27"/>
    <x v="4"/>
    <x v="0"/>
    <x v="0"/>
    <x v="5"/>
    <n v="0"/>
    <n v="1"/>
    <d v="1899-12-30T00:08:00"/>
    <x v="3"/>
    <x v="9"/>
    <x v="2"/>
    <x v="1"/>
    <x v="6"/>
  </r>
  <r>
    <x v="1"/>
    <n v="16"/>
    <x v="4"/>
    <x v="0"/>
    <x v="0"/>
    <x v="5"/>
    <n v="0"/>
    <n v="1"/>
    <d v="1899-12-30T00:08:00"/>
    <x v="3"/>
    <x v="9"/>
    <x v="4"/>
    <x v="0"/>
    <x v="0"/>
  </r>
  <r>
    <x v="0"/>
    <n v="11"/>
    <x v="6"/>
    <x v="2"/>
    <x v="2"/>
    <x v="3"/>
    <n v="20000000"/>
    <n v="1"/>
    <d v="1899-12-30T00:08:10"/>
    <x v="0"/>
    <x v="7"/>
    <x v="0"/>
    <x v="0"/>
    <x v="9"/>
  </r>
  <r>
    <x v="0"/>
    <n v="1"/>
    <x v="8"/>
    <x v="3"/>
    <x v="1"/>
    <x v="2"/>
    <n v="12000000"/>
    <n v="5"/>
    <d v="1899-12-30T00:08:10"/>
    <x v="0"/>
    <x v="3"/>
    <x v="4"/>
    <x v="3"/>
    <x v="4"/>
  </r>
  <r>
    <x v="0"/>
    <n v="10"/>
    <x v="2"/>
    <x v="3"/>
    <x v="2"/>
    <x v="2"/>
    <n v="38000000"/>
    <n v="2"/>
    <d v="1899-12-30T00:08:10"/>
    <x v="4"/>
    <x v="5"/>
    <x v="6"/>
    <x v="0"/>
    <x v="10"/>
  </r>
  <r>
    <x v="0"/>
    <n v="11"/>
    <x v="2"/>
    <x v="0"/>
    <x v="1"/>
    <x v="2"/>
    <n v="12000000"/>
    <n v="4"/>
    <d v="1899-12-30T00:08:10"/>
    <x v="0"/>
    <x v="4"/>
    <x v="2"/>
    <x v="1"/>
    <x v="2"/>
  </r>
  <r>
    <x v="0"/>
    <n v="12"/>
    <x v="2"/>
    <x v="3"/>
    <x v="0"/>
    <x v="1"/>
    <n v="15000000"/>
    <n v="4"/>
    <d v="1899-12-30T00:08:10"/>
    <x v="0"/>
    <x v="1"/>
    <x v="2"/>
    <x v="1"/>
    <x v="2"/>
  </r>
  <r>
    <x v="0"/>
    <n v="27"/>
    <x v="3"/>
    <x v="2"/>
    <x v="3"/>
    <x v="0"/>
    <n v="19000000"/>
    <n v="1"/>
    <d v="1899-12-30T00:08:10"/>
    <x v="1"/>
    <x v="0"/>
    <x v="3"/>
    <x v="0"/>
    <x v="5"/>
  </r>
  <r>
    <x v="0"/>
    <n v="30"/>
    <x v="3"/>
    <x v="3"/>
    <x v="2"/>
    <x v="3"/>
    <n v="11000000"/>
    <n v="3"/>
    <d v="1899-12-30T00:08:10"/>
    <x v="2"/>
    <x v="4"/>
    <x v="5"/>
    <x v="1"/>
    <x v="1"/>
  </r>
  <r>
    <x v="0"/>
    <n v="27"/>
    <x v="3"/>
    <x v="1"/>
    <x v="0"/>
    <x v="4"/>
    <n v="25000000"/>
    <n v="2"/>
    <d v="1899-12-30T00:08:10"/>
    <x v="0"/>
    <x v="4"/>
    <x v="4"/>
    <x v="1"/>
    <x v="6"/>
  </r>
  <r>
    <x v="0"/>
    <n v="9"/>
    <x v="3"/>
    <x v="0"/>
    <x v="2"/>
    <x v="1"/>
    <n v="15000000"/>
    <n v="4"/>
    <d v="1899-12-30T00:08:10"/>
    <x v="0"/>
    <x v="7"/>
    <x v="3"/>
    <x v="3"/>
    <x v="13"/>
  </r>
  <r>
    <x v="0"/>
    <n v="22"/>
    <x v="4"/>
    <x v="5"/>
    <x v="2"/>
    <x v="1"/>
    <n v="15000000"/>
    <n v="1"/>
    <d v="1899-12-30T00:08:10"/>
    <x v="0"/>
    <x v="2"/>
    <x v="6"/>
    <x v="3"/>
    <x v="4"/>
  </r>
  <r>
    <x v="0"/>
    <n v="23"/>
    <x v="10"/>
    <x v="3"/>
    <x v="2"/>
    <x v="4"/>
    <n v="21000000"/>
    <n v="1"/>
    <d v="1899-12-30T00:08:10"/>
    <x v="0"/>
    <x v="8"/>
    <x v="1"/>
    <x v="0"/>
    <x v="5"/>
  </r>
  <r>
    <x v="0"/>
    <n v="11"/>
    <x v="6"/>
    <x v="2"/>
    <x v="2"/>
    <x v="3"/>
    <n v="20000000"/>
    <n v="1"/>
    <d v="1899-12-30T00:08:10"/>
    <x v="0"/>
    <x v="7"/>
    <x v="0"/>
    <x v="0"/>
    <x v="9"/>
  </r>
  <r>
    <x v="0"/>
    <n v="1"/>
    <x v="8"/>
    <x v="3"/>
    <x v="1"/>
    <x v="2"/>
    <n v="12000000"/>
    <n v="5"/>
    <d v="1899-12-30T00:08:10"/>
    <x v="0"/>
    <x v="3"/>
    <x v="4"/>
    <x v="3"/>
    <x v="4"/>
  </r>
  <r>
    <x v="1"/>
    <n v="18"/>
    <x v="7"/>
    <x v="0"/>
    <x v="2"/>
    <x v="5"/>
    <n v="0"/>
    <n v="1"/>
    <d v="1899-12-30T00:08:10"/>
    <x v="3"/>
    <x v="9"/>
    <x v="0"/>
    <x v="1"/>
    <x v="2"/>
  </r>
  <r>
    <x v="1"/>
    <n v="2"/>
    <x v="11"/>
    <x v="0"/>
    <x v="1"/>
    <x v="5"/>
    <n v="0"/>
    <n v="4"/>
    <d v="1899-12-30T00:08:10"/>
    <x v="3"/>
    <x v="9"/>
    <x v="7"/>
    <x v="2"/>
    <x v="8"/>
  </r>
  <r>
    <x v="1"/>
    <n v="18"/>
    <x v="7"/>
    <x v="0"/>
    <x v="2"/>
    <x v="5"/>
    <n v="0"/>
    <n v="1"/>
    <d v="1899-12-30T00:08:10"/>
    <x v="3"/>
    <x v="9"/>
    <x v="0"/>
    <x v="1"/>
    <x v="2"/>
  </r>
  <r>
    <x v="1"/>
    <n v="2"/>
    <x v="11"/>
    <x v="0"/>
    <x v="1"/>
    <x v="5"/>
    <n v="0"/>
    <n v="4"/>
    <d v="1899-12-30T00:08:10"/>
    <x v="3"/>
    <x v="9"/>
    <x v="7"/>
    <x v="2"/>
    <x v="8"/>
  </r>
  <r>
    <x v="0"/>
    <n v="13"/>
    <x v="5"/>
    <x v="0"/>
    <x v="2"/>
    <x v="3"/>
    <n v="15000000"/>
    <n v="5"/>
    <d v="1899-12-30T00:08:12"/>
    <x v="0"/>
    <x v="3"/>
    <x v="6"/>
    <x v="1"/>
    <x v="6"/>
  </r>
  <r>
    <x v="0"/>
    <n v="11"/>
    <x v="6"/>
    <x v="1"/>
    <x v="0"/>
    <x v="2"/>
    <n v="38000000"/>
    <n v="2"/>
    <d v="1899-12-30T00:08:12"/>
    <x v="1"/>
    <x v="0"/>
    <x v="1"/>
    <x v="0"/>
    <x v="9"/>
  </r>
  <r>
    <x v="0"/>
    <n v="12"/>
    <x v="8"/>
    <x v="0"/>
    <x v="2"/>
    <x v="0"/>
    <n v="7000000"/>
    <n v="1"/>
    <d v="1899-12-30T00:08:12"/>
    <x v="0"/>
    <x v="4"/>
    <x v="0"/>
    <x v="2"/>
    <x v="11"/>
  </r>
  <r>
    <x v="0"/>
    <n v="27"/>
    <x v="1"/>
    <x v="2"/>
    <x v="4"/>
    <x v="4"/>
    <n v="25000000"/>
    <n v="4"/>
    <d v="1899-12-30T00:08:12"/>
    <x v="0"/>
    <x v="7"/>
    <x v="7"/>
    <x v="0"/>
    <x v="10"/>
  </r>
  <r>
    <x v="0"/>
    <n v="30"/>
    <x v="2"/>
    <x v="2"/>
    <x v="2"/>
    <x v="0"/>
    <n v="19000000"/>
    <n v="5"/>
    <d v="1899-12-30T00:08:12"/>
    <x v="1"/>
    <x v="7"/>
    <x v="4"/>
    <x v="0"/>
    <x v="10"/>
  </r>
  <r>
    <x v="0"/>
    <n v="19"/>
    <x v="2"/>
    <x v="2"/>
    <x v="4"/>
    <x v="4"/>
    <n v="20000000"/>
    <n v="5"/>
    <d v="1899-12-30T00:08:12"/>
    <x v="0"/>
    <x v="4"/>
    <x v="3"/>
    <x v="0"/>
    <x v="7"/>
  </r>
  <r>
    <x v="0"/>
    <n v="12"/>
    <x v="2"/>
    <x v="0"/>
    <x v="2"/>
    <x v="1"/>
    <n v="11000000"/>
    <n v="5"/>
    <d v="1899-12-30T00:08:12"/>
    <x v="0"/>
    <x v="8"/>
    <x v="1"/>
    <x v="3"/>
    <x v="13"/>
  </r>
  <r>
    <x v="0"/>
    <n v="21"/>
    <x v="3"/>
    <x v="0"/>
    <x v="1"/>
    <x v="2"/>
    <n v="12000000"/>
    <n v="1"/>
    <d v="1899-12-30T00:08:12"/>
    <x v="0"/>
    <x v="5"/>
    <x v="0"/>
    <x v="1"/>
    <x v="14"/>
  </r>
  <r>
    <x v="0"/>
    <n v="17"/>
    <x v="4"/>
    <x v="3"/>
    <x v="2"/>
    <x v="2"/>
    <n v="12000000"/>
    <n v="4"/>
    <d v="1899-12-30T00:08:12"/>
    <x v="0"/>
    <x v="8"/>
    <x v="0"/>
    <x v="3"/>
    <x v="4"/>
  </r>
  <r>
    <x v="0"/>
    <n v="15"/>
    <x v="10"/>
    <x v="1"/>
    <x v="4"/>
    <x v="3"/>
    <n v="20000000"/>
    <n v="2"/>
    <d v="1899-12-30T00:08:12"/>
    <x v="2"/>
    <x v="2"/>
    <x v="5"/>
    <x v="1"/>
    <x v="6"/>
  </r>
  <r>
    <x v="0"/>
    <n v="1"/>
    <x v="10"/>
    <x v="3"/>
    <x v="2"/>
    <x v="1"/>
    <n v="12000000"/>
    <n v="4"/>
    <d v="1899-12-30T00:08:12"/>
    <x v="0"/>
    <x v="0"/>
    <x v="5"/>
    <x v="2"/>
    <x v="8"/>
  </r>
  <r>
    <x v="0"/>
    <n v="13"/>
    <x v="5"/>
    <x v="0"/>
    <x v="2"/>
    <x v="3"/>
    <n v="15000000"/>
    <n v="5"/>
    <d v="1899-12-30T00:08:12"/>
    <x v="0"/>
    <x v="3"/>
    <x v="6"/>
    <x v="1"/>
    <x v="6"/>
  </r>
  <r>
    <x v="0"/>
    <n v="11"/>
    <x v="6"/>
    <x v="1"/>
    <x v="0"/>
    <x v="2"/>
    <n v="38000000"/>
    <n v="2"/>
    <d v="1899-12-30T00:08:12"/>
    <x v="1"/>
    <x v="0"/>
    <x v="1"/>
    <x v="0"/>
    <x v="9"/>
  </r>
  <r>
    <x v="0"/>
    <n v="12"/>
    <x v="8"/>
    <x v="0"/>
    <x v="2"/>
    <x v="0"/>
    <n v="7000000"/>
    <n v="1"/>
    <d v="1899-12-30T00:08:12"/>
    <x v="0"/>
    <x v="4"/>
    <x v="0"/>
    <x v="2"/>
    <x v="11"/>
  </r>
  <r>
    <x v="0"/>
    <n v="27"/>
    <x v="1"/>
    <x v="2"/>
    <x v="4"/>
    <x v="4"/>
    <n v="25000000"/>
    <n v="4"/>
    <d v="1899-12-30T00:08:12"/>
    <x v="0"/>
    <x v="7"/>
    <x v="7"/>
    <x v="0"/>
    <x v="10"/>
  </r>
  <r>
    <x v="1"/>
    <n v="12"/>
    <x v="7"/>
    <x v="4"/>
    <x v="1"/>
    <x v="5"/>
    <n v="0"/>
    <n v="3"/>
    <d v="1899-12-30T00:08:12"/>
    <x v="3"/>
    <x v="9"/>
    <x v="7"/>
    <x v="2"/>
    <x v="8"/>
  </r>
  <r>
    <x v="1"/>
    <n v="25"/>
    <x v="4"/>
    <x v="0"/>
    <x v="2"/>
    <x v="5"/>
    <n v="0"/>
    <n v="1"/>
    <d v="1899-12-30T00:08:12"/>
    <x v="3"/>
    <x v="9"/>
    <x v="6"/>
    <x v="3"/>
    <x v="13"/>
  </r>
  <r>
    <x v="1"/>
    <n v="12"/>
    <x v="7"/>
    <x v="4"/>
    <x v="1"/>
    <x v="5"/>
    <n v="0"/>
    <n v="3"/>
    <d v="1899-12-30T00:08:12"/>
    <x v="3"/>
    <x v="9"/>
    <x v="7"/>
    <x v="2"/>
    <x v="8"/>
  </r>
  <r>
    <x v="0"/>
    <n v="12"/>
    <x v="1"/>
    <x v="0"/>
    <x v="2"/>
    <x v="1"/>
    <n v="15000000"/>
    <n v="1"/>
    <d v="1899-12-30T00:08:20"/>
    <x v="0"/>
    <x v="3"/>
    <x v="4"/>
    <x v="1"/>
    <x v="1"/>
  </r>
  <r>
    <x v="0"/>
    <n v="30"/>
    <x v="2"/>
    <x v="1"/>
    <x v="2"/>
    <x v="2"/>
    <n v="12000000"/>
    <n v="2"/>
    <d v="1899-12-30T00:08:20"/>
    <x v="0"/>
    <x v="8"/>
    <x v="2"/>
    <x v="2"/>
    <x v="8"/>
  </r>
  <r>
    <x v="0"/>
    <n v="6"/>
    <x v="2"/>
    <x v="2"/>
    <x v="2"/>
    <x v="4"/>
    <n v="20000000"/>
    <n v="2"/>
    <d v="1899-12-30T00:08:20"/>
    <x v="0"/>
    <x v="4"/>
    <x v="5"/>
    <x v="0"/>
    <x v="7"/>
  </r>
  <r>
    <x v="0"/>
    <n v="21"/>
    <x v="3"/>
    <x v="1"/>
    <x v="1"/>
    <x v="0"/>
    <n v="7000000"/>
    <n v="2"/>
    <d v="1899-12-30T00:08:20"/>
    <x v="0"/>
    <x v="0"/>
    <x v="2"/>
    <x v="1"/>
    <x v="15"/>
  </r>
  <r>
    <x v="0"/>
    <n v="22"/>
    <x v="3"/>
    <x v="4"/>
    <x v="1"/>
    <x v="1"/>
    <n v="15000000"/>
    <n v="5"/>
    <d v="1899-12-30T00:08:20"/>
    <x v="0"/>
    <x v="4"/>
    <x v="6"/>
    <x v="0"/>
    <x v="12"/>
  </r>
  <r>
    <x v="0"/>
    <n v="12"/>
    <x v="3"/>
    <x v="1"/>
    <x v="2"/>
    <x v="3"/>
    <n v="15000000"/>
    <n v="4"/>
    <d v="1899-12-30T00:08:20"/>
    <x v="0"/>
    <x v="7"/>
    <x v="3"/>
    <x v="1"/>
    <x v="6"/>
  </r>
  <r>
    <x v="0"/>
    <n v="23"/>
    <x v="4"/>
    <x v="1"/>
    <x v="1"/>
    <x v="2"/>
    <n v="12000000"/>
    <n v="1"/>
    <d v="1899-12-30T00:08:20"/>
    <x v="0"/>
    <x v="3"/>
    <x v="1"/>
    <x v="0"/>
    <x v="5"/>
  </r>
  <r>
    <x v="0"/>
    <n v="29"/>
    <x v="4"/>
    <x v="3"/>
    <x v="0"/>
    <x v="2"/>
    <n v="12000000"/>
    <n v="2"/>
    <d v="1899-12-30T00:08:20"/>
    <x v="0"/>
    <x v="4"/>
    <x v="6"/>
    <x v="0"/>
    <x v="7"/>
  </r>
  <r>
    <x v="0"/>
    <n v="21"/>
    <x v="10"/>
    <x v="0"/>
    <x v="2"/>
    <x v="0"/>
    <n v="19000000"/>
    <n v="2"/>
    <d v="1899-12-30T00:08:20"/>
    <x v="1"/>
    <x v="7"/>
    <x v="2"/>
    <x v="0"/>
    <x v="12"/>
  </r>
  <r>
    <x v="0"/>
    <n v="24"/>
    <x v="10"/>
    <x v="0"/>
    <x v="1"/>
    <x v="1"/>
    <n v="15000000"/>
    <n v="1"/>
    <d v="1899-12-30T00:08:20"/>
    <x v="0"/>
    <x v="1"/>
    <x v="3"/>
    <x v="1"/>
    <x v="1"/>
  </r>
  <r>
    <x v="1"/>
    <n v="20"/>
    <x v="2"/>
    <x v="0"/>
    <x v="2"/>
    <x v="5"/>
    <n v="0"/>
    <n v="1"/>
    <d v="1899-12-30T00:08:20"/>
    <x v="3"/>
    <x v="9"/>
    <x v="6"/>
    <x v="1"/>
    <x v="6"/>
  </r>
  <r>
    <x v="1"/>
    <n v="8"/>
    <x v="3"/>
    <x v="3"/>
    <x v="2"/>
    <x v="5"/>
    <n v="0"/>
    <n v="5"/>
    <d v="1899-12-30T00:08:20"/>
    <x v="3"/>
    <x v="9"/>
    <x v="0"/>
    <x v="2"/>
    <x v="8"/>
  </r>
  <r>
    <x v="1"/>
    <n v="31"/>
    <x v="10"/>
    <x v="0"/>
    <x v="2"/>
    <x v="5"/>
    <n v="0"/>
    <n v="1"/>
    <d v="1899-12-30T00:08:20"/>
    <x v="3"/>
    <x v="9"/>
    <x v="7"/>
    <x v="3"/>
    <x v="4"/>
  </r>
  <r>
    <x v="0"/>
    <n v="30"/>
    <x v="1"/>
    <x v="1"/>
    <x v="0"/>
    <x v="2"/>
    <n v="38000000"/>
    <n v="2"/>
    <d v="1899-12-30T00:08:40"/>
    <x v="1"/>
    <x v="7"/>
    <x v="0"/>
    <x v="1"/>
    <x v="2"/>
  </r>
  <r>
    <x v="0"/>
    <n v="28"/>
    <x v="2"/>
    <x v="0"/>
    <x v="2"/>
    <x v="2"/>
    <n v="12000000"/>
    <n v="2"/>
    <d v="1899-12-30T00:08:40"/>
    <x v="0"/>
    <x v="2"/>
    <x v="2"/>
    <x v="3"/>
    <x v="13"/>
  </r>
  <r>
    <x v="0"/>
    <n v="28"/>
    <x v="2"/>
    <x v="3"/>
    <x v="1"/>
    <x v="1"/>
    <n v="15000000"/>
    <n v="2"/>
    <d v="1899-12-30T00:08:40"/>
    <x v="0"/>
    <x v="0"/>
    <x v="2"/>
    <x v="3"/>
    <x v="13"/>
  </r>
  <r>
    <x v="0"/>
    <n v="30"/>
    <x v="2"/>
    <x v="5"/>
    <x v="1"/>
    <x v="1"/>
    <n v="15000000"/>
    <n v="4"/>
    <d v="1899-12-30T00:08:40"/>
    <x v="0"/>
    <x v="7"/>
    <x v="3"/>
    <x v="1"/>
    <x v="1"/>
  </r>
  <r>
    <x v="0"/>
    <n v="30"/>
    <x v="2"/>
    <x v="2"/>
    <x v="0"/>
    <x v="2"/>
    <n v="12000000"/>
    <n v="2"/>
    <d v="1899-12-30T00:08:40"/>
    <x v="0"/>
    <x v="7"/>
    <x v="5"/>
    <x v="1"/>
    <x v="1"/>
  </r>
  <r>
    <x v="0"/>
    <n v="6"/>
    <x v="2"/>
    <x v="5"/>
    <x v="1"/>
    <x v="1"/>
    <n v="15000000"/>
    <n v="4"/>
    <d v="1899-12-30T00:08:40"/>
    <x v="0"/>
    <x v="4"/>
    <x v="6"/>
    <x v="1"/>
    <x v="1"/>
  </r>
  <r>
    <x v="0"/>
    <n v="27"/>
    <x v="3"/>
    <x v="0"/>
    <x v="1"/>
    <x v="3"/>
    <n v="20000000"/>
    <n v="5"/>
    <d v="1899-12-30T00:08:40"/>
    <x v="2"/>
    <x v="7"/>
    <x v="7"/>
    <x v="1"/>
    <x v="6"/>
  </r>
  <r>
    <x v="0"/>
    <n v="11"/>
    <x v="3"/>
    <x v="4"/>
    <x v="0"/>
    <x v="0"/>
    <n v="7000000"/>
    <n v="1"/>
    <d v="1899-12-30T00:08:40"/>
    <x v="0"/>
    <x v="0"/>
    <x v="2"/>
    <x v="2"/>
    <x v="8"/>
  </r>
  <r>
    <x v="0"/>
    <n v="29"/>
    <x v="3"/>
    <x v="3"/>
    <x v="2"/>
    <x v="2"/>
    <n v="12000000"/>
    <n v="2"/>
    <d v="1899-12-30T00:08:40"/>
    <x v="0"/>
    <x v="3"/>
    <x v="2"/>
    <x v="0"/>
    <x v="5"/>
  </r>
  <r>
    <x v="0"/>
    <n v="7"/>
    <x v="3"/>
    <x v="3"/>
    <x v="0"/>
    <x v="2"/>
    <n v="12000000"/>
    <n v="7"/>
    <d v="1899-12-30T00:08:40"/>
    <x v="0"/>
    <x v="0"/>
    <x v="0"/>
    <x v="2"/>
    <x v="11"/>
  </r>
  <r>
    <x v="0"/>
    <n v="8"/>
    <x v="3"/>
    <x v="0"/>
    <x v="2"/>
    <x v="1"/>
    <n v="15000000"/>
    <n v="2"/>
    <d v="1899-12-30T00:08:40"/>
    <x v="0"/>
    <x v="1"/>
    <x v="5"/>
    <x v="1"/>
    <x v="14"/>
  </r>
  <r>
    <x v="0"/>
    <n v="11"/>
    <x v="3"/>
    <x v="1"/>
    <x v="4"/>
    <x v="3"/>
    <n v="20000000"/>
    <n v="5"/>
    <d v="1899-12-30T00:08:40"/>
    <x v="0"/>
    <x v="4"/>
    <x v="7"/>
    <x v="2"/>
    <x v="8"/>
  </r>
  <r>
    <x v="0"/>
    <n v="22"/>
    <x v="4"/>
    <x v="1"/>
    <x v="0"/>
    <x v="0"/>
    <n v="19000000"/>
    <n v="1"/>
    <d v="1899-12-30T00:08:40"/>
    <x v="1"/>
    <x v="2"/>
    <x v="4"/>
    <x v="1"/>
    <x v="1"/>
  </r>
  <r>
    <x v="0"/>
    <n v="6"/>
    <x v="4"/>
    <x v="0"/>
    <x v="2"/>
    <x v="3"/>
    <n v="20000000"/>
    <n v="1"/>
    <d v="1899-12-30T00:08:40"/>
    <x v="2"/>
    <x v="8"/>
    <x v="2"/>
    <x v="0"/>
    <x v="12"/>
  </r>
  <r>
    <x v="0"/>
    <n v="1"/>
    <x v="4"/>
    <x v="2"/>
    <x v="0"/>
    <x v="2"/>
    <n v="12000000"/>
    <n v="1"/>
    <d v="1899-12-30T00:08:40"/>
    <x v="0"/>
    <x v="2"/>
    <x v="2"/>
    <x v="0"/>
    <x v="7"/>
  </r>
  <r>
    <x v="0"/>
    <n v="14"/>
    <x v="4"/>
    <x v="3"/>
    <x v="2"/>
    <x v="4"/>
    <n v="25000000"/>
    <n v="1"/>
    <d v="1899-12-30T00:08:40"/>
    <x v="0"/>
    <x v="6"/>
    <x v="2"/>
    <x v="1"/>
    <x v="2"/>
  </r>
  <r>
    <x v="0"/>
    <n v="10"/>
    <x v="4"/>
    <x v="0"/>
    <x v="1"/>
    <x v="0"/>
    <n v="7000000"/>
    <n v="2"/>
    <d v="1899-12-30T00:08:40"/>
    <x v="0"/>
    <x v="8"/>
    <x v="6"/>
    <x v="0"/>
    <x v="12"/>
  </r>
  <r>
    <x v="0"/>
    <n v="13"/>
    <x v="10"/>
    <x v="2"/>
    <x v="2"/>
    <x v="0"/>
    <n v="19000000"/>
    <n v="2"/>
    <d v="1899-12-30T00:08:40"/>
    <x v="1"/>
    <x v="0"/>
    <x v="7"/>
    <x v="0"/>
    <x v="5"/>
  </r>
  <r>
    <x v="0"/>
    <n v="16"/>
    <x v="10"/>
    <x v="0"/>
    <x v="0"/>
    <x v="4"/>
    <n v="20000000"/>
    <n v="4"/>
    <d v="1899-12-30T00:08:40"/>
    <x v="0"/>
    <x v="7"/>
    <x v="3"/>
    <x v="1"/>
    <x v="6"/>
  </r>
  <r>
    <x v="0"/>
    <n v="17"/>
    <x v="10"/>
    <x v="2"/>
    <x v="2"/>
    <x v="4"/>
    <n v="21000000"/>
    <n v="6"/>
    <d v="1899-12-30T00:08:40"/>
    <x v="0"/>
    <x v="2"/>
    <x v="3"/>
    <x v="3"/>
    <x v="4"/>
  </r>
  <r>
    <x v="0"/>
    <n v="30"/>
    <x v="1"/>
    <x v="1"/>
    <x v="0"/>
    <x v="2"/>
    <n v="38000000"/>
    <n v="2"/>
    <d v="1899-12-30T00:08:40"/>
    <x v="1"/>
    <x v="7"/>
    <x v="0"/>
    <x v="1"/>
    <x v="2"/>
  </r>
  <r>
    <x v="1"/>
    <n v="5"/>
    <x v="5"/>
    <x v="0"/>
    <x v="3"/>
    <x v="5"/>
    <n v="0"/>
    <n v="4"/>
    <d v="1899-12-30T00:08:40"/>
    <x v="3"/>
    <x v="9"/>
    <x v="6"/>
    <x v="1"/>
    <x v="1"/>
  </r>
  <r>
    <x v="1"/>
    <n v="10"/>
    <x v="11"/>
    <x v="3"/>
    <x v="1"/>
    <x v="5"/>
    <n v="0"/>
    <n v="3"/>
    <d v="1899-12-30T00:08:40"/>
    <x v="3"/>
    <x v="9"/>
    <x v="7"/>
    <x v="3"/>
    <x v="4"/>
  </r>
  <r>
    <x v="1"/>
    <n v="12"/>
    <x v="1"/>
    <x v="3"/>
    <x v="3"/>
    <x v="5"/>
    <n v="0"/>
    <n v="1"/>
    <d v="1899-12-30T00:08:40"/>
    <x v="3"/>
    <x v="9"/>
    <x v="2"/>
    <x v="0"/>
    <x v="12"/>
  </r>
  <r>
    <x v="1"/>
    <n v="30"/>
    <x v="2"/>
    <x v="3"/>
    <x v="1"/>
    <x v="5"/>
    <n v="0"/>
    <n v="2"/>
    <d v="1899-12-30T00:08:40"/>
    <x v="3"/>
    <x v="9"/>
    <x v="7"/>
    <x v="0"/>
    <x v="5"/>
  </r>
  <r>
    <x v="1"/>
    <n v="30"/>
    <x v="10"/>
    <x v="0"/>
    <x v="2"/>
    <x v="5"/>
    <n v="0"/>
    <n v="5"/>
    <d v="1899-12-30T00:08:40"/>
    <x v="3"/>
    <x v="9"/>
    <x v="2"/>
    <x v="2"/>
    <x v="8"/>
  </r>
  <r>
    <x v="1"/>
    <n v="30"/>
    <x v="10"/>
    <x v="4"/>
    <x v="0"/>
    <x v="5"/>
    <n v="0"/>
    <n v="3"/>
    <d v="1899-12-30T00:08:40"/>
    <x v="3"/>
    <x v="9"/>
    <x v="4"/>
    <x v="3"/>
    <x v="13"/>
  </r>
  <r>
    <x v="1"/>
    <n v="5"/>
    <x v="5"/>
    <x v="0"/>
    <x v="3"/>
    <x v="5"/>
    <n v="0"/>
    <n v="4"/>
    <d v="1899-12-30T00:08:40"/>
    <x v="3"/>
    <x v="9"/>
    <x v="6"/>
    <x v="1"/>
    <x v="1"/>
  </r>
  <r>
    <x v="1"/>
    <n v="10"/>
    <x v="11"/>
    <x v="3"/>
    <x v="1"/>
    <x v="5"/>
    <n v="0"/>
    <n v="3"/>
    <d v="1899-12-30T00:08:40"/>
    <x v="3"/>
    <x v="9"/>
    <x v="7"/>
    <x v="3"/>
    <x v="4"/>
  </r>
  <r>
    <x v="0"/>
    <n v="26"/>
    <x v="1"/>
    <x v="1"/>
    <x v="2"/>
    <x v="1"/>
    <n v="15000000"/>
    <n v="2"/>
    <d v="1899-12-30T00:09:00"/>
    <x v="0"/>
    <x v="3"/>
    <x v="0"/>
    <x v="0"/>
    <x v="10"/>
  </r>
  <r>
    <x v="0"/>
    <n v="27"/>
    <x v="2"/>
    <x v="2"/>
    <x v="1"/>
    <x v="1"/>
    <n v="15000000"/>
    <n v="4"/>
    <d v="1899-12-30T00:09:00"/>
    <x v="0"/>
    <x v="7"/>
    <x v="4"/>
    <x v="1"/>
    <x v="2"/>
  </r>
  <r>
    <x v="0"/>
    <n v="30"/>
    <x v="2"/>
    <x v="5"/>
    <x v="3"/>
    <x v="1"/>
    <n v="15000000"/>
    <n v="2"/>
    <d v="1899-12-30T00:09:00"/>
    <x v="0"/>
    <x v="0"/>
    <x v="5"/>
    <x v="2"/>
    <x v="11"/>
  </r>
  <r>
    <x v="0"/>
    <n v="5"/>
    <x v="3"/>
    <x v="2"/>
    <x v="2"/>
    <x v="0"/>
    <n v="7000000"/>
    <n v="4"/>
    <d v="1899-12-30T00:09:00"/>
    <x v="0"/>
    <x v="2"/>
    <x v="2"/>
    <x v="0"/>
    <x v="12"/>
  </r>
  <r>
    <x v="0"/>
    <n v="28"/>
    <x v="3"/>
    <x v="0"/>
    <x v="2"/>
    <x v="4"/>
    <n v="20000000"/>
    <n v="2"/>
    <d v="1899-12-30T00:09:00"/>
    <x v="0"/>
    <x v="7"/>
    <x v="1"/>
    <x v="1"/>
    <x v="6"/>
  </r>
  <r>
    <x v="0"/>
    <n v="7"/>
    <x v="3"/>
    <x v="0"/>
    <x v="2"/>
    <x v="2"/>
    <n v="12000000"/>
    <n v="2"/>
    <d v="1899-12-30T00:09:00"/>
    <x v="0"/>
    <x v="0"/>
    <x v="6"/>
    <x v="0"/>
    <x v="10"/>
  </r>
  <r>
    <x v="0"/>
    <n v="20"/>
    <x v="4"/>
    <x v="0"/>
    <x v="2"/>
    <x v="3"/>
    <n v="20000000"/>
    <n v="2"/>
    <d v="1899-12-30T00:09:00"/>
    <x v="2"/>
    <x v="4"/>
    <x v="7"/>
    <x v="1"/>
    <x v="2"/>
  </r>
  <r>
    <x v="0"/>
    <n v="15"/>
    <x v="4"/>
    <x v="5"/>
    <x v="1"/>
    <x v="2"/>
    <n v="12000000"/>
    <n v="3"/>
    <d v="1899-12-30T00:09:00"/>
    <x v="0"/>
    <x v="8"/>
    <x v="3"/>
    <x v="0"/>
    <x v="12"/>
  </r>
  <r>
    <x v="0"/>
    <n v="18"/>
    <x v="4"/>
    <x v="0"/>
    <x v="1"/>
    <x v="2"/>
    <n v="12000000"/>
    <n v="1"/>
    <d v="1899-12-30T00:09:00"/>
    <x v="0"/>
    <x v="7"/>
    <x v="4"/>
    <x v="1"/>
    <x v="6"/>
  </r>
  <r>
    <x v="0"/>
    <n v="3"/>
    <x v="4"/>
    <x v="3"/>
    <x v="0"/>
    <x v="3"/>
    <n v="20000000"/>
    <n v="1"/>
    <d v="1899-12-30T00:09:00"/>
    <x v="0"/>
    <x v="4"/>
    <x v="5"/>
    <x v="0"/>
    <x v="7"/>
  </r>
  <r>
    <x v="1"/>
    <n v="11"/>
    <x v="7"/>
    <x v="0"/>
    <x v="0"/>
    <x v="5"/>
    <n v="0"/>
    <n v="1"/>
    <d v="1899-12-30T00:09:00"/>
    <x v="3"/>
    <x v="9"/>
    <x v="2"/>
    <x v="1"/>
    <x v="6"/>
  </r>
  <r>
    <x v="1"/>
    <n v="30"/>
    <x v="10"/>
    <x v="3"/>
    <x v="0"/>
    <x v="5"/>
    <n v="0"/>
    <n v="3"/>
    <d v="1899-12-30T00:09:00"/>
    <x v="3"/>
    <x v="9"/>
    <x v="2"/>
    <x v="3"/>
    <x v="13"/>
  </r>
  <r>
    <x v="1"/>
    <n v="27"/>
    <x v="10"/>
    <x v="4"/>
    <x v="2"/>
    <x v="5"/>
    <n v="0"/>
    <n v="1"/>
    <d v="1899-12-30T00:09:00"/>
    <x v="3"/>
    <x v="9"/>
    <x v="6"/>
    <x v="2"/>
    <x v="3"/>
  </r>
  <r>
    <x v="1"/>
    <n v="11"/>
    <x v="7"/>
    <x v="0"/>
    <x v="0"/>
    <x v="5"/>
    <n v="0"/>
    <n v="1"/>
    <d v="1899-12-30T00:09:00"/>
    <x v="3"/>
    <x v="9"/>
    <x v="2"/>
    <x v="1"/>
    <x v="6"/>
  </r>
  <r>
    <x v="0"/>
    <n v="31"/>
    <x v="8"/>
    <x v="4"/>
    <x v="2"/>
    <x v="2"/>
    <n v="12000000"/>
    <n v="4"/>
    <d v="1899-12-30T00:09:12"/>
    <x v="0"/>
    <x v="7"/>
    <x v="2"/>
    <x v="1"/>
    <x v="1"/>
  </r>
  <r>
    <x v="0"/>
    <n v="7"/>
    <x v="2"/>
    <x v="0"/>
    <x v="3"/>
    <x v="3"/>
    <n v="11000000"/>
    <n v="5"/>
    <d v="1899-12-30T00:09:12"/>
    <x v="2"/>
    <x v="4"/>
    <x v="3"/>
    <x v="1"/>
    <x v="6"/>
  </r>
  <r>
    <x v="0"/>
    <n v="21"/>
    <x v="3"/>
    <x v="0"/>
    <x v="4"/>
    <x v="3"/>
    <n v="20000000"/>
    <n v="2"/>
    <d v="1899-12-30T00:09:12"/>
    <x v="0"/>
    <x v="3"/>
    <x v="2"/>
    <x v="1"/>
    <x v="6"/>
  </r>
  <r>
    <x v="0"/>
    <n v="8"/>
    <x v="3"/>
    <x v="0"/>
    <x v="4"/>
    <x v="1"/>
    <n v="15000000"/>
    <n v="1"/>
    <d v="1899-12-30T00:09:12"/>
    <x v="0"/>
    <x v="8"/>
    <x v="4"/>
    <x v="0"/>
    <x v="7"/>
  </r>
  <r>
    <x v="0"/>
    <n v="8"/>
    <x v="3"/>
    <x v="3"/>
    <x v="2"/>
    <x v="2"/>
    <n v="12000000"/>
    <n v="4"/>
    <d v="1899-12-30T00:09:12"/>
    <x v="0"/>
    <x v="4"/>
    <x v="1"/>
    <x v="2"/>
    <x v="8"/>
  </r>
  <r>
    <x v="0"/>
    <n v="22"/>
    <x v="4"/>
    <x v="1"/>
    <x v="0"/>
    <x v="0"/>
    <n v="7000000"/>
    <n v="1"/>
    <d v="1899-12-30T00:09:12"/>
    <x v="0"/>
    <x v="2"/>
    <x v="7"/>
    <x v="3"/>
    <x v="13"/>
  </r>
  <r>
    <x v="0"/>
    <n v="25"/>
    <x v="4"/>
    <x v="0"/>
    <x v="2"/>
    <x v="1"/>
    <n v="15000000"/>
    <n v="3"/>
    <d v="1899-12-30T00:09:12"/>
    <x v="0"/>
    <x v="0"/>
    <x v="2"/>
    <x v="0"/>
    <x v="5"/>
  </r>
  <r>
    <x v="0"/>
    <n v="7"/>
    <x v="4"/>
    <x v="0"/>
    <x v="2"/>
    <x v="4"/>
    <n v="25000000"/>
    <n v="3"/>
    <d v="1899-12-30T00:09:12"/>
    <x v="0"/>
    <x v="1"/>
    <x v="0"/>
    <x v="0"/>
    <x v="9"/>
  </r>
  <r>
    <x v="0"/>
    <n v="1"/>
    <x v="10"/>
    <x v="1"/>
    <x v="3"/>
    <x v="4"/>
    <n v="25000000"/>
    <n v="3"/>
    <d v="1899-12-30T00:09:12"/>
    <x v="0"/>
    <x v="4"/>
    <x v="2"/>
    <x v="2"/>
    <x v="11"/>
  </r>
  <r>
    <x v="0"/>
    <n v="17"/>
    <x v="10"/>
    <x v="0"/>
    <x v="2"/>
    <x v="2"/>
    <n v="12000000"/>
    <n v="2"/>
    <d v="1899-12-30T00:09:12"/>
    <x v="0"/>
    <x v="7"/>
    <x v="5"/>
    <x v="1"/>
    <x v="6"/>
  </r>
  <r>
    <x v="0"/>
    <n v="31"/>
    <x v="8"/>
    <x v="4"/>
    <x v="2"/>
    <x v="2"/>
    <n v="12000000"/>
    <n v="4"/>
    <d v="1899-12-30T00:09:12"/>
    <x v="0"/>
    <x v="7"/>
    <x v="2"/>
    <x v="1"/>
    <x v="1"/>
  </r>
  <r>
    <x v="1"/>
    <n v="12"/>
    <x v="1"/>
    <x v="3"/>
    <x v="1"/>
    <x v="5"/>
    <n v="0"/>
    <n v="3"/>
    <d v="1899-12-30T00:09:12"/>
    <x v="3"/>
    <x v="9"/>
    <x v="6"/>
    <x v="3"/>
    <x v="13"/>
  </r>
  <r>
    <x v="1"/>
    <n v="17"/>
    <x v="4"/>
    <x v="1"/>
    <x v="1"/>
    <x v="5"/>
    <n v="0"/>
    <n v="1"/>
    <d v="1899-12-30T00:09:12"/>
    <x v="3"/>
    <x v="9"/>
    <x v="6"/>
    <x v="2"/>
    <x v="8"/>
  </r>
  <r>
    <x v="1"/>
    <n v="14"/>
    <x v="10"/>
    <x v="1"/>
    <x v="2"/>
    <x v="5"/>
    <n v="0"/>
    <n v="4"/>
    <d v="1899-12-30T00:09:12"/>
    <x v="3"/>
    <x v="9"/>
    <x v="7"/>
    <x v="1"/>
    <x v="2"/>
  </r>
  <r>
    <x v="0"/>
    <n v="11"/>
    <x v="5"/>
    <x v="2"/>
    <x v="1"/>
    <x v="2"/>
    <n v="38000000"/>
    <n v="1"/>
    <d v="1899-12-30T00:09:15"/>
    <x v="1"/>
    <x v="2"/>
    <x v="7"/>
    <x v="3"/>
    <x v="13"/>
  </r>
  <r>
    <x v="0"/>
    <n v="11"/>
    <x v="6"/>
    <x v="0"/>
    <x v="2"/>
    <x v="4"/>
    <n v="25000000"/>
    <n v="1"/>
    <d v="1899-12-30T00:09:15"/>
    <x v="0"/>
    <x v="2"/>
    <x v="7"/>
    <x v="0"/>
    <x v="5"/>
  </r>
  <r>
    <x v="0"/>
    <n v="1"/>
    <x v="9"/>
    <x v="4"/>
    <x v="1"/>
    <x v="2"/>
    <n v="12000000"/>
    <n v="1"/>
    <d v="1899-12-30T00:09:15"/>
    <x v="0"/>
    <x v="2"/>
    <x v="5"/>
    <x v="1"/>
    <x v="6"/>
  </r>
  <r>
    <x v="0"/>
    <n v="29"/>
    <x v="1"/>
    <x v="1"/>
    <x v="0"/>
    <x v="4"/>
    <n v="21000000"/>
    <n v="5"/>
    <d v="1899-12-30T00:09:15"/>
    <x v="0"/>
    <x v="0"/>
    <x v="2"/>
    <x v="2"/>
    <x v="8"/>
  </r>
  <r>
    <x v="0"/>
    <n v="30"/>
    <x v="2"/>
    <x v="2"/>
    <x v="1"/>
    <x v="2"/>
    <n v="12000000"/>
    <n v="4"/>
    <d v="1899-12-30T00:09:15"/>
    <x v="0"/>
    <x v="0"/>
    <x v="3"/>
    <x v="0"/>
    <x v="12"/>
  </r>
  <r>
    <x v="0"/>
    <n v="25"/>
    <x v="3"/>
    <x v="0"/>
    <x v="0"/>
    <x v="0"/>
    <n v="19000000"/>
    <n v="3"/>
    <d v="1899-12-30T00:09:15"/>
    <x v="1"/>
    <x v="1"/>
    <x v="2"/>
    <x v="1"/>
    <x v="1"/>
  </r>
  <r>
    <x v="0"/>
    <n v="10"/>
    <x v="3"/>
    <x v="0"/>
    <x v="0"/>
    <x v="3"/>
    <n v="11000000"/>
    <n v="5"/>
    <d v="1899-12-30T00:09:15"/>
    <x v="2"/>
    <x v="2"/>
    <x v="6"/>
    <x v="1"/>
    <x v="1"/>
  </r>
  <r>
    <x v="0"/>
    <n v="28"/>
    <x v="3"/>
    <x v="4"/>
    <x v="2"/>
    <x v="0"/>
    <n v="7000000"/>
    <n v="1"/>
    <d v="1899-12-30T00:09:15"/>
    <x v="0"/>
    <x v="7"/>
    <x v="4"/>
    <x v="0"/>
    <x v="12"/>
  </r>
  <r>
    <x v="0"/>
    <n v="13"/>
    <x v="4"/>
    <x v="3"/>
    <x v="1"/>
    <x v="3"/>
    <n v="20000000"/>
    <n v="5"/>
    <d v="1899-12-30T00:09:15"/>
    <x v="0"/>
    <x v="1"/>
    <x v="2"/>
    <x v="1"/>
    <x v="2"/>
  </r>
  <r>
    <x v="0"/>
    <n v="3"/>
    <x v="4"/>
    <x v="0"/>
    <x v="2"/>
    <x v="1"/>
    <n v="15000000"/>
    <n v="2"/>
    <d v="1899-12-30T00:09:15"/>
    <x v="0"/>
    <x v="7"/>
    <x v="1"/>
    <x v="2"/>
    <x v="8"/>
  </r>
  <r>
    <x v="0"/>
    <n v="11"/>
    <x v="5"/>
    <x v="2"/>
    <x v="1"/>
    <x v="2"/>
    <n v="38000000"/>
    <n v="1"/>
    <d v="1899-12-30T00:09:15"/>
    <x v="1"/>
    <x v="2"/>
    <x v="7"/>
    <x v="3"/>
    <x v="13"/>
  </r>
  <r>
    <x v="0"/>
    <n v="11"/>
    <x v="6"/>
    <x v="0"/>
    <x v="2"/>
    <x v="4"/>
    <n v="25000000"/>
    <n v="1"/>
    <d v="1899-12-30T00:09:15"/>
    <x v="0"/>
    <x v="2"/>
    <x v="7"/>
    <x v="0"/>
    <x v="5"/>
  </r>
  <r>
    <x v="0"/>
    <n v="1"/>
    <x v="9"/>
    <x v="4"/>
    <x v="1"/>
    <x v="2"/>
    <n v="12000000"/>
    <n v="1"/>
    <d v="1899-12-30T00:09:15"/>
    <x v="0"/>
    <x v="2"/>
    <x v="5"/>
    <x v="1"/>
    <x v="6"/>
  </r>
  <r>
    <x v="0"/>
    <n v="29"/>
    <x v="1"/>
    <x v="1"/>
    <x v="0"/>
    <x v="4"/>
    <n v="21000000"/>
    <n v="5"/>
    <d v="1899-12-30T00:09:15"/>
    <x v="0"/>
    <x v="0"/>
    <x v="2"/>
    <x v="2"/>
    <x v="8"/>
  </r>
  <r>
    <x v="1"/>
    <n v="13"/>
    <x v="5"/>
    <x v="0"/>
    <x v="3"/>
    <x v="5"/>
    <n v="0"/>
    <n v="2"/>
    <d v="1899-12-30T00:09:15"/>
    <x v="3"/>
    <x v="9"/>
    <x v="5"/>
    <x v="3"/>
    <x v="13"/>
  </r>
  <r>
    <x v="1"/>
    <n v="29"/>
    <x v="2"/>
    <x v="1"/>
    <x v="1"/>
    <x v="5"/>
    <n v="0"/>
    <n v="2"/>
    <d v="1899-12-30T00:09:15"/>
    <x v="3"/>
    <x v="9"/>
    <x v="5"/>
    <x v="1"/>
    <x v="1"/>
  </r>
  <r>
    <x v="1"/>
    <n v="30"/>
    <x v="10"/>
    <x v="1"/>
    <x v="2"/>
    <x v="5"/>
    <n v="0"/>
    <n v="4"/>
    <d v="1899-12-30T00:09:15"/>
    <x v="3"/>
    <x v="9"/>
    <x v="2"/>
    <x v="2"/>
    <x v="11"/>
  </r>
  <r>
    <x v="1"/>
    <n v="13"/>
    <x v="5"/>
    <x v="0"/>
    <x v="3"/>
    <x v="5"/>
    <n v="0"/>
    <n v="2"/>
    <d v="1899-12-30T00:09:15"/>
    <x v="3"/>
    <x v="9"/>
    <x v="5"/>
    <x v="3"/>
    <x v="13"/>
  </r>
  <r>
    <x v="0"/>
    <n v="12"/>
    <x v="5"/>
    <x v="2"/>
    <x v="2"/>
    <x v="2"/>
    <n v="12000000"/>
    <n v="3"/>
    <d v="1899-12-30T00:09:36"/>
    <x v="0"/>
    <x v="0"/>
    <x v="2"/>
    <x v="2"/>
    <x v="8"/>
  </r>
  <r>
    <x v="0"/>
    <n v="1"/>
    <x v="11"/>
    <x v="1"/>
    <x v="2"/>
    <x v="4"/>
    <n v="25000000"/>
    <n v="1"/>
    <d v="1899-12-30T00:09:36"/>
    <x v="0"/>
    <x v="2"/>
    <x v="5"/>
    <x v="1"/>
    <x v="2"/>
  </r>
  <r>
    <x v="0"/>
    <n v="11"/>
    <x v="2"/>
    <x v="4"/>
    <x v="4"/>
    <x v="0"/>
    <n v="7000000"/>
    <n v="2"/>
    <d v="1899-12-30T00:09:36"/>
    <x v="0"/>
    <x v="7"/>
    <x v="7"/>
    <x v="3"/>
    <x v="13"/>
  </r>
  <r>
    <x v="0"/>
    <n v="12"/>
    <x v="3"/>
    <x v="0"/>
    <x v="2"/>
    <x v="2"/>
    <n v="38000000"/>
    <n v="3"/>
    <d v="1899-12-30T00:09:36"/>
    <x v="1"/>
    <x v="7"/>
    <x v="6"/>
    <x v="1"/>
    <x v="6"/>
  </r>
  <r>
    <x v="0"/>
    <n v="28"/>
    <x v="3"/>
    <x v="4"/>
    <x v="0"/>
    <x v="1"/>
    <n v="15000000"/>
    <n v="1"/>
    <d v="1899-12-30T00:09:36"/>
    <x v="0"/>
    <x v="1"/>
    <x v="3"/>
    <x v="0"/>
    <x v="5"/>
  </r>
  <r>
    <x v="0"/>
    <n v="8"/>
    <x v="3"/>
    <x v="2"/>
    <x v="3"/>
    <x v="2"/>
    <n v="12000000"/>
    <n v="4"/>
    <d v="1899-12-30T00:09:36"/>
    <x v="0"/>
    <x v="2"/>
    <x v="7"/>
    <x v="1"/>
    <x v="2"/>
  </r>
  <r>
    <x v="0"/>
    <n v="11"/>
    <x v="4"/>
    <x v="1"/>
    <x v="0"/>
    <x v="2"/>
    <n v="12000000"/>
    <n v="1"/>
    <d v="1899-12-30T00:09:36"/>
    <x v="0"/>
    <x v="4"/>
    <x v="5"/>
    <x v="1"/>
    <x v="1"/>
  </r>
  <r>
    <x v="0"/>
    <n v="22"/>
    <x v="4"/>
    <x v="2"/>
    <x v="0"/>
    <x v="3"/>
    <n v="20000000"/>
    <n v="4"/>
    <d v="1899-12-30T00:09:36"/>
    <x v="0"/>
    <x v="0"/>
    <x v="4"/>
    <x v="0"/>
    <x v="5"/>
  </r>
  <r>
    <x v="0"/>
    <n v="12"/>
    <x v="5"/>
    <x v="2"/>
    <x v="2"/>
    <x v="2"/>
    <n v="12000000"/>
    <n v="3"/>
    <d v="1899-12-30T00:09:36"/>
    <x v="0"/>
    <x v="0"/>
    <x v="2"/>
    <x v="2"/>
    <x v="8"/>
  </r>
  <r>
    <x v="0"/>
    <n v="1"/>
    <x v="11"/>
    <x v="1"/>
    <x v="2"/>
    <x v="4"/>
    <n v="25000000"/>
    <n v="1"/>
    <d v="1899-12-30T00:09:36"/>
    <x v="0"/>
    <x v="2"/>
    <x v="5"/>
    <x v="1"/>
    <x v="2"/>
  </r>
  <r>
    <x v="1"/>
    <n v="27"/>
    <x v="2"/>
    <x v="0"/>
    <x v="0"/>
    <x v="5"/>
    <n v="0"/>
    <n v="1"/>
    <d v="1899-12-30T00:09:36"/>
    <x v="3"/>
    <x v="9"/>
    <x v="3"/>
    <x v="2"/>
    <x v="11"/>
  </r>
  <r>
    <x v="1"/>
    <n v="3"/>
    <x v="3"/>
    <x v="0"/>
    <x v="2"/>
    <x v="5"/>
    <n v="0"/>
    <n v="1"/>
    <d v="1899-12-30T00:09:36"/>
    <x v="3"/>
    <x v="9"/>
    <x v="2"/>
    <x v="0"/>
    <x v="9"/>
  </r>
  <r>
    <x v="1"/>
    <n v="11"/>
    <x v="4"/>
    <x v="0"/>
    <x v="0"/>
    <x v="5"/>
    <n v="0"/>
    <n v="3"/>
    <d v="1899-12-30T00:09:36"/>
    <x v="3"/>
    <x v="9"/>
    <x v="4"/>
    <x v="0"/>
    <x v="5"/>
  </r>
  <r>
    <x v="1"/>
    <n v="10"/>
    <x v="4"/>
    <x v="2"/>
    <x v="1"/>
    <x v="5"/>
    <n v="0"/>
    <n v="5"/>
    <d v="1899-12-30T00:09:36"/>
    <x v="3"/>
    <x v="9"/>
    <x v="7"/>
    <x v="0"/>
    <x v="10"/>
  </r>
  <r>
    <x v="0"/>
    <n v="12"/>
    <x v="9"/>
    <x v="1"/>
    <x v="2"/>
    <x v="1"/>
    <n v="15000000"/>
    <n v="3"/>
    <d v="1899-12-30T00:10:10"/>
    <x v="0"/>
    <x v="8"/>
    <x v="6"/>
    <x v="2"/>
    <x v="11"/>
  </r>
  <r>
    <x v="0"/>
    <n v="13"/>
    <x v="1"/>
    <x v="0"/>
    <x v="2"/>
    <x v="1"/>
    <n v="15000000"/>
    <n v="1"/>
    <d v="1899-12-30T00:10:10"/>
    <x v="0"/>
    <x v="5"/>
    <x v="3"/>
    <x v="1"/>
    <x v="2"/>
  </r>
  <r>
    <x v="0"/>
    <n v="11"/>
    <x v="1"/>
    <x v="4"/>
    <x v="0"/>
    <x v="0"/>
    <n v="7000000"/>
    <n v="3"/>
    <d v="1899-12-30T00:10:10"/>
    <x v="0"/>
    <x v="7"/>
    <x v="0"/>
    <x v="0"/>
    <x v="5"/>
  </r>
  <r>
    <x v="0"/>
    <n v="7"/>
    <x v="2"/>
    <x v="2"/>
    <x v="2"/>
    <x v="2"/>
    <n v="12000000"/>
    <n v="4"/>
    <d v="1899-12-30T00:10:10"/>
    <x v="0"/>
    <x v="4"/>
    <x v="4"/>
    <x v="0"/>
    <x v="9"/>
  </r>
  <r>
    <x v="0"/>
    <n v="9"/>
    <x v="2"/>
    <x v="1"/>
    <x v="1"/>
    <x v="1"/>
    <n v="15000000"/>
    <n v="4"/>
    <d v="1899-12-30T00:10:10"/>
    <x v="0"/>
    <x v="0"/>
    <x v="3"/>
    <x v="2"/>
    <x v="8"/>
  </r>
  <r>
    <x v="0"/>
    <n v="24"/>
    <x v="2"/>
    <x v="1"/>
    <x v="3"/>
    <x v="2"/>
    <n v="12000000"/>
    <n v="2"/>
    <d v="1899-12-30T00:10:10"/>
    <x v="0"/>
    <x v="4"/>
    <x v="7"/>
    <x v="1"/>
    <x v="6"/>
  </r>
  <r>
    <x v="0"/>
    <n v="28"/>
    <x v="3"/>
    <x v="3"/>
    <x v="2"/>
    <x v="3"/>
    <n v="20000000"/>
    <n v="1"/>
    <d v="1899-12-30T00:10:10"/>
    <x v="0"/>
    <x v="0"/>
    <x v="2"/>
    <x v="0"/>
    <x v="9"/>
  </r>
  <r>
    <x v="0"/>
    <n v="25"/>
    <x v="3"/>
    <x v="1"/>
    <x v="4"/>
    <x v="4"/>
    <n v="20000000"/>
    <n v="5"/>
    <d v="1899-12-30T00:10:10"/>
    <x v="0"/>
    <x v="3"/>
    <x v="5"/>
    <x v="1"/>
    <x v="2"/>
  </r>
  <r>
    <x v="0"/>
    <n v="29"/>
    <x v="3"/>
    <x v="1"/>
    <x v="1"/>
    <x v="2"/>
    <n v="12000000"/>
    <n v="2"/>
    <d v="1899-12-30T00:10:10"/>
    <x v="0"/>
    <x v="5"/>
    <x v="7"/>
    <x v="1"/>
    <x v="1"/>
  </r>
  <r>
    <x v="0"/>
    <n v="25"/>
    <x v="10"/>
    <x v="0"/>
    <x v="1"/>
    <x v="3"/>
    <n v="20000000"/>
    <n v="1"/>
    <d v="1899-12-30T00:10:10"/>
    <x v="2"/>
    <x v="6"/>
    <x v="5"/>
    <x v="3"/>
    <x v="13"/>
  </r>
  <r>
    <x v="0"/>
    <n v="12"/>
    <x v="9"/>
    <x v="1"/>
    <x v="2"/>
    <x v="1"/>
    <n v="15000000"/>
    <n v="3"/>
    <d v="1899-12-30T00:10:10"/>
    <x v="0"/>
    <x v="8"/>
    <x v="6"/>
    <x v="2"/>
    <x v="11"/>
  </r>
  <r>
    <x v="0"/>
    <n v="13"/>
    <x v="1"/>
    <x v="0"/>
    <x v="2"/>
    <x v="1"/>
    <n v="15000000"/>
    <n v="1"/>
    <d v="1899-12-30T00:10:10"/>
    <x v="0"/>
    <x v="5"/>
    <x v="3"/>
    <x v="1"/>
    <x v="2"/>
  </r>
  <r>
    <x v="1"/>
    <n v="21"/>
    <x v="2"/>
    <x v="0"/>
    <x v="2"/>
    <x v="5"/>
    <n v="0"/>
    <n v="2"/>
    <d v="1899-12-30T00:10:10"/>
    <x v="3"/>
    <x v="9"/>
    <x v="3"/>
    <x v="0"/>
    <x v="12"/>
  </r>
  <r>
    <x v="1"/>
    <n v="25"/>
    <x v="4"/>
    <x v="1"/>
    <x v="2"/>
    <x v="5"/>
    <n v="0"/>
    <n v="2"/>
    <d v="1899-12-30T00:10:10"/>
    <x v="3"/>
    <x v="9"/>
    <x v="1"/>
    <x v="1"/>
    <x v="6"/>
  </r>
  <r>
    <x v="1"/>
    <n v="11"/>
    <x v="4"/>
    <x v="2"/>
    <x v="4"/>
    <x v="5"/>
    <n v="0"/>
    <n v="2"/>
    <d v="1899-12-30T00:10:10"/>
    <x v="3"/>
    <x v="9"/>
    <x v="6"/>
    <x v="0"/>
    <x v="5"/>
  </r>
  <r>
    <x v="0"/>
    <n v="1"/>
    <x v="0"/>
    <x v="1"/>
    <x v="1"/>
    <x v="4"/>
    <n v="25000000"/>
    <n v="1"/>
    <d v="1899-12-30T00:11:20"/>
    <x v="0"/>
    <x v="0"/>
    <x v="5"/>
    <x v="3"/>
    <x v="4"/>
  </r>
  <r>
    <x v="0"/>
    <n v="11"/>
    <x v="0"/>
    <x v="4"/>
    <x v="1"/>
    <x v="1"/>
    <n v="15000000"/>
    <n v="2"/>
    <d v="1899-12-30T00:11:20"/>
    <x v="0"/>
    <x v="3"/>
    <x v="6"/>
    <x v="2"/>
    <x v="11"/>
  </r>
  <r>
    <x v="0"/>
    <n v="4"/>
    <x v="8"/>
    <x v="1"/>
    <x v="2"/>
    <x v="3"/>
    <n v="20000000"/>
    <n v="1"/>
    <d v="1899-12-30T00:11:20"/>
    <x v="2"/>
    <x v="7"/>
    <x v="2"/>
    <x v="1"/>
    <x v="14"/>
  </r>
  <r>
    <x v="0"/>
    <n v="30"/>
    <x v="2"/>
    <x v="1"/>
    <x v="2"/>
    <x v="2"/>
    <n v="10000000"/>
    <n v="1"/>
    <d v="1899-12-30T00:11:20"/>
    <x v="0"/>
    <x v="7"/>
    <x v="0"/>
    <x v="0"/>
    <x v="0"/>
  </r>
  <r>
    <x v="0"/>
    <n v="14"/>
    <x v="3"/>
    <x v="0"/>
    <x v="1"/>
    <x v="0"/>
    <n v="19000000"/>
    <n v="2"/>
    <d v="1899-12-30T00:11:20"/>
    <x v="1"/>
    <x v="2"/>
    <x v="6"/>
    <x v="3"/>
    <x v="4"/>
  </r>
  <r>
    <x v="0"/>
    <n v="19"/>
    <x v="3"/>
    <x v="1"/>
    <x v="1"/>
    <x v="0"/>
    <n v="7000000"/>
    <n v="4"/>
    <d v="1899-12-30T00:11:20"/>
    <x v="0"/>
    <x v="1"/>
    <x v="3"/>
    <x v="1"/>
    <x v="14"/>
  </r>
  <r>
    <x v="0"/>
    <n v="3"/>
    <x v="3"/>
    <x v="0"/>
    <x v="3"/>
    <x v="1"/>
    <n v="12000000"/>
    <n v="2"/>
    <d v="1899-12-30T00:11:20"/>
    <x v="0"/>
    <x v="4"/>
    <x v="7"/>
    <x v="1"/>
    <x v="1"/>
  </r>
  <r>
    <x v="0"/>
    <n v="3"/>
    <x v="4"/>
    <x v="2"/>
    <x v="1"/>
    <x v="2"/>
    <n v="38000000"/>
    <n v="2"/>
    <d v="1899-12-30T00:11:20"/>
    <x v="1"/>
    <x v="8"/>
    <x v="3"/>
    <x v="1"/>
    <x v="2"/>
  </r>
  <r>
    <x v="0"/>
    <n v="12"/>
    <x v="4"/>
    <x v="4"/>
    <x v="2"/>
    <x v="1"/>
    <n v="15000000"/>
    <n v="1"/>
    <d v="1899-12-30T00:11:20"/>
    <x v="0"/>
    <x v="2"/>
    <x v="7"/>
    <x v="0"/>
    <x v="7"/>
  </r>
  <r>
    <x v="0"/>
    <n v="22"/>
    <x v="4"/>
    <x v="0"/>
    <x v="4"/>
    <x v="2"/>
    <n v="12000000"/>
    <n v="3"/>
    <d v="1899-12-30T00:11:20"/>
    <x v="0"/>
    <x v="0"/>
    <x v="4"/>
    <x v="0"/>
    <x v="10"/>
  </r>
  <r>
    <x v="0"/>
    <n v="1"/>
    <x v="0"/>
    <x v="1"/>
    <x v="1"/>
    <x v="4"/>
    <n v="25000000"/>
    <n v="1"/>
    <d v="1899-12-30T00:11:20"/>
    <x v="0"/>
    <x v="0"/>
    <x v="5"/>
    <x v="3"/>
    <x v="4"/>
  </r>
  <r>
    <x v="0"/>
    <n v="11"/>
    <x v="0"/>
    <x v="4"/>
    <x v="1"/>
    <x v="1"/>
    <n v="15000000"/>
    <n v="2"/>
    <d v="1899-12-30T00:11:20"/>
    <x v="0"/>
    <x v="3"/>
    <x v="6"/>
    <x v="2"/>
    <x v="11"/>
  </r>
  <r>
    <x v="0"/>
    <n v="4"/>
    <x v="8"/>
    <x v="1"/>
    <x v="2"/>
    <x v="3"/>
    <n v="20000000"/>
    <n v="1"/>
    <d v="1899-12-30T00:11:20"/>
    <x v="2"/>
    <x v="7"/>
    <x v="2"/>
    <x v="1"/>
    <x v="14"/>
  </r>
  <r>
    <x v="1"/>
    <n v="5"/>
    <x v="3"/>
    <x v="0"/>
    <x v="2"/>
    <x v="5"/>
    <n v="0"/>
    <n v="3"/>
    <d v="1899-12-30T00:11:20"/>
    <x v="3"/>
    <x v="9"/>
    <x v="2"/>
    <x v="1"/>
    <x v="2"/>
  </r>
  <r>
    <x v="1"/>
    <n v="10"/>
    <x v="10"/>
    <x v="0"/>
    <x v="1"/>
    <x v="5"/>
    <n v="0"/>
    <n v="2"/>
    <d v="1899-12-30T00:11:20"/>
    <x v="3"/>
    <x v="9"/>
    <x v="4"/>
    <x v="3"/>
    <x v="4"/>
  </r>
  <r>
    <x v="1"/>
    <n v="10"/>
    <x v="10"/>
    <x v="4"/>
    <x v="2"/>
    <x v="5"/>
    <n v="0"/>
    <n v="2"/>
    <d v="1899-12-30T00:11:20"/>
    <x v="3"/>
    <x v="9"/>
    <x v="0"/>
    <x v="0"/>
    <x v="7"/>
  </r>
  <r>
    <x v="0"/>
    <n v="17"/>
    <x v="5"/>
    <x v="1"/>
    <x v="2"/>
    <x v="2"/>
    <n v="38000000"/>
    <n v="4"/>
    <d v="1899-12-30T00:12:45"/>
    <x v="1"/>
    <x v="2"/>
    <x v="3"/>
    <x v="1"/>
    <x v="2"/>
  </r>
  <r>
    <x v="0"/>
    <n v="2"/>
    <x v="8"/>
    <x v="0"/>
    <x v="2"/>
    <x v="4"/>
    <n v="25000000"/>
    <n v="1"/>
    <d v="1899-12-30T00:12:45"/>
    <x v="0"/>
    <x v="0"/>
    <x v="7"/>
    <x v="0"/>
    <x v="0"/>
  </r>
  <r>
    <x v="0"/>
    <n v="5"/>
    <x v="1"/>
    <x v="0"/>
    <x v="0"/>
    <x v="3"/>
    <n v="20000000"/>
    <n v="3"/>
    <d v="1899-12-30T00:12:45"/>
    <x v="2"/>
    <x v="5"/>
    <x v="3"/>
    <x v="0"/>
    <x v="12"/>
  </r>
  <r>
    <x v="0"/>
    <n v="11"/>
    <x v="1"/>
    <x v="1"/>
    <x v="1"/>
    <x v="0"/>
    <n v="7000000"/>
    <n v="6"/>
    <d v="1899-12-30T00:12:45"/>
    <x v="0"/>
    <x v="2"/>
    <x v="1"/>
    <x v="1"/>
    <x v="14"/>
  </r>
  <r>
    <x v="0"/>
    <n v="28"/>
    <x v="2"/>
    <x v="2"/>
    <x v="2"/>
    <x v="1"/>
    <n v="11000000"/>
    <n v="2"/>
    <d v="1899-12-30T00:12:45"/>
    <x v="0"/>
    <x v="2"/>
    <x v="1"/>
    <x v="0"/>
    <x v="0"/>
  </r>
  <r>
    <x v="0"/>
    <n v="16"/>
    <x v="2"/>
    <x v="1"/>
    <x v="1"/>
    <x v="4"/>
    <n v="20000000"/>
    <n v="5"/>
    <d v="1899-12-30T00:12:45"/>
    <x v="0"/>
    <x v="0"/>
    <x v="4"/>
    <x v="2"/>
    <x v="11"/>
  </r>
  <r>
    <x v="0"/>
    <n v="30"/>
    <x v="2"/>
    <x v="4"/>
    <x v="0"/>
    <x v="2"/>
    <n v="10000000"/>
    <n v="1"/>
    <d v="1899-12-30T00:12:45"/>
    <x v="0"/>
    <x v="0"/>
    <x v="6"/>
    <x v="3"/>
    <x v="13"/>
  </r>
  <r>
    <x v="0"/>
    <n v="8"/>
    <x v="3"/>
    <x v="1"/>
    <x v="2"/>
    <x v="0"/>
    <n v="19000000"/>
    <n v="4"/>
    <d v="1899-12-30T00:12:45"/>
    <x v="1"/>
    <x v="0"/>
    <x v="5"/>
    <x v="3"/>
    <x v="13"/>
  </r>
  <r>
    <x v="0"/>
    <n v="17"/>
    <x v="5"/>
    <x v="1"/>
    <x v="2"/>
    <x v="2"/>
    <n v="38000000"/>
    <n v="4"/>
    <d v="1899-12-30T00:12:45"/>
    <x v="1"/>
    <x v="2"/>
    <x v="3"/>
    <x v="1"/>
    <x v="2"/>
  </r>
  <r>
    <x v="0"/>
    <n v="2"/>
    <x v="8"/>
    <x v="0"/>
    <x v="2"/>
    <x v="4"/>
    <n v="25000000"/>
    <n v="1"/>
    <d v="1899-12-30T00:12:45"/>
    <x v="0"/>
    <x v="0"/>
    <x v="7"/>
    <x v="0"/>
    <x v="0"/>
  </r>
  <r>
    <x v="0"/>
    <n v="5"/>
    <x v="1"/>
    <x v="0"/>
    <x v="0"/>
    <x v="3"/>
    <n v="20000000"/>
    <n v="3"/>
    <d v="1899-12-30T00:12:45"/>
    <x v="2"/>
    <x v="5"/>
    <x v="3"/>
    <x v="0"/>
    <x v="12"/>
  </r>
  <r>
    <x v="1"/>
    <n v="22"/>
    <x v="2"/>
    <x v="3"/>
    <x v="1"/>
    <x v="5"/>
    <n v="0"/>
    <n v="3"/>
    <d v="1899-12-30T00:12:45"/>
    <x v="3"/>
    <x v="9"/>
    <x v="2"/>
    <x v="1"/>
    <x v="2"/>
  </r>
  <r>
    <x v="1"/>
    <n v="25"/>
    <x v="3"/>
    <x v="3"/>
    <x v="1"/>
    <x v="5"/>
    <n v="0"/>
    <n v="5"/>
    <d v="1899-12-30T00:12:45"/>
    <x v="3"/>
    <x v="9"/>
    <x v="5"/>
    <x v="0"/>
    <x v="0"/>
  </r>
  <r>
    <x v="1"/>
    <n v="16"/>
    <x v="4"/>
    <x v="0"/>
    <x v="2"/>
    <x v="5"/>
    <n v="0"/>
    <n v="3"/>
    <d v="1899-12-30T00:12:45"/>
    <x v="3"/>
    <x v="9"/>
    <x v="3"/>
    <x v="3"/>
    <x v="13"/>
  </r>
  <r>
    <x v="1"/>
    <n v="30"/>
    <x v="4"/>
    <x v="2"/>
    <x v="2"/>
    <x v="5"/>
    <n v="0"/>
    <n v="5"/>
    <d v="1899-12-30T00:12:45"/>
    <x v="3"/>
    <x v="9"/>
    <x v="6"/>
    <x v="1"/>
    <x v="6"/>
  </r>
  <r>
    <x v="1"/>
    <n v="1"/>
    <x v="10"/>
    <x v="1"/>
    <x v="0"/>
    <x v="5"/>
    <n v="0"/>
    <n v="2"/>
    <d v="1899-12-30T00:12:45"/>
    <x v="3"/>
    <x v="9"/>
    <x v="1"/>
    <x v="1"/>
    <x v="1"/>
  </r>
  <r>
    <x v="0"/>
    <n v="13"/>
    <x v="6"/>
    <x v="2"/>
    <x v="0"/>
    <x v="0"/>
    <n v="7000000"/>
    <n v="6"/>
    <d v="1899-12-30T00:12:55"/>
    <x v="0"/>
    <x v="5"/>
    <x v="3"/>
    <x v="3"/>
    <x v="4"/>
  </r>
  <r>
    <x v="0"/>
    <n v="10"/>
    <x v="0"/>
    <x v="4"/>
    <x v="0"/>
    <x v="1"/>
    <n v="15000000"/>
    <n v="1"/>
    <d v="1899-12-30T00:12:55"/>
    <x v="0"/>
    <x v="7"/>
    <x v="2"/>
    <x v="0"/>
    <x v="9"/>
  </r>
  <r>
    <x v="0"/>
    <n v="9"/>
    <x v="11"/>
    <x v="0"/>
    <x v="2"/>
    <x v="3"/>
    <n v="11000000"/>
    <n v="1"/>
    <d v="1899-12-30T00:12:55"/>
    <x v="2"/>
    <x v="0"/>
    <x v="3"/>
    <x v="0"/>
    <x v="10"/>
  </r>
  <r>
    <x v="0"/>
    <n v="21"/>
    <x v="2"/>
    <x v="0"/>
    <x v="1"/>
    <x v="2"/>
    <n v="38000000"/>
    <n v="3"/>
    <d v="1899-12-30T00:12:55"/>
    <x v="1"/>
    <x v="4"/>
    <x v="1"/>
    <x v="1"/>
    <x v="6"/>
  </r>
  <r>
    <x v="0"/>
    <n v="30"/>
    <x v="2"/>
    <x v="3"/>
    <x v="2"/>
    <x v="1"/>
    <n v="15000000"/>
    <n v="5"/>
    <d v="1899-12-30T00:12:55"/>
    <x v="0"/>
    <x v="0"/>
    <x v="7"/>
    <x v="1"/>
    <x v="15"/>
  </r>
  <r>
    <x v="0"/>
    <n v="13"/>
    <x v="3"/>
    <x v="0"/>
    <x v="2"/>
    <x v="2"/>
    <n v="38000000"/>
    <n v="1"/>
    <d v="1899-12-30T00:12:55"/>
    <x v="1"/>
    <x v="6"/>
    <x v="7"/>
    <x v="3"/>
    <x v="13"/>
  </r>
  <r>
    <x v="0"/>
    <n v="2"/>
    <x v="3"/>
    <x v="0"/>
    <x v="1"/>
    <x v="2"/>
    <n v="10000000"/>
    <n v="5"/>
    <d v="1899-12-30T00:12:55"/>
    <x v="0"/>
    <x v="0"/>
    <x v="2"/>
    <x v="0"/>
    <x v="7"/>
  </r>
  <r>
    <x v="0"/>
    <n v="4"/>
    <x v="3"/>
    <x v="1"/>
    <x v="1"/>
    <x v="3"/>
    <n v="20000000"/>
    <n v="2"/>
    <d v="1899-12-30T00:12:55"/>
    <x v="0"/>
    <x v="2"/>
    <x v="2"/>
    <x v="2"/>
    <x v="8"/>
  </r>
  <r>
    <x v="0"/>
    <n v="6"/>
    <x v="3"/>
    <x v="3"/>
    <x v="3"/>
    <x v="2"/>
    <n v="12000000"/>
    <n v="2"/>
    <d v="1899-12-30T00:12:55"/>
    <x v="0"/>
    <x v="7"/>
    <x v="2"/>
    <x v="1"/>
    <x v="1"/>
  </r>
  <r>
    <x v="0"/>
    <n v="23"/>
    <x v="3"/>
    <x v="5"/>
    <x v="0"/>
    <x v="1"/>
    <n v="15000000"/>
    <n v="1"/>
    <d v="1899-12-30T00:12:55"/>
    <x v="0"/>
    <x v="3"/>
    <x v="7"/>
    <x v="0"/>
    <x v="12"/>
  </r>
  <r>
    <x v="0"/>
    <n v="8"/>
    <x v="3"/>
    <x v="3"/>
    <x v="2"/>
    <x v="2"/>
    <n v="12000000"/>
    <n v="2"/>
    <d v="1899-12-30T00:12:55"/>
    <x v="0"/>
    <x v="4"/>
    <x v="4"/>
    <x v="0"/>
    <x v="0"/>
  </r>
  <r>
    <x v="0"/>
    <n v="1"/>
    <x v="3"/>
    <x v="1"/>
    <x v="1"/>
    <x v="2"/>
    <n v="12000000"/>
    <n v="2"/>
    <d v="1899-12-30T00:12:55"/>
    <x v="0"/>
    <x v="0"/>
    <x v="5"/>
    <x v="1"/>
    <x v="1"/>
  </r>
  <r>
    <x v="0"/>
    <n v="20"/>
    <x v="3"/>
    <x v="3"/>
    <x v="1"/>
    <x v="4"/>
    <n v="21000000"/>
    <n v="2"/>
    <d v="1899-12-30T00:12:55"/>
    <x v="0"/>
    <x v="7"/>
    <x v="5"/>
    <x v="0"/>
    <x v="7"/>
  </r>
  <r>
    <x v="0"/>
    <n v="11"/>
    <x v="4"/>
    <x v="2"/>
    <x v="2"/>
    <x v="2"/>
    <n v="12000000"/>
    <n v="1"/>
    <d v="1899-12-30T00:12:55"/>
    <x v="0"/>
    <x v="2"/>
    <x v="0"/>
    <x v="0"/>
    <x v="0"/>
  </r>
  <r>
    <x v="0"/>
    <n v="3"/>
    <x v="4"/>
    <x v="5"/>
    <x v="2"/>
    <x v="4"/>
    <n v="25000000"/>
    <n v="1"/>
    <d v="1899-12-30T00:12:55"/>
    <x v="0"/>
    <x v="1"/>
    <x v="5"/>
    <x v="1"/>
    <x v="6"/>
  </r>
  <r>
    <x v="0"/>
    <n v="30"/>
    <x v="10"/>
    <x v="3"/>
    <x v="1"/>
    <x v="0"/>
    <n v="19000000"/>
    <n v="2"/>
    <d v="1899-12-30T00:12:55"/>
    <x v="1"/>
    <x v="2"/>
    <x v="6"/>
    <x v="1"/>
    <x v="15"/>
  </r>
  <r>
    <x v="0"/>
    <n v="28"/>
    <x v="10"/>
    <x v="3"/>
    <x v="0"/>
    <x v="3"/>
    <n v="20000000"/>
    <n v="1"/>
    <d v="1899-12-30T00:12:55"/>
    <x v="2"/>
    <x v="2"/>
    <x v="3"/>
    <x v="3"/>
    <x v="4"/>
  </r>
  <r>
    <x v="0"/>
    <n v="1"/>
    <x v="10"/>
    <x v="0"/>
    <x v="2"/>
    <x v="4"/>
    <n v="25000000"/>
    <n v="3"/>
    <d v="1899-12-30T00:12:55"/>
    <x v="0"/>
    <x v="1"/>
    <x v="2"/>
    <x v="3"/>
    <x v="4"/>
  </r>
  <r>
    <x v="0"/>
    <n v="30"/>
    <x v="10"/>
    <x v="1"/>
    <x v="2"/>
    <x v="0"/>
    <n v="7000000"/>
    <n v="1"/>
    <d v="1899-12-30T00:12:55"/>
    <x v="0"/>
    <x v="7"/>
    <x v="2"/>
    <x v="0"/>
    <x v="9"/>
  </r>
  <r>
    <x v="0"/>
    <n v="13"/>
    <x v="6"/>
    <x v="2"/>
    <x v="0"/>
    <x v="0"/>
    <n v="7000000"/>
    <n v="6"/>
    <d v="1899-12-30T00:12:55"/>
    <x v="0"/>
    <x v="5"/>
    <x v="3"/>
    <x v="3"/>
    <x v="4"/>
  </r>
  <r>
    <x v="0"/>
    <n v="10"/>
    <x v="0"/>
    <x v="4"/>
    <x v="0"/>
    <x v="1"/>
    <n v="15000000"/>
    <n v="1"/>
    <d v="1899-12-30T00:12:55"/>
    <x v="0"/>
    <x v="7"/>
    <x v="2"/>
    <x v="0"/>
    <x v="9"/>
  </r>
  <r>
    <x v="0"/>
    <n v="9"/>
    <x v="11"/>
    <x v="0"/>
    <x v="2"/>
    <x v="3"/>
    <n v="11000000"/>
    <n v="1"/>
    <d v="1899-12-30T00:12:55"/>
    <x v="2"/>
    <x v="0"/>
    <x v="3"/>
    <x v="0"/>
    <x v="10"/>
  </r>
  <r>
    <x v="1"/>
    <n v="11"/>
    <x v="6"/>
    <x v="2"/>
    <x v="1"/>
    <x v="5"/>
    <n v="0"/>
    <n v="2"/>
    <d v="1899-12-30T00:12:55"/>
    <x v="3"/>
    <x v="9"/>
    <x v="6"/>
    <x v="1"/>
    <x v="6"/>
  </r>
  <r>
    <x v="1"/>
    <n v="12"/>
    <x v="7"/>
    <x v="0"/>
    <x v="1"/>
    <x v="5"/>
    <n v="0"/>
    <n v="2"/>
    <d v="1899-12-30T00:12:55"/>
    <x v="3"/>
    <x v="9"/>
    <x v="6"/>
    <x v="2"/>
    <x v="8"/>
  </r>
  <r>
    <x v="1"/>
    <n v="30"/>
    <x v="2"/>
    <x v="2"/>
    <x v="4"/>
    <x v="5"/>
    <n v="0"/>
    <n v="2"/>
    <d v="1899-12-30T00:12:55"/>
    <x v="3"/>
    <x v="9"/>
    <x v="7"/>
    <x v="0"/>
    <x v="0"/>
  </r>
  <r>
    <x v="1"/>
    <n v="14"/>
    <x v="3"/>
    <x v="5"/>
    <x v="3"/>
    <x v="5"/>
    <n v="0"/>
    <n v="2"/>
    <d v="1899-12-30T00:12:55"/>
    <x v="3"/>
    <x v="9"/>
    <x v="0"/>
    <x v="2"/>
    <x v="8"/>
  </r>
  <r>
    <x v="1"/>
    <n v="18"/>
    <x v="4"/>
    <x v="2"/>
    <x v="1"/>
    <x v="5"/>
    <n v="0"/>
    <n v="2"/>
    <d v="1899-12-30T00:12:55"/>
    <x v="3"/>
    <x v="9"/>
    <x v="2"/>
    <x v="3"/>
    <x v="4"/>
  </r>
  <r>
    <x v="1"/>
    <n v="24"/>
    <x v="4"/>
    <x v="3"/>
    <x v="2"/>
    <x v="5"/>
    <n v="0"/>
    <n v="2"/>
    <d v="1899-12-30T00:12:55"/>
    <x v="3"/>
    <x v="9"/>
    <x v="0"/>
    <x v="1"/>
    <x v="1"/>
  </r>
  <r>
    <x v="1"/>
    <n v="9"/>
    <x v="10"/>
    <x v="0"/>
    <x v="1"/>
    <x v="5"/>
    <n v="0"/>
    <n v="1"/>
    <d v="1899-12-30T00:12:55"/>
    <x v="3"/>
    <x v="9"/>
    <x v="4"/>
    <x v="1"/>
    <x v="6"/>
  </r>
  <r>
    <x v="1"/>
    <n v="11"/>
    <x v="6"/>
    <x v="2"/>
    <x v="1"/>
    <x v="5"/>
    <n v="0"/>
    <n v="2"/>
    <d v="1899-12-30T00:12:55"/>
    <x v="3"/>
    <x v="9"/>
    <x v="6"/>
    <x v="1"/>
    <x v="6"/>
  </r>
  <r>
    <x v="1"/>
    <n v="12"/>
    <x v="7"/>
    <x v="0"/>
    <x v="1"/>
    <x v="5"/>
    <n v="0"/>
    <n v="2"/>
    <d v="1899-12-30T00:12:55"/>
    <x v="3"/>
    <x v="9"/>
    <x v="6"/>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D9BA2B-A76C-413B-9AE6-4D09F8A498D4}" name="PivotTable1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9">
  <location ref="CF4:CG21" firstHeaderRow="1" firstDataRow="1" firstDataCol="1" rowPageCount="1" colPageCount="1"/>
  <pivotFields count="14">
    <pivotField axis="axisPage" multipleItemSelectionAllowed="1" showAll="0">
      <items count="3">
        <item x="0"/>
        <item h="1" x="1"/>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6" showAll="0"/>
    <pivotField showAll="0"/>
    <pivotField numFmtId="45" showAll="0"/>
    <pivotField showAll="0">
      <items count="6">
        <item x="1"/>
        <item x="2"/>
        <item x="4"/>
        <item x="0"/>
        <item h="1"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x="2"/>
        <item x="3"/>
        <item x="1"/>
        <item x="0"/>
        <item t="default"/>
      </items>
    </pivotField>
    <pivotField axis="axisRow" showAll="0">
      <items count="17">
        <item x="3"/>
        <item x="12"/>
        <item x="7"/>
        <item x="9"/>
        <item x="15"/>
        <item x="13"/>
        <item x="11"/>
        <item x="10"/>
        <item x="0"/>
        <item x="14"/>
        <item x="4"/>
        <item x="1"/>
        <item x="6"/>
        <item x="8"/>
        <item x="2"/>
        <item x="5"/>
        <item t="default"/>
      </items>
    </pivotField>
  </pivotFields>
  <rowFields count="1">
    <field x="13"/>
  </rowFields>
  <rowItems count="17">
    <i>
      <x/>
    </i>
    <i>
      <x v="1"/>
    </i>
    <i>
      <x v="2"/>
    </i>
    <i>
      <x v="3"/>
    </i>
    <i>
      <x v="4"/>
    </i>
    <i>
      <x v="5"/>
    </i>
    <i>
      <x v="6"/>
    </i>
    <i>
      <x v="7"/>
    </i>
    <i>
      <x v="8"/>
    </i>
    <i>
      <x v="9"/>
    </i>
    <i>
      <x v="10"/>
    </i>
    <i>
      <x v="11"/>
    </i>
    <i>
      <x v="12"/>
    </i>
    <i>
      <x v="13"/>
    </i>
    <i>
      <x v="14"/>
    </i>
    <i>
      <x v="15"/>
    </i>
    <i t="grand">
      <x/>
    </i>
  </rowItems>
  <colItems count="1">
    <i/>
  </colItems>
  <pageFields count="1">
    <pageField fld="0" hier="-1"/>
  </pageFields>
  <dataFields count="1">
    <dataField name="Sum of Paid Fees" fld="6" baseField="0" baseItem="0"/>
  </dataFields>
  <formats count="38">
    <format dxfId="37">
      <pivotArea dataOnly="0" labelOnly="1" outline="0" axis="axisValues"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field="0" type="button" dataOnly="0" labelOnly="1" outline="0" axis="axisPage" fieldPosition="0"/>
    </format>
    <format dxfId="28">
      <pivotArea dataOnly="0" labelOnly="1" grandRow="1" outline="0" fieldPosition="0"/>
    </format>
    <format dxfId="27">
      <pivotArea field="2" type="button" dataOnly="0" labelOnly="1" outline="0"/>
    </format>
    <format dxfId="26">
      <pivotArea field="11" type="button" dataOnly="0" labelOnly="1" outline="0"/>
    </format>
    <format dxfId="25">
      <pivotArea field="9" type="button" dataOnly="0" labelOnly="1" outline="0"/>
    </format>
    <format dxfId="24">
      <pivotArea grandRow="1" outline="0" collapsedLevelsAreSubtotals="1" fieldPosition="0"/>
    </format>
    <format dxfId="23">
      <pivotArea grandRow="1" outline="0" collapsedLevelsAreSubtotals="1" fieldPosition="0"/>
    </format>
    <format dxfId="22">
      <pivotArea field="10" type="button" dataOnly="0" labelOnly="1" outline="0"/>
    </format>
    <format dxfId="21">
      <pivotArea dataOnly="0" labelOnly="1" outline="0" fieldPosition="0">
        <references count="1">
          <reference field="0" count="0"/>
        </references>
      </pivotArea>
    </format>
    <format dxfId="20">
      <pivotArea field="0" type="button" dataOnly="0" labelOnly="1" outline="0" axis="axisPage" fieldPosition="0"/>
    </format>
    <format dxfId="19">
      <pivotArea grandRow="1" outline="0" collapsedLevelsAreSubtotals="1" fieldPosition="0"/>
    </format>
    <format dxfId="18">
      <pivotArea field="12" type="button" dataOnly="0" labelOnly="1" outline="0"/>
    </format>
    <format dxfId="17">
      <pivotArea dataOnly="0" labelOnly="1" outline="0" fieldPosition="0">
        <references count="1">
          <reference field="4294967294" count="1">
            <x v="0"/>
          </reference>
        </references>
      </pivotArea>
    </format>
    <format dxfId="16">
      <pivotArea field="13" type="button" dataOnly="0" labelOnly="1" outline="0" axis="axisRow" fieldPosition="0"/>
    </format>
    <format dxfId="15">
      <pivotArea collapsedLevelsAreSubtotals="1" fieldPosition="0">
        <references count="1">
          <reference field="13" count="1">
            <x v="0"/>
          </reference>
        </references>
      </pivotArea>
    </format>
    <format dxfId="14">
      <pivotArea collapsedLevelsAreSubtotals="1" fieldPosition="0">
        <references count="1">
          <reference field="13" count="1">
            <x v="1"/>
          </reference>
        </references>
      </pivotArea>
    </format>
    <format dxfId="13">
      <pivotArea collapsedLevelsAreSubtotals="1" fieldPosition="0">
        <references count="1">
          <reference field="13" count="1">
            <x v="2"/>
          </reference>
        </references>
      </pivotArea>
    </format>
    <format dxfId="12">
      <pivotArea collapsedLevelsAreSubtotals="1" fieldPosition="0">
        <references count="1">
          <reference field="13" count="1">
            <x v="3"/>
          </reference>
        </references>
      </pivotArea>
    </format>
    <format dxfId="11">
      <pivotArea collapsedLevelsAreSubtotals="1" fieldPosition="0">
        <references count="1">
          <reference field="13" count="1">
            <x v="4"/>
          </reference>
        </references>
      </pivotArea>
    </format>
    <format dxfId="10">
      <pivotArea collapsedLevelsAreSubtotals="1" fieldPosition="0">
        <references count="1">
          <reference field="13" count="1">
            <x v="5"/>
          </reference>
        </references>
      </pivotArea>
    </format>
    <format dxfId="9">
      <pivotArea collapsedLevelsAreSubtotals="1" fieldPosition="0">
        <references count="1">
          <reference field="13" count="1">
            <x v="6"/>
          </reference>
        </references>
      </pivotArea>
    </format>
    <format dxfId="8">
      <pivotArea collapsedLevelsAreSubtotals="1" fieldPosition="0">
        <references count="1">
          <reference field="13" count="1">
            <x v="7"/>
          </reference>
        </references>
      </pivotArea>
    </format>
    <format dxfId="7">
      <pivotArea collapsedLevelsAreSubtotals="1" fieldPosition="0">
        <references count="1">
          <reference field="13" count="1">
            <x v="8"/>
          </reference>
        </references>
      </pivotArea>
    </format>
    <format dxfId="6">
      <pivotArea collapsedLevelsAreSubtotals="1" fieldPosition="0">
        <references count="1">
          <reference field="13" count="1">
            <x v="9"/>
          </reference>
        </references>
      </pivotArea>
    </format>
    <format dxfId="5">
      <pivotArea collapsedLevelsAreSubtotals="1" fieldPosition="0">
        <references count="1">
          <reference field="13" count="1">
            <x v="10"/>
          </reference>
        </references>
      </pivotArea>
    </format>
    <format dxfId="4">
      <pivotArea collapsedLevelsAreSubtotals="1" fieldPosition="0">
        <references count="1">
          <reference field="13" count="1">
            <x v="11"/>
          </reference>
        </references>
      </pivotArea>
    </format>
    <format dxfId="3">
      <pivotArea collapsedLevelsAreSubtotals="1" fieldPosition="0">
        <references count="1">
          <reference field="13" count="1">
            <x v="12"/>
          </reference>
        </references>
      </pivotArea>
    </format>
    <format dxfId="2">
      <pivotArea collapsedLevelsAreSubtotals="1" fieldPosition="0">
        <references count="1">
          <reference field="13" count="1">
            <x v="13"/>
          </reference>
        </references>
      </pivotArea>
    </format>
    <format dxfId="1">
      <pivotArea collapsedLevelsAreSubtotals="1" fieldPosition="0">
        <references count="1">
          <reference field="13" count="1">
            <x v="14"/>
          </reference>
        </references>
      </pivotArea>
    </format>
    <format dxfId="0">
      <pivotArea collapsedLevelsAreSubtotals="1" fieldPosition="0">
        <references count="1">
          <reference field="13" count="1">
            <x v="15"/>
          </reference>
        </references>
      </pivotArea>
    </format>
  </formats>
  <chartFormats count="4">
    <chartFormat chart="41" format="1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3D8862-EB09-4B4F-B9E6-FB9A1D4A7D62}" name="PivotTable2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3">
  <location ref="DS4:DW22" firstHeaderRow="1" firstDataRow="2" firstDataCol="1" rowPageCount="1" colPageCount="1"/>
  <pivotFields count="14">
    <pivotField axis="axisPage" multipleItemSelectionAllowed="1" showAll="0">
      <items count="3">
        <item x="0"/>
        <item h="1" x="1"/>
        <item t="default"/>
      </items>
    </pivotField>
    <pivotField numFmtId="1" showAll="0"/>
    <pivotField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dataField="1" numFmtId="166" showAll="0"/>
    <pivotField showAll="0"/>
    <pivotField numFmtId="45" showAll="0"/>
    <pivotField axis="axisCol" showAll="0">
      <items count="6">
        <item x="1"/>
        <item x="2"/>
        <item x="4"/>
        <item x="0"/>
        <item h="1"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x="2"/>
        <item x="3"/>
        <item x="1"/>
        <item x="0"/>
        <item t="default"/>
      </items>
    </pivotField>
    <pivotField axis="axisRow" showAll="0">
      <items count="17">
        <item x="3"/>
        <item x="12"/>
        <item x="7"/>
        <item x="9"/>
        <item x="15"/>
        <item x="13"/>
        <item x="11"/>
        <item x="10"/>
        <item x="0"/>
        <item x="14"/>
        <item x="4"/>
        <item x="1"/>
        <item x="6"/>
        <item x="8"/>
        <item x="2"/>
        <item x="5"/>
        <item t="default"/>
      </items>
    </pivotField>
  </pivotFields>
  <rowFields count="1">
    <field x="13"/>
  </rowFields>
  <rowItems count="17">
    <i>
      <x/>
    </i>
    <i>
      <x v="1"/>
    </i>
    <i>
      <x v="2"/>
    </i>
    <i>
      <x v="3"/>
    </i>
    <i>
      <x v="4"/>
    </i>
    <i>
      <x v="5"/>
    </i>
    <i>
      <x v="6"/>
    </i>
    <i>
      <x v="7"/>
    </i>
    <i>
      <x v="8"/>
    </i>
    <i>
      <x v="9"/>
    </i>
    <i>
      <x v="10"/>
    </i>
    <i>
      <x v="11"/>
    </i>
    <i>
      <x v="12"/>
    </i>
    <i>
      <x v="13"/>
    </i>
    <i>
      <x v="14"/>
    </i>
    <i>
      <x v="15"/>
    </i>
    <i t="grand">
      <x/>
    </i>
  </rowItems>
  <colFields count="1">
    <field x="9"/>
  </colFields>
  <colItems count="4">
    <i>
      <x/>
    </i>
    <i>
      <x v="1"/>
    </i>
    <i>
      <x v="2"/>
    </i>
    <i>
      <x v="3"/>
    </i>
  </colItems>
  <pageFields count="1">
    <pageField fld="0" hier="-1"/>
  </pageFields>
  <dataFields count="1">
    <dataField name="Sum of Paid Fees" fld="6" baseField="0" baseItem="0"/>
  </dataFields>
  <formats count="102">
    <format dxfId="139">
      <pivotArea dataOnly="0" labelOnly="1" outline="0" axis="axisValues"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dataOnly="0" labelOnly="1" outline="0" axis="axisValues" fieldPosition="0"/>
    </format>
    <format dxfId="131">
      <pivotArea field="0" type="button" dataOnly="0" labelOnly="1" outline="0" axis="axisPage" fieldPosition="0"/>
    </format>
    <format dxfId="130">
      <pivotArea dataOnly="0" labelOnly="1" grandRow="1" outline="0" fieldPosition="0"/>
    </format>
    <format dxfId="129">
      <pivotArea field="2" type="button" dataOnly="0" labelOnly="1" outline="0"/>
    </format>
    <format dxfId="128">
      <pivotArea field="11" type="button" dataOnly="0" labelOnly="1" outline="0"/>
    </format>
    <format dxfId="127">
      <pivotArea field="9" type="button" dataOnly="0" labelOnly="1" outline="0" axis="axisCol" fieldPosition="0"/>
    </format>
    <format dxfId="126">
      <pivotArea grandRow="1" outline="0" collapsedLevelsAreSubtotals="1" fieldPosition="0"/>
    </format>
    <format dxfId="125">
      <pivotArea grandRow="1" outline="0" collapsedLevelsAreSubtotals="1" fieldPosition="0"/>
    </format>
    <format dxfId="124">
      <pivotArea field="10" type="button" dataOnly="0" labelOnly="1" outline="0"/>
    </format>
    <format dxfId="123">
      <pivotArea field="0" type="button" dataOnly="0" labelOnly="1" outline="0" axis="axisPage" fieldPosition="0"/>
    </format>
    <format dxfId="122">
      <pivotArea grandRow="1" outline="0" collapsedLevelsAreSubtotals="1" fieldPosition="0"/>
    </format>
    <format dxfId="121">
      <pivotArea field="12" type="button" dataOnly="0" labelOnly="1" outline="0"/>
    </format>
    <format dxfId="120">
      <pivotArea field="13" type="button" dataOnly="0" labelOnly="1" outline="0" axis="axisRow" fieldPosition="0"/>
    </format>
    <format dxfId="119">
      <pivotArea field="4" type="button" dataOnly="0" labelOnly="1" outline="0"/>
    </format>
    <format dxfId="118">
      <pivotArea field="3" type="button" dataOnly="0" labelOnly="1" outline="0"/>
    </format>
    <format dxfId="117">
      <pivotArea type="topRight" dataOnly="0" labelOnly="1" outline="0" offset="D1" fieldPosition="0"/>
    </format>
    <format dxfId="116">
      <pivotArea type="topRight" dataOnly="0" labelOnly="1" outline="0" offset="C1" fieldPosition="0"/>
    </format>
    <format dxfId="115">
      <pivotArea type="topRight" dataOnly="0" labelOnly="1" outline="0" offset="B1" fieldPosition="0"/>
    </format>
    <format dxfId="114">
      <pivotArea type="topRight" dataOnly="0" labelOnly="1" outline="0" offset="A1" fieldPosition="0"/>
    </format>
    <format dxfId="113">
      <pivotArea type="origin" dataOnly="0" labelOnly="1" outline="0" fieldPosition="0"/>
    </format>
    <format dxfId="112">
      <pivotArea outline="0" collapsedLevelsAreSubtotals="1" fieldPosition="0"/>
    </format>
    <format dxfId="111">
      <pivotArea dataOnly="0" labelOnly="1" outline="0" fieldPosition="0">
        <references count="1">
          <reference field="0" count="0"/>
        </references>
      </pivotArea>
    </format>
    <format dxfId="110">
      <pivotArea collapsedLevelsAreSubtotals="1" fieldPosition="0">
        <references count="1">
          <reference field="13" count="1">
            <x v="0"/>
          </reference>
        </references>
      </pivotArea>
    </format>
    <format dxfId="109">
      <pivotArea collapsedLevelsAreSubtotals="1" fieldPosition="0">
        <references count="2">
          <reference field="9" count="1">
            <x v="0"/>
          </reference>
          <reference field="13" count="1" selected="0">
            <x v="0"/>
          </reference>
        </references>
      </pivotArea>
    </format>
    <format dxfId="108">
      <pivotArea collapsedLevelsAreSubtotals="1" fieldPosition="0">
        <references count="2">
          <reference field="9" count="1">
            <x v="1"/>
          </reference>
          <reference field="13" count="1" selected="0">
            <x v="0"/>
          </reference>
        </references>
      </pivotArea>
    </format>
    <format dxfId="107">
      <pivotArea collapsedLevelsAreSubtotals="1" fieldPosition="0">
        <references count="2">
          <reference field="9" count="1">
            <x v="3"/>
          </reference>
          <reference field="13" count="1" selected="0">
            <x v="0"/>
          </reference>
        </references>
      </pivotArea>
    </format>
    <format dxfId="106">
      <pivotArea collapsedLevelsAreSubtotals="1" fieldPosition="0">
        <references count="1">
          <reference field="13" count="1">
            <x v="1"/>
          </reference>
        </references>
      </pivotArea>
    </format>
    <format dxfId="105">
      <pivotArea collapsedLevelsAreSubtotals="1" fieldPosition="0">
        <references count="2">
          <reference field="9" count="1">
            <x v="0"/>
          </reference>
          <reference field="13" count="1" selected="0">
            <x v="1"/>
          </reference>
        </references>
      </pivotArea>
    </format>
    <format dxfId="104">
      <pivotArea collapsedLevelsAreSubtotals="1" fieldPosition="0">
        <references count="2">
          <reference field="9" count="1">
            <x v="1"/>
          </reference>
          <reference field="13" count="1" selected="0">
            <x v="1"/>
          </reference>
        </references>
      </pivotArea>
    </format>
    <format dxfId="103">
      <pivotArea collapsedLevelsAreSubtotals="1" fieldPosition="0">
        <references count="2">
          <reference field="9" count="1">
            <x v="3"/>
          </reference>
          <reference field="13" count="1" selected="0">
            <x v="1"/>
          </reference>
        </references>
      </pivotArea>
    </format>
    <format dxfId="102">
      <pivotArea collapsedLevelsAreSubtotals="1" fieldPosition="0">
        <references count="1">
          <reference field="13" count="1">
            <x v="2"/>
          </reference>
        </references>
      </pivotArea>
    </format>
    <format dxfId="101">
      <pivotArea collapsedLevelsAreSubtotals="1" fieldPosition="0">
        <references count="2">
          <reference field="9" count="1">
            <x v="0"/>
          </reference>
          <reference field="13" count="1" selected="0">
            <x v="2"/>
          </reference>
        </references>
      </pivotArea>
    </format>
    <format dxfId="100">
      <pivotArea collapsedLevelsAreSubtotals="1" fieldPosition="0">
        <references count="2">
          <reference field="9" count="1">
            <x v="1"/>
          </reference>
          <reference field="13" count="1" selected="0">
            <x v="2"/>
          </reference>
        </references>
      </pivotArea>
    </format>
    <format dxfId="99">
      <pivotArea collapsedLevelsAreSubtotals="1" fieldPosition="0">
        <references count="2">
          <reference field="9" count="1">
            <x v="3"/>
          </reference>
          <reference field="13" count="1" selected="0">
            <x v="2"/>
          </reference>
        </references>
      </pivotArea>
    </format>
    <format dxfId="98">
      <pivotArea collapsedLevelsAreSubtotals="1" fieldPosition="0">
        <references count="1">
          <reference field="13" count="1">
            <x v="3"/>
          </reference>
        </references>
      </pivotArea>
    </format>
    <format dxfId="97">
      <pivotArea collapsedLevelsAreSubtotals="1" fieldPosition="0">
        <references count="2">
          <reference field="9" count="1">
            <x v="0"/>
          </reference>
          <reference field="13" count="1" selected="0">
            <x v="3"/>
          </reference>
        </references>
      </pivotArea>
    </format>
    <format dxfId="96">
      <pivotArea collapsedLevelsAreSubtotals="1" fieldPosition="0">
        <references count="2">
          <reference field="9" count="1">
            <x v="1"/>
          </reference>
          <reference field="13" count="1" selected="0">
            <x v="3"/>
          </reference>
        </references>
      </pivotArea>
    </format>
    <format dxfId="95">
      <pivotArea collapsedLevelsAreSubtotals="1" fieldPosition="0">
        <references count="2">
          <reference field="9" count="1">
            <x v="3"/>
          </reference>
          <reference field="13" count="1" selected="0">
            <x v="3"/>
          </reference>
        </references>
      </pivotArea>
    </format>
    <format dxfId="94">
      <pivotArea collapsedLevelsAreSubtotals="1" fieldPosition="0">
        <references count="1">
          <reference field="13" count="1">
            <x v="4"/>
          </reference>
        </references>
      </pivotArea>
    </format>
    <format dxfId="93">
      <pivotArea collapsedLevelsAreSubtotals="1" fieldPosition="0">
        <references count="2">
          <reference field="9" count="1">
            <x v="0"/>
          </reference>
          <reference field="13" count="1" selected="0">
            <x v="4"/>
          </reference>
        </references>
      </pivotArea>
    </format>
    <format dxfId="92">
      <pivotArea collapsedLevelsAreSubtotals="1" fieldPosition="0">
        <references count="2">
          <reference field="9" count="1">
            <x v="1"/>
          </reference>
          <reference field="13" count="1" selected="0">
            <x v="4"/>
          </reference>
        </references>
      </pivotArea>
    </format>
    <format dxfId="91">
      <pivotArea collapsedLevelsAreSubtotals="1" fieldPosition="0">
        <references count="2">
          <reference field="9" count="1">
            <x v="2"/>
          </reference>
          <reference field="13" count="1" selected="0">
            <x v="4"/>
          </reference>
        </references>
      </pivotArea>
    </format>
    <format dxfId="90">
      <pivotArea collapsedLevelsAreSubtotals="1" fieldPosition="0">
        <references count="2">
          <reference field="9" count="1">
            <x v="3"/>
          </reference>
          <reference field="13" count="1" selected="0">
            <x v="4"/>
          </reference>
        </references>
      </pivotArea>
    </format>
    <format dxfId="89">
      <pivotArea collapsedLevelsAreSubtotals="1" fieldPosition="0">
        <references count="1">
          <reference field="13" count="1">
            <x v="5"/>
          </reference>
        </references>
      </pivotArea>
    </format>
    <format dxfId="88">
      <pivotArea collapsedLevelsAreSubtotals="1" fieldPosition="0">
        <references count="2">
          <reference field="9" count="1">
            <x v="0"/>
          </reference>
          <reference field="13" count="1" selected="0">
            <x v="5"/>
          </reference>
        </references>
      </pivotArea>
    </format>
    <format dxfId="87">
      <pivotArea collapsedLevelsAreSubtotals="1" fieldPosition="0">
        <references count="2">
          <reference field="9" count="1">
            <x v="1"/>
          </reference>
          <reference field="13" count="1" selected="0">
            <x v="5"/>
          </reference>
        </references>
      </pivotArea>
    </format>
    <format dxfId="86">
      <pivotArea collapsedLevelsAreSubtotals="1" fieldPosition="0">
        <references count="2">
          <reference field="9" count="1">
            <x v="2"/>
          </reference>
          <reference field="13" count="1" selected="0">
            <x v="5"/>
          </reference>
        </references>
      </pivotArea>
    </format>
    <format dxfId="85">
      <pivotArea collapsedLevelsAreSubtotals="1" fieldPosition="0">
        <references count="2">
          <reference field="9" count="1">
            <x v="3"/>
          </reference>
          <reference field="13" count="1" selected="0">
            <x v="5"/>
          </reference>
        </references>
      </pivotArea>
    </format>
    <format dxfId="84">
      <pivotArea collapsedLevelsAreSubtotals="1" fieldPosition="0">
        <references count="1">
          <reference field="13" count="1">
            <x v="6"/>
          </reference>
        </references>
      </pivotArea>
    </format>
    <format dxfId="83">
      <pivotArea collapsedLevelsAreSubtotals="1" fieldPosition="0">
        <references count="2">
          <reference field="9" count="1">
            <x v="0"/>
          </reference>
          <reference field="13" count="1" selected="0">
            <x v="6"/>
          </reference>
        </references>
      </pivotArea>
    </format>
    <format dxfId="82">
      <pivotArea collapsedLevelsAreSubtotals="1" fieldPosition="0">
        <references count="2">
          <reference field="9" count="1">
            <x v="1"/>
          </reference>
          <reference field="13" count="1" selected="0">
            <x v="6"/>
          </reference>
        </references>
      </pivotArea>
    </format>
    <format dxfId="81">
      <pivotArea collapsedLevelsAreSubtotals="1" fieldPosition="0">
        <references count="2">
          <reference field="9" count="1">
            <x v="3"/>
          </reference>
          <reference field="13" count="1" selected="0">
            <x v="6"/>
          </reference>
        </references>
      </pivotArea>
    </format>
    <format dxfId="80">
      <pivotArea collapsedLevelsAreSubtotals="1" fieldPosition="0">
        <references count="1">
          <reference field="13" count="1">
            <x v="7"/>
          </reference>
        </references>
      </pivotArea>
    </format>
    <format dxfId="79">
      <pivotArea collapsedLevelsAreSubtotals="1" fieldPosition="0">
        <references count="2">
          <reference field="9" count="1">
            <x v="0"/>
          </reference>
          <reference field="13" count="1" selected="0">
            <x v="7"/>
          </reference>
        </references>
      </pivotArea>
    </format>
    <format dxfId="78">
      <pivotArea collapsedLevelsAreSubtotals="1" fieldPosition="0">
        <references count="2">
          <reference field="9" count="1">
            <x v="1"/>
          </reference>
          <reference field="13" count="1" selected="0">
            <x v="7"/>
          </reference>
        </references>
      </pivotArea>
    </format>
    <format dxfId="77">
      <pivotArea collapsedLevelsAreSubtotals="1" fieldPosition="0">
        <references count="2">
          <reference field="9" count="1">
            <x v="2"/>
          </reference>
          <reference field="13" count="1" selected="0">
            <x v="7"/>
          </reference>
        </references>
      </pivotArea>
    </format>
    <format dxfId="76">
      <pivotArea collapsedLevelsAreSubtotals="1" fieldPosition="0">
        <references count="2">
          <reference field="9" count="1">
            <x v="3"/>
          </reference>
          <reference field="13" count="1" selected="0">
            <x v="7"/>
          </reference>
        </references>
      </pivotArea>
    </format>
    <format dxfId="75">
      <pivotArea collapsedLevelsAreSubtotals="1" fieldPosition="0">
        <references count="1">
          <reference field="13" count="1">
            <x v="8"/>
          </reference>
        </references>
      </pivotArea>
    </format>
    <format dxfId="74">
      <pivotArea collapsedLevelsAreSubtotals="1" fieldPosition="0">
        <references count="2">
          <reference field="9" count="1">
            <x v="0"/>
          </reference>
          <reference field="13" count="1" selected="0">
            <x v="8"/>
          </reference>
        </references>
      </pivotArea>
    </format>
    <format dxfId="73">
      <pivotArea collapsedLevelsAreSubtotals="1" fieldPosition="0">
        <references count="2">
          <reference field="9" count="1">
            <x v="1"/>
          </reference>
          <reference field="13" count="1" selected="0">
            <x v="8"/>
          </reference>
        </references>
      </pivotArea>
    </format>
    <format dxfId="72">
      <pivotArea collapsedLevelsAreSubtotals="1" fieldPosition="0">
        <references count="2">
          <reference field="9" count="1">
            <x v="3"/>
          </reference>
          <reference field="13" count="1" selected="0">
            <x v="8"/>
          </reference>
        </references>
      </pivotArea>
    </format>
    <format dxfId="71">
      <pivotArea collapsedLevelsAreSubtotals="1" fieldPosition="0">
        <references count="1">
          <reference field="13" count="1">
            <x v="9"/>
          </reference>
        </references>
      </pivotArea>
    </format>
    <format dxfId="70">
      <pivotArea collapsedLevelsAreSubtotals="1" fieldPosition="0">
        <references count="2">
          <reference field="9" count="1">
            <x v="0"/>
          </reference>
          <reference field="13" count="1" selected="0">
            <x v="9"/>
          </reference>
        </references>
      </pivotArea>
    </format>
    <format dxfId="69">
      <pivotArea collapsedLevelsAreSubtotals="1" fieldPosition="0">
        <references count="2">
          <reference field="9" count="1">
            <x v="1"/>
          </reference>
          <reference field="13" count="1" selected="0">
            <x v="9"/>
          </reference>
        </references>
      </pivotArea>
    </format>
    <format dxfId="68">
      <pivotArea collapsedLevelsAreSubtotals="1" fieldPosition="0">
        <references count="2">
          <reference field="9" count="1">
            <x v="3"/>
          </reference>
          <reference field="13" count="1" selected="0">
            <x v="9"/>
          </reference>
        </references>
      </pivotArea>
    </format>
    <format dxfId="67">
      <pivotArea collapsedLevelsAreSubtotals="1" fieldPosition="0">
        <references count="1">
          <reference field="13" count="1">
            <x v="10"/>
          </reference>
        </references>
      </pivotArea>
    </format>
    <format dxfId="66">
      <pivotArea collapsedLevelsAreSubtotals="1" fieldPosition="0">
        <references count="2">
          <reference field="9" count="1">
            <x v="0"/>
          </reference>
          <reference field="13" count="1" selected="0">
            <x v="10"/>
          </reference>
        </references>
      </pivotArea>
    </format>
    <format dxfId="65">
      <pivotArea collapsedLevelsAreSubtotals="1" fieldPosition="0">
        <references count="2">
          <reference field="9" count="1">
            <x v="1"/>
          </reference>
          <reference field="13" count="1" selected="0">
            <x v="10"/>
          </reference>
        </references>
      </pivotArea>
    </format>
    <format dxfId="64">
      <pivotArea collapsedLevelsAreSubtotals="1" fieldPosition="0">
        <references count="2">
          <reference field="9" count="1">
            <x v="2"/>
          </reference>
          <reference field="13" count="1" selected="0">
            <x v="10"/>
          </reference>
        </references>
      </pivotArea>
    </format>
    <format dxfId="63">
      <pivotArea collapsedLevelsAreSubtotals="1" fieldPosition="0">
        <references count="2">
          <reference field="9" count="1">
            <x v="3"/>
          </reference>
          <reference field="13" count="1" selected="0">
            <x v="10"/>
          </reference>
        </references>
      </pivotArea>
    </format>
    <format dxfId="62">
      <pivotArea collapsedLevelsAreSubtotals="1" fieldPosition="0">
        <references count="1">
          <reference field="13" count="1">
            <x v="11"/>
          </reference>
        </references>
      </pivotArea>
    </format>
    <format dxfId="61">
      <pivotArea collapsedLevelsAreSubtotals="1" fieldPosition="0">
        <references count="2">
          <reference field="9" count="1">
            <x v="0"/>
          </reference>
          <reference field="13" count="1" selected="0">
            <x v="11"/>
          </reference>
        </references>
      </pivotArea>
    </format>
    <format dxfId="60">
      <pivotArea collapsedLevelsAreSubtotals="1" fieldPosition="0">
        <references count="2">
          <reference field="9" count="1">
            <x v="1"/>
          </reference>
          <reference field="13" count="1" selected="0">
            <x v="11"/>
          </reference>
        </references>
      </pivotArea>
    </format>
    <format dxfId="59">
      <pivotArea collapsedLevelsAreSubtotals="1" fieldPosition="0">
        <references count="2">
          <reference field="9" count="1">
            <x v="3"/>
          </reference>
          <reference field="13" count="1" selected="0">
            <x v="11"/>
          </reference>
        </references>
      </pivotArea>
    </format>
    <format dxfId="58">
      <pivotArea collapsedLevelsAreSubtotals="1" fieldPosition="0">
        <references count="1">
          <reference field="13" count="1">
            <x v="12"/>
          </reference>
        </references>
      </pivotArea>
    </format>
    <format dxfId="57">
      <pivotArea collapsedLevelsAreSubtotals="1" fieldPosition="0">
        <references count="2">
          <reference field="9" count="1">
            <x v="0"/>
          </reference>
          <reference field="13" count="1" selected="0">
            <x v="12"/>
          </reference>
        </references>
      </pivotArea>
    </format>
    <format dxfId="56">
      <pivotArea collapsedLevelsAreSubtotals="1" fieldPosition="0">
        <references count="2">
          <reference field="9" count="1">
            <x v="1"/>
          </reference>
          <reference field="13" count="1" selected="0">
            <x v="12"/>
          </reference>
        </references>
      </pivotArea>
    </format>
    <format dxfId="55">
      <pivotArea collapsedLevelsAreSubtotals="1" fieldPosition="0">
        <references count="2">
          <reference field="9" count="1">
            <x v="2"/>
          </reference>
          <reference field="13" count="1" selected="0">
            <x v="12"/>
          </reference>
        </references>
      </pivotArea>
    </format>
    <format dxfId="54">
      <pivotArea collapsedLevelsAreSubtotals="1" fieldPosition="0">
        <references count="2">
          <reference field="9" count="1">
            <x v="3"/>
          </reference>
          <reference field="13" count="1" selected="0">
            <x v="12"/>
          </reference>
        </references>
      </pivotArea>
    </format>
    <format dxfId="53">
      <pivotArea collapsedLevelsAreSubtotals="1" fieldPosition="0">
        <references count="1">
          <reference field="13" count="1">
            <x v="13"/>
          </reference>
        </references>
      </pivotArea>
    </format>
    <format dxfId="52">
      <pivotArea collapsedLevelsAreSubtotals="1" fieldPosition="0">
        <references count="2">
          <reference field="9" count="1">
            <x v="0"/>
          </reference>
          <reference field="13" count="1" selected="0">
            <x v="13"/>
          </reference>
        </references>
      </pivotArea>
    </format>
    <format dxfId="51">
      <pivotArea collapsedLevelsAreSubtotals="1" fieldPosition="0">
        <references count="2">
          <reference field="9" count="1">
            <x v="1"/>
          </reference>
          <reference field="13" count="1" selected="0">
            <x v="13"/>
          </reference>
        </references>
      </pivotArea>
    </format>
    <format dxfId="50">
      <pivotArea collapsedLevelsAreSubtotals="1" fieldPosition="0">
        <references count="2">
          <reference field="9" count="1">
            <x v="3"/>
          </reference>
          <reference field="13" count="1" selected="0">
            <x v="13"/>
          </reference>
        </references>
      </pivotArea>
    </format>
    <format dxfId="49">
      <pivotArea collapsedLevelsAreSubtotals="1" fieldPosition="0">
        <references count="1">
          <reference field="13" count="1">
            <x v="14"/>
          </reference>
        </references>
      </pivotArea>
    </format>
    <format dxfId="48">
      <pivotArea collapsedLevelsAreSubtotals="1" fieldPosition="0">
        <references count="2">
          <reference field="9" count="1">
            <x v="0"/>
          </reference>
          <reference field="13" count="1" selected="0">
            <x v="14"/>
          </reference>
        </references>
      </pivotArea>
    </format>
    <format dxfId="47">
      <pivotArea collapsedLevelsAreSubtotals="1" fieldPosition="0">
        <references count="2">
          <reference field="9" count="1">
            <x v="1"/>
          </reference>
          <reference field="13" count="1" selected="0">
            <x v="14"/>
          </reference>
        </references>
      </pivotArea>
    </format>
    <format dxfId="46">
      <pivotArea collapsedLevelsAreSubtotals="1" fieldPosition="0">
        <references count="2">
          <reference field="9" count="1">
            <x v="3"/>
          </reference>
          <reference field="13" count="1" selected="0">
            <x v="14"/>
          </reference>
        </references>
      </pivotArea>
    </format>
    <format dxfId="45">
      <pivotArea collapsedLevelsAreSubtotals="1" fieldPosition="0">
        <references count="1">
          <reference field="13" count="1">
            <x v="15"/>
          </reference>
        </references>
      </pivotArea>
    </format>
    <format dxfId="44">
      <pivotArea collapsedLevelsAreSubtotals="1" fieldPosition="0">
        <references count="2">
          <reference field="9" count="1">
            <x v="0"/>
          </reference>
          <reference field="13" count="1" selected="0">
            <x v="15"/>
          </reference>
        </references>
      </pivotArea>
    </format>
    <format dxfId="43">
      <pivotArea collapsedLevelsAreSubtotals="1" fieldPosition="0">
        <references count="2">
          <reference field="9" count="1">
            <x v="1"/>
          </reference>
          <reference field="13" count="1" selected="0">
            <x v="15"/>
          </reference>
        </references>
      </pivotArea>
    </format>
    <format dxfId="42">
      <pivotArea collapsedLevelsAreSubtotals="1" fieldPosition="0">
        <references count="2">
          <reference field="9" count="1">
            <x v="3"/>
          </reference>
          <reference field="13" count="1" selected="0">
            <x v="15"/>
          </reference>
        </references>
      </pivotArea>
    </format>
    <format dxfId="41">
      <pivotArea dataOnly="0" labelOnly="1" fieldPosition="0">
        <references count="1">
          <reference field="9" count="1">
            <x v="0"/>
          </reference>
        </references>
      </pivotArea>
    </format>
    <format dxfId="40">
      <pivotArea dataOnly="0" labelOnly="1" fieldPosition="0">
        <references count="1">
          <reference field="9" count="1">
            <x v="1"/>
          </reference>
        </references>
      </pivotArea>
    </format>
    <format dxfId="39">
      <pivotArea dataOnly="0" labelOnly="1" fieldPosition="0">
        <references count="1">
          <reference field="9" count="1">
            <x v="2"/>
          </reference>
        </references>
      </pivotArea>
    </format>
    <format dxfId="38">
      <pivotArea dataOnly="0" labelOnly="1" fieldPosition="0">
        <references count="1">
          <reference field="9" count="1">
            <x v="3"/>
          </reference>
        </references>
      </pivotArea>
    </format>
  </formats>
  <chartFormats count="6">
    <chartFormat chart="55"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 chart="62" format="16" series="1">
      <pivotArea type="data" outline="0" fieldPosition="0">
        <references count="2">
          <reference field="4294967294" count="1" selected="0">
            <x v="0"/>
          </reference>
          <reference field="9" count="1" selected="0">
            <x v="0"/>
          </reference>
        </references>
      </pivotArea>
    </chartFormat>
    <chartFormat chart="62" format="17" series="1">
      <pivotArea type="data" outline="0" fieldPosition="0">
        <references count="2">
          <reference field="4294967294" count="1" selected="0">
            <x v="0"/>
          </reference>
          <reference field="9" count="1" selected="0">
            <x v="1"/>
          </reference>
        </references>
      </pivotArea>
    </chartFormat>
    <chartFormat chart="62" format="18" series="1">
      <pivotArea type="data" outline="0" fieldPosition="0">
        <references count="2">
          <reference field="4294967294" count="1" selected="0">
            <x v="0"/>
          </reference>
          <reference field="9" count="1" selected="0">
            <x v="2"/>
          </reference>
        </references>
      </pivotArea>
    </chartFormat>
    <chartFormat chart="62" format="19"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8FC84A-CA6B-48BF-B9D3-FB662E9A22A0}" name="Monthly ADvertisement"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7">
  <location ref="DG4:DL18" firstHeaderRow="1" firstDataRow="2" firstDataCol="1"/>
  <pivotFields count="14">
    <pivotField multipleItemSelectionAllowed="1" showAll="0">
      <items count="3">
        <item x="0"/>
        <item h="1" x="1"/>
        <item t="default"/>
      </items>
    </pivotField>
    <pivotField numFmtId="1" showAll="0"/>
    <pivotField axis="axisRow" showAll="0">
      <items count="13">
        <item x="5"/>
        <item x="6"/>
        <item x="7"/>
        <item x="0"/>
        <item x="8"/>
        <item x="9"/>
        <item x="11"/>
        <item x="1"/>
        <item x="2"/>
        <item x="3"/>
        <item x="4"/>
        <item x="10"/>
        <item t="default"/>
      </items>
    </pivotField>
    <pivotField showAll="0">
      <items count="7">
        <item x="1"/>
        <item x="2"/>
        <item x="4"/>
        <item x="0"/>
        <item x="3"/>
        <item x="5"/>
        <item t="default"/>
      </items>
    </pivotField>
    <pivotField axis="axisCol" showAll="0">
      <items count="6">
        <item x="1"/>
        <item x="2"/>
        <item x="3"/>
        <item x="0"/>
        <item x="4"/>
        <item t="default"/>
      </items>
    </pivotField>
    <pivotField numFmtId="3" showAll="0">
      <items count="7">
        <item x="5"/>
        <item x="0"/>
        <item x="2"/>
        <item x="1"/>
        <item x="3"/>
        <item x="4"/>
        <item t="default"/>
      </items>
    </pivotField>
    <pivotField dataField="1" numFmtId="166" showAll="0"/>
    <pivotField showAll="0"/>
    <pivotField numFmtId="45" showAll="0"/>
    <pivotField showAll="0">
      <items count="6">
        <item x="1"/>
        <item x="2"/>
        <item x="4"/>
        <item x="0"/>
        <item h="1"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Fields count="1">
    <field x="4"/>
  </colFields>
  <colItems count="5">
    <i>
      <x/>
    </i>
    <i>
      <x v="1"/>
    </i>
    <i>
      <x v="2"/>
    </i>
    <i>
      <x v="3"/>
    </i>
    <i>
      <x v="4"/>
    </i>
  </colItems>
  <dataFields count="1">
    <dataField name="Sum of Paid Fees" fld="6" baseField="0" baseItem="0"/>
  </dataFields>
  <formats count="72">
    <format dxfId="211">
      <pivotArea dataOnly="0" labelOnly="1" outline="0" axis="axisValues" fieldPosition="0"/>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dataOnly="0" labelOnly="1" outline="0" axis="axisValues" fieldPosition="0"/>
    </format>
    <format dxfId="203">
      <pivotArea field="0" type="button" dataOnly="0" labelOnly="1" outline="0"/>
    </format>
    <format dxfId="202">
      <pivotArea dataOnly="0" labelOnly="1" grandRow="1" outline="0" fieldPosition="0"/>
    </format>
    <format dxfId="201">
      <pivotArea field="2" type="button" dataOnly="0" labelOnly="1" outline="0" axis="axisRow" fieldPosition="0"/>
    </format>
    <format dxfId="200">
      <pivotArea field="11" type="button" dataOnly="0" labelOnly="1" outline="0"/>
    </format>
    <format dxfId="199">
      <pivotArea field="9" type="button" dataOnly="0" labelOnly="1" outline="0"/>
    </format>
    <format dxfId="198">
      <pivotArea grandRow="1" outline="0" collapsedLevelsAreSubtotals="1" fieldPosition="0"/>
    </format>
    <format dxfId="197">
      <pivotArea grandRow="1" outline="0" collapsedLevelsAreSubtotals="1" fieldPosition="0"/>
    </format>
    <format dxfId="196">
      <pivotArea field="10" type="button" dataOnly="0" labelOnly="1" outline="0"/>
    </format>
    <format dxfId="195">
      <pivotArea field="0" type="button" dataOnly="0" labelOnly="1" outline="0"/>
    </format>
    <format dxfId="194">
      <pivotArea grandRow="1" outline="0" collapsedLevelsAreSubtotals="1" fieldPosition="0"/>
    </format>
    <format dxfId="193">
      <pivotArea field="12" type="button" dataOnly="0" labelOnly="1" outline="0"/>
    </format>
    <format dxfId="192">
      <pivotArea field="13" type="button" dataOnly="0" labelOnly="1" outline="0"/>
    </format>
    <format dxfId="191">
      <pivotArea field="4" type="button" dataOnly="0" labelOnly="1" outline="0" axis="axisCol" fieldPosition="0"/>
    </format>
    <format dxfId="190">
      <pivotArea field="3" type="button" dataOnly="0" labelOnly="1" outline="0"/>
    </format>
    <format dxfId="189">
      <pivotArea dataOnly="0" labelOnly="1" fieldPosition="0">
        <references count="1">
          <reference field="4" count="1">
            <x v="0"/>
          </reference>
        </references>
      </pivotArea>
    </format>
    <format dxfId="188">
      <pivotArea dataOnly="0" labelOnly="1" fieldPosition="0">
        <references count="1">
          <reference field="4" count="1">
            <x v="1"/>
          </reference>
        </references>
      </pivotArea>
    </format>
    <format dxfId="187">
      <pivotArea dataOnly="0" labelOnly="1" fieldPosition="0">
        <references count="1">
          <reference field="4" count="1">
            <x v="2"/>
          </reference>
        </references>
      </pivotArea>
    </format>
    <format dxfId="186">
      <pivotArea dataOnly="0" labelOnly="1" fieldPosition="0">
        <references count="1">
          <reference field="4" count="1">
            <x v="3"/>
          </reference>
        </references>
      </pivotArea>
    </format>
    <format dxfId="185">
      <pivotArea dataOnly="0" labelOnly="1" fieldPosition="0">
        <references count="1">
          <reference field="4" count="1">
            <x v="4"/>
          </reference>
        </references>
      </pivotArea>
    </format>
    <format dxfId="184">
      <pivotArea type="topRight" dataOnly="0" labelOnly="1" outline="0" offset="D1" fieldPosition="0"/>
    </format>
    <format dxfId="183">
      <pivotArea type="topRight" dataOnly="0" labelOnly="1" outline="0" offset="C1" fieldPosition="0"/>
    </format>
    <format dxfId="182">
      <pivotArea type="topRight" dataOnly="0" labelOnly="1" outline="0" offset="B1" fieldPosition="0"/>
    </format>
    <format dxfId="181">
      <pivotArea type="topRight" dataOnly="0" labelOnly="1" outline="0" offset="A1" fieldPosition="0"/>
    </format>
    <format dxfId="180">
      <pivotArea type="origin" dataOnly="0" labelOnly="1" outline="0" fieldPosition="0"/>
    </format>
    <format dxfId="179">
      <pivotArea collapsedLevelsAreSubtotals="1" fieldPosition="0">
        <references count="2">
          <reference field="2" count="1">
            <x v="0"/>
          </reference>
          <reference field="4" count="1" selected="0">
            <x v="0"/>
          </reference>
        </references>
      </pivotArea>
    </format>
    <format dxfId="178">
      <pivotArea collapsedLevelsAreSubtotals="1" fieldPosition="0">
        <references count="2">
          <reference field="2" count="1">
            <x v="1"/>
          </reference>
          <reference field="4" count="1" selected="0">
            <x v="0"/>
          </reference>
        </references>
      </pivotArea>
    </format>
    <format dxfId="177">
      <pivotArea collapsedLevelsAreSubtotals="1" fieldPosition="0">
        <references count="2">
          <reference field="2" count="1">
            <x v="2"/>
          </reference>
          <reference field="4" count="1" selected="0">
            <x v="0"/>
          </reference>
        </references>
      </pivotArea>
    </format>
    <format dxfId="176">
      <pivotArea collapsedLevelsAreSubtotals="1" fieldPosition="0">
        <references count="2">
          <reference field="2" count="1">
            <x v="3"/>
          </reference>
          <reference field="4" count="1" selected="0">
            <x v="0"/>
          </reference>
        </references>
      </pivotArea>
    </format>
    <format dxfId="175">
      <pivotArea collapsedLevelsAreSubtotals="1" fieldPosition="0">
        <references count="2">
          <reference field="2" count="1">
            <x v="4"/>
          </reference>
          <reference field="4" count="1" selected="0">
            <x v="0"/>
          </reference>
        </references>
      </pivotArea>
    </format>
    <format dxfId="174">
      <pivotArea collapsedLevelsAreSubtotals="1" fieldPosition="0">
        <references count="2">
          <reference field="2" count="1">
            <x v="5"/>
          </reference>
          <reference field="4" count="1" selected="0">
            <x v="0"/>
          </reference>
        </references>
      </pivotArea>
    </format>
    <format dxfId="173">
      <pivotArea collapsedLevelsAreSubtotals="1" fieldPosition="0">
        <references count="2">
          <reference field="2" count="1">
            <x v="6"/>
          </reference>
          <reference field="4" count="1" selected="0">
            <x v="0"/>
          </reference>
        </references>
      </pivotArea>
    </format>
    <format dxfId="172">
      <pivotArea collapsedLevelsAreSubtotals="1" fieldPosition="0">
        <references count="2">
          <reference field="2" count="1">
            <x v="7"/>
          </reference>
          <reference field="4" count="1" selected="0">
            <x v="0"/>
          </reference>
        </references>
      </pivotArea>
    </format>
    <format dxfId="171">
      <pivotArea collapsedLevelsAreSubtotals="1" fieldPosition="0">
        <references count="2">
          <reference field="2" count="1">
            <x v="8"/>
          </reference>
          <reference field="4" count="1" selected="0">
            <x v="0"/>
          </reference>
        </references>
      </pivotArea>
    </format>
    <format dxfId="170">
      <pivotArea collapsedLevelsAreSubtotals="1" fieldPosition="0">
        <references count="2">
          <reference field="2" count="1">
            <x v="9"/>
          </reference>
          <reference field="4" count="1" selected="0">
            <x v="0"/>
          </reference>
        </references>
      </pivotArea>
    </format>
    <format dxfId="169">
      <pivotArea collapsedLevelsAreSubtotals="1" fieldPosition="0">
        <references count="2">
          <reference field="2" count="1">
            <x v="10"/>
          </reference>
          <reference field="4" count="1" selected="0">
            <x v="0"/>
          </reference>
        </references>
      </pivotArea>
    </format>
    <format dxfId="168">
      <pivotArea collapsedLevelsAreSubtotals="1" fieldPosition="0">
        <references count="2">
          <reference field="2" count="1">
            <x v="11"/>
          </reference>
          <reference field="4" count="1" selected="0">
            <x v="0"/>
          </reference>
        </references>
      </pivotArea>
    </format>
    <format dxfId="167">
      <pivotArea collapsedLevelsAreSubtotals="1" fieldPosition="0">
        <references count="2">
          <reference field="2" count="1">
            <x v="11"/>
          </reference>
          <reference field="4" count="1" selected="0">
            <x v="1"/>
          </reference>
        </references>
      </pivotArea>
    </format>
    <format dxfId="166">
      <pivotArea collapsedLevelsAreSubtotals="1" fieldPosition="0">
        <references count="2">
          <reference field="2" count="1">
            <x v="10"/>
          </reference>
          <reference field="4" count="1" selected="0">
            <x v="1"/>
          </reference>
        </references>
      </pivotArea>
    </format>
    <format dxfId="165">
      <pivotArea collapsedLevelsAreSubtotals="1" fieldPosition="0">
        <references count="2">
          <reference field="2" count="1">
            <x v="9"/>
          </reference>
          <reference field="4" count="1" selected="0">
            <x v="1"/>
          </reference>
        </references>
      </pivotArea>
    </format>
    <format dxfId="164">
      <pivotArea collapsedLevelsAreSubtotals="1" fieldPosition="0">
        <references count="2">
          <reference field="2" count="1">
            <x v="8"/>
          </reference>
          <reference field="4" count="1" selected="0">
            <x v="1"/>
          </reference>
        </references>
      </pivotArea>
    </format>
    <format dxfId="163">
      <pivotArea collapsedLevelsAreSubtotals="1" fieldPosition="0">
        <references count="2">
          <reference field="2" count="1">
            <x v="7"/>
          </reference>
          <reference field="4" count="1" selected="0">
            <x v="1"/>
          </reference>
        </references>
      </pivotArea>
    </format>
    <format dxfId="162">
      <pivotArea collapsedLevelsAreSubtotals="1" fieldPosition="0">
        <references count="2">
          <reference field="2" count="1">
            <x v="6"/>
          </reference>
          <reference field="4" count="1" selected="0">
            <x v="1"/>
          </reference>
        </references>
      </pivotArea>
    </format>
    <format dxfId="161">
      <pivotArea collapsedLevelsAreSubtotals="1" fieldPosition="0">
        <references count="2">
          <reference field="2" count="1">
            <x v="5"/>
          </reference>
          <reference field="4" count="1" selected="0">
            <x v="1"/>
          </reference>
        </references>
      </pivotArea>
    </format>
    <format dxfId="160">
      <pivotArea collapsedLevelsAreSubtotals="1" fieldPosition="0">
        <references count="2">
          <reference field="2" count="1">
            <x v="4"/>
          </reference>
          <reference field="4" count="1" selected="0">
            <x v="1"/>
          </reference>
        </references>
      </pivotArea>
    </format>
    <format dxfId="159">
      <pivotArea collapsedLevelsAreSubtotals="1" fieldPosition="0">
        <references count="2">
          <reference field="2" count="1">
            <x v="3"/>
          </reference>
          <reference field="4" count="1" selected="0">
            <x v="1"/>
          </reference>
        </references>
      </pivotArea>
    </format>
    <format dxfId="158">
      <pivotArea collapsedLevelsAreSubtotals="1" fieldPosition="0">
        <references count="2">
          <reference field="2" count="1">
            <x v="2"/>
          </reference>
          <reference field="4" count="1" selected="0">
            <x v="1"/>
          </reference>
        </references>
      </pivotArea>
    </format>
    <format dxfId="157">
      <pivotArea collapsedLevelsAreSubtotals="1" fieldPosition="0">
        <references count="2">
          <reference field="2" count="1">
            <x v="1"/>
          </reference>
          <reference field="4" count="1" selected="0">
            <x v="1"/>
          </reference>
        </references>
      </pivotArea>
    </format>
    <format dxfId="156">
      <pivotArea collapsedLevelsAreSubtotals="1" fieldPosition="0">
        <references count="2">
          <reference field="2" count="1">
            <x v="0"/>
          </reference>
          <reference field="4" count="1" selected="0">
            <x v="1"/>
          </reference>
        </references>
      </pivotArea>
    </format>
    <format dxfId="155">
      <pivotArea collapsedLevelsAreSubtotals="1" fieldPosition="0">
        <references count="2">
          <reference field="2" count="1">
            <x v="0"/>
          </reference>
          <reference field="4" count="1" selected="0">
            <x v="2"/>
          </reference>
        </references>
      </pivotArea>
    </format>
    <format dxfId="154">
      <pivotArea collapsedLevelsAreSubtotals="1" fieldPosition="0">
        <references count="2">
          <reference field="2" count="1">
            <x v="0"/>
          </reference>
          <reference field="4" count="1" selected="0">
            <x v="3"/>
          </reference>
        </references>
      </pivotArea>
    </format>
    <format dxfId="153">
      <pivotArea collapsedLevelsAreSubtotals="1" fieldPosition="0">
        <references count="2">
          <reference field="2" count="1">
            <x v="0"/>
          </reference>
          <reference field="4" count="1" selected="0">
            <x v="4"/>
          </reference>
        </references>
      </pivotArea>
    </format>
    <format dxfId="152">
      <pivotArea collapsedLevelsAreSubtotals="1" fieldPosition="0">
        <references count="2">
          <reference field="2" count="1">
            <x v="1"/>
          </reference>
          <reference field="4" count="1" selected="0">
            <x v="4"/>
          </reference>
        </references>
      </pivotArea>
    </format>
    <format dxfId="151">
      <pivotArea collapsedLevelsAreSubtotals="1" fieldPosition="0">
        <references count="2">
          <reference field="2" count="1">
            <x v="1"/>
          </reference>
          <reference field="4" count="1" selected="0">
            <x v="3"/>
          </reference>
        </references>
      </pivotArea>
    </format>
    <format dxfId="150">
      <pivotArea collapsedLevelsAreSubtotals="1" fieldPosition="0">
        <references count="2">
          <reference field="2" count="1">
            <x v="1"/>
          </reference>
          <reference field="4" count="1" selected="0">
            <x v="2"/>
          </reference>
        </references>
      </pivotArea>
    </format>
    <format dxfId="149">
      <pivotArea collapsedLevelsAreSubtotals="1" fieldPosition="0">
        <references count="2">
          <reference field="2" count="1">
            <x v="2"/>
          </reference>
          <reference field="4" count="1" selected="0">
            <x v="2"/>
          </reference>
        </references>
      </pivotArea>
    </format>
    <format dxfId="148">
      <pivotArea collapsedLevelsAreSubtotals="1" fieldPosition="0">
        <references count="2">
          <reference field="2" count="1">
            <x v="2"/>
          </reference>
          <reference field="4" count="1" selected="0">
            <x v="3"/>
          </reference>
        </references>
      </pivotArea>
    </format>
    <format dxfId="147">
      <pivotArea collapsedLevelsAreSubtotals="1" fieldPosition="0">
        <references count="2">
          <reference field="2" count="1">
            <x v="2"/>
          </reference>
          <reference field="4" count="1" selected="0">
            <x v="4"/>
          </reference>
        </references>
      </pivotArea>
    </format>
    <format dxfId="146">
      <pivotArea collapsedLevelsAreSubtotals="1" fieldPosition="0">
        <references count="2">
          <reference field="2" count="1">
            <x v="3"/>
          </reference>
          <reference field="4" count="1" selected="0">
            <x v="4"/>
          </reference>
        </references>
      </pivotArea>
    </format>
    <format dxfId="145">
      <pivotArea collapsedLevelsAreSubtotals="1" fieldPosition="0">
        <references count="2">
          <reference field="2" count="1">
            <x v="3"/>
          </reference>
          <reference field="4" count="1" selected="0">
            <x v="3"/>
          </reference>
        </references>
      </pivotArea>
    </format>
    <format dxfId="144">
      <pivotArea collapsedLevelsAreSubtotals="1" fieldPosition="0">
        <references count="2">
          <reference field="2" count="1">
            <x v="3"/>
          </reference>
          <reference field="4" count="1" selected="0">
            <x v="2"/>
          </reference>
        </references>
      </pivotArea>
    </format>
    <format dxfId="143">
      <pivotArea collapsedLevelsAreSubtotals="1" fieldPosition="0">
        <references count="2">
          <reference field="2" count="1">
            <x v="4"/>
          </reference>
          <reference field="4" count="1" selected="0">
            <x v="2"/>
          </reference>
        </references>
      </pivotArea>
    </format>
    <format dxfId="142">
      <pivotArea collapsedLevelsAreSubtotals="1" fieldPosition="0">
        <references count="2">
          <reference field="2" count="1">
            <x v="4"/>
          </reference>
          <reference field="4" count="1" selected="0">
            <x v="3"/>
          </reference>
        </references>
      </pivotArea>
    </format>
    <format dxfId="141">
      <pivotArea collapsedLevelsAreSubtotals="1" fieldPosition="0">
        <references count="2">
          <reference field="2" count="1">
            <x v="4"/>
          </reference>
          <reference field="4" count="1" selected="0">
            <x v="4"/>
          </reference>
        </references>
      </pivotArea>
    </format>
    <format dxfId="140">
      <pivotArea outline="0" collapsedLevelsAreSubtotals="1" fieldPosition="0"/>
    </format>
  </formats>
  <chartFormats count="5">
    <chartFormat chart="56" format="20" series="1">
      <pivotArea type="data" outline="0" fieldPosition="0">
        <references count="2">
          <reference field="4294967294" count="1" selected="0">
            <x v="0"/>
          </reference>
          <reference field="4" count="1" selected="0">
            <x v="0"/>
          </reference>
        </references>
      </pivotArea>
    </chartFormat>
    <chartFormat chart="56" format="21" series="1">
      <pivotArea type="data" outline="0" fieldPosition="0">
        <references count="2">
          <reference field="4294967294" count="1" selected="0">
            <x v="0"/>
          </reference>
          <reference field="4" count="1" selected="0">
            <x v="1"/>
          </reference>
        </references>
      </pivotArea>
    </chartFormat>
    <chartFormat chart="56" format="22" series="1">
      <pivotArea type="data" outline="0" fieldPosition="0">
        <references count="2">
          <reference field="4294967294" count="1" selected="0">
            <x v="0"/>
          </reference>
          <reference field="4" count="1" selected="0">
            <x v="2"/>
          </reference>
        </references>
      </pivotArea>
    </chartFormat>
    <chartFormat chart="56" format="23" series="1">
      <pivotArea type="data" outline="0" fieldPosition="0">
        <references count="2">
          <reference field="4294967294" count="1" selected="0">
            <x v="0"/>
          </reference>
          <reference field="4" count="1" selected="0">
            <x v="3"/>
          </reference>
        </references>
      </pivotArea>
    </chartFormat>
    <chartFormat chart="56" format="2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1B364C-AAFD-4FD3-8E59-DFD46F1284B4}" name="average call duration by month"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9">
  <location ref="BJ4:BK17" firstHeaderRow="1" firstDataRow="1" firstDataCol="1" rowPageCount="1" colPageCount="1"/>
  <pivotFields count="14">
    <pivotField axis="axisPage" multipleItemSelectionAllowed="1" showAll="0">
      <items count="3">
        <item x="0"/>
        <item h="1" x="1"/>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numFmtId="166" showAll="0"/>
    <pivotField showAll="0"/>
    <pivotField dataField="1" numFmtId="45" showAll="0"/>
    <pivotField showAll="0">
      <items count="6">
        <item x="1"/>
        <item x="2"/>
        <item x="4"/>
        <item x="0"/>
        <item h="1"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x="2"/>
        <item x="3"/>
        <item x="1"/>
        <item x="0"/>
        <item t="default"/>
      </items>
    </pivotField>
    <pivotField showAll="0"/>
  </pivotFields>
  <rowFields count="1">
    <field x="2"/>
  </rowFields>
  <rowItems count="13">
    <i>
      <x/>
    </i>
    <i>
      <x v="1"/>
    </i>
    <i>
      <x v="2"/>
    </i>
    <i>
      <x v="3"/>
    </i>
    <i>
      <x v="4"/>
    </i>
    <i>
      <x v="5"/>
    </i>
    <i>
      <x v="6"/>
    </i>
    <i>
      <x v="7"/>
    </i>
    <i>
      <x v="8"/>
    </i>
    <i>
      <x v="9"/>
    </i>
    <i>
      <x v="10"/>
    </i>
    <i>
      <x v="11"/>
    </i>
    <i t="grand">
      <x/>
    </i>
  </rowItems>
  <colItems count="1">
    <i/>
  </colItems>
  <pageFields count="1">
    <pageField fld="0" hier="-1"/>
  </pageFields>
  <dataFields count="1">
    <dataField name="Average of Average call duration" fld="8" subtotal="average" baseField="2" baseItem="0" numFmtId="45"/>
  </dataFields>
  <formats count="20">
    <format dxfId="231">
      <pivotArea dataOnly="0" labelOnly="1" outline="0" axis="axisValues"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dataOnly="0" labelOnly="1" outline="0" axis="axisValues" fieldPosition="0"/>
    </format>
    <format dxfId="226">
      <pivotArea type="all" dataOnly="0" outline="0" fieldPosition="0"/>
    </format>
    <format dxfId="225">
      <pivotArea outline="0" collapsedLevelsAreSubtotals="1" fieldPosition="0"/>
    </format>
    <format dxfId="224">
      <pivotArea dataOnly="0" labelOnly="1" outline="0" axis="axisValues" fieldPosition="0"/>
    </format>
    <format dxfId="223">
      <pivotArea field="0" type="button" dataOnly="0" labelOnly="1" outline="0" axis="axisPage" fieldPosition="0"/>
    </format>
    <format dxfId="222">
      <pivotArea dataOnly="0" labelOnly="1" grandRow="1" outline="0" fieldPosition="0"/>
    </format>
    <format dxfId="221">
      <pivotArea field="2" type="button" dataOnly="0" labelOnly="1" outline="0" axis="axisRow" fieldPosition="0"/>
    </format>
    <format dxfId="220">
      <pivotArea field="11" type="button" dataOnly="0" labelOnly="1" outline="0"/>
    </format>
    <format dxfId="219">
      <pivotArea field="9" type="button" dataOnly="0" labelOnly="1" outline="0"/>
    </format>
    <format dxfId="218">
      <pivotArea grandRow="1" outline="0" collapsedLevelsAreSubtotals="1" fieldPosition="0"/>
    </format>
    <format dxfId="217">
      <pivotArea grandRow="1" outline="0" collapsedLevelsAreSubtotals="1" fieldPosition="0"/>
    </format>
    <format dxfId="216">
      <pivotArea field="10" type="button" dataOnly="0" labelOnly="1" outline="0"/>
    </format>
    <format dxfId="215">
      <pivotArea dataOnly="0" labelOnly="1" outline="0" fieldPosition="0">
        <references count="1">
          <reference field="0" count="0"/>
        </references>
      </pivotArea>
    </format>
    <format dxfId="214">
      <pivotArea field="0" type="button" dataOnly="0" labelOnly="1" outline="0" axis="axisPage" fieldPosition="0"/>
    </format>
    <format dxfId="213">
      <pivotArea grandRow="1" outline="0" collapsedLevelsAreSubtotals="1" fieldPosition="0"/>
    </format>
    <format dxfId="21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67E70F-1EE7-4F40-BB74-DD10A795370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4:F6" firstHeaderRow="1" firstDataRow="1" firstDataCol="1"/>
  <pivotFields count="14">
    <pivotField axis="axisRow" dataField="1"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numFmtId="166" showAll="0"/>
    <pivotField showAll="0"/>
    <pivotField numFmtId="45" showAll="0"/>
    <pivotField showAll="0"/>
    <pivotField showAll="0"/>
    <pivotField showAll="0"/>
    <pivotField showAll="0">
      <items count="5">
        <item x="2"/>
        <item x="3"/>
        <item x="1"/>
        <item x="0"/>
        <item t="default"/>
      </items>
    </pivotField>
    <pivotField showAll="0"/>
  </pivotFields>
  <rowFields count="1">
    <field x="0"/>
  </rowFields>
  <rowItems count="2">
    <i>
      <x/>
    </i>
    <i>
      <x v="1"/>
    </i>
  </rowItems>
  <colItems count="1">
    <i/>
  </colItems>
  <dataFields count="1">
    <dataField name="Count of Fees Status" fld="0" subtotal="count" baseField="0" baseItem="0"/>
  </dataFields>
  <formats count="10">
    <format dxfId="241">
      <pivotArea dataOnly="0" labelOnly="1" outline="0" axis="axisValues"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dataOnly="0" labelOnly="1" outline="0" axis="axisValues" fieldPosition="0"/>
    </format>
    <format dxfId="233">
      <pivotArea field="0" type="button" dataOnly="0" labelOnly="1" outline="0" axis="axisRow" fieldPosition="0"/>
    </format>
    <format dxfId="232">
      <pivotArea field="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90C282-CDDD-4EDF-B19F-22A897486317}" name="PivotTable11"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4">
  <location ref="AL4:AM13" firstHeaderRow="1" firstDataRow="1" firstDataCol="1"/>
  <pivotFields count="14">
    <pivotField showAll="0">
      <items count="3">
        <item x="0"/>
        <item x="1"/>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numFmtId="166" showAll="0"/>
    <pivotField showAll="0"/>
    <pivotField numFmtId="45" showAll="0"/>
    <pivotField showAll="0"/>
    <pivotField showAll="0"/>
    <pivotField axis="axisRow" dataField="1" showAll="0">
      <items count="9">
        <item x="2"/>
        <item x="3"/>
        <item x="4"/>
        <item x="0"/>
        <item x="5"/>
        <item x="1"/>
        <item x="6"/>
        <item x="7"/>
        <item t="default"/>
      </items>
    </pivotField>
    <pivotField showAll="0">
      <items count="5">
        <item x="2"/>
        <item x="3"/>
        <item x="1"/>
        <item x="0"/>
        <item t="default"/>
      </items>
    </pivotField>
    <pivotField showAll="0"/>
  </pivotFields>
  <rowFields count="1">
    <field x="11"/>
  </rowFields>
  <rowItems count="9">
    <i>
      <x/>
    </i>
    <i>
      <x v="1"/>
    </i>
    <i>
      <x v="2"/>
    </i>
    <i>
      <x v="3"/>
    </i>
    <i>
      <x v="4"/>
    </i>
    <i>
      <x v="5"/>
    </i>
    <i>
      <x v="6"/>
    </i>
    <i>
      <x v="7"/>
    </i>
    <i t="grand">
      <x/>
    </i>
  </rowItems>
  <colItems count="1">
    <i/>
  </colItems>
  <dataFields count="1">
    <dataField name="Count of Area Code" fld="11" subtotal="count" baseField="0" baseItem="0"/>
  </dataFields>
  <formats count="13">
    <format dxfId="254">
      <pivotArea dataOnly="0" labelOnly="1" outline="0" axis="axisValues" fieldPosition="0"/>
    </format>
    <format dxfId="253">
      <pivotArea dataOnly="0" labelOnly="1" outline="0" axis="axisValues" fieldPosition="0"/>
    </format>
    <format dxfId="252">
      <pivotArea type="all" dataOnly="0" outline="0" fieldPosition="0"/>
    </format>
    <format dxfId="251">
      <pivotArea outline="0" collapsedLevelsAreSubtotals="1" fieldPosition="0"/>
    </format>
    <format dxfId="250">
      <pivotArea dataOnly="0" labelOnly="1" outline="0" axis="axisValues" fieldPosition="0"/>
    </format>
    <format dxfId="249">
      <pivotArea type="all" dataOnly="0" outline="0" fieldPosition="0"/>
    </format>
    <format dxfId="248">
      <pivotArea outline="0" collapsedLevelsAreSubtotals="1" fieldPosition="0"/>
    </format>
    <format dxfId="247">
      <pivotArea dataOnly="0" labelOnly="1" outline="0" axis="axisValues" fieldPosition="0"/>
    </format>
    <format dxfId="246">
      <pivotArea field="0" type="button" dataOnly="0" labelOnly="1" outline="0"/>
    </format>
    <format dxfId="245">
      <pivotArea dataOnly="0" labelOnly="1" grandRow="1" outline="0" fieldPosition="0"/>
    </format>
    <format dxfId="244">
      <pivotArea grandRow="1" outline="0" collapsedLevelsAreSubtotals="1" fieldPosition="0"/>
    </format>
    <format dxfId="243">
      <pivotArea field="2" type="button" dataOnly="0" labelOnly="1" outline="0"/>
    </format>
    <format dxfId="242">
      <pivotArea field="11" type="button" dataOnly="0" labelOnly="1" outline="0" axis="axisRow" fieldPosition="0"/>
    </format>
  </formats>
  <chartFormats count="2">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AF54B1-3298-4909-A55F-DB58CFCBD3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4">
    <pivotField showAll="0"/>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6" showAll="0"/>
    <pivotField showAll="0"/>
    <pivotField numFmtId="45" showAll="0"/>
    <pivotField showAll="0"/>
    <pivotField showAll="0"/>
    <pivotField showAll="0"/>
    <pivotField showAll="0">
      <items count="5">
        <item x="2"/>
        <item x="3"/>
        <item x="1"/>
        <item x="0"/>
        <item t="default"/>
      </items>
    </pivotField>
    <pivotField showAll="0"/>
  </pivotFields>
  <rowItems count="1">
    <i/>
  </rowItems>
  <colItems count="1">
    <i/>
  </colItems>
  <dataFields count="1">
    <dataField name="Sum of Paid Fees" fld="6" baseField="0" baseItem="0" numFmtId="3"/>
  </dataFields>
  <formats count="8">
    <format dxfId="262">
      <pivotArea dataOnly="0" labelOnly="1" outline="0" axis="axisValues" fieldPosition="0"/>
    </format>
    <format dxfId="261">
      <pivotArea dataOnly="0" labelOnly="1" outline="0" axis="axisValues" fieldPosition="0"/>
    </format>
    <format dxfId="260">
      <pivotArea type="all" dataOnly="0" outline="0" fieldPosition="0"/>
    </format>
    <format dxfId="259">
      <pivotArea outline="0" collapsedLevelsAreSubtotals="1"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B68E56-5F9F-4598-8709-97CE3DC70A78}"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C4:AD7" firstHeaderRow="1" firstDataRow="1" firstDataCol="1"/>
  <pivotFields count="14">
    <pivotField axis="axisRow" dataField="1" showAll="0">
      <items count="3">
        <item x="0"/>
        <item x="1"/>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numFmtId="166" showAll="0"/>
    <pivotField showAll="0"/>
    <pivotField numFmtId="45" showAll="0"/>
    <pivotField showAll="0"/>
    <pivotField showAll="0"/>
    <pivotField showAll="0"/>
    <pivotField showAll="0">
      <items count="5">
        <item x="2"/>
        <item x="3"/>
        <item x="1"/>
        <item x="0"/>
        <item t="default"/>
      </items>
    </pivotField>
    <pivotField showAll="0"/>
  </pivotFields>
  <rowFields count="1">
    <field x="0"/>
  </rowFields>
  <rowItems count="3">
    <i>
      <x/>
    </i>
    <i>
      <x v="1"/>
    </i>
    <i t="grand">
      <x/>
    </i>
  </rowItems>
  <colItems count="1">
    <i/>
  </colItems>
  <dataFields count="1">
    <dataField name="Count of Fees Status" fld="0" subtotal="count" baseField="0" baseItem="0"/>
  </dataFields>
  <formats count="11">
    <format dxfId="273">
      <pivotArea dataOnly="0" labelOnly="1" outline="0" axis="axisValues" fieldPosition="0"/>
    </format>
    <format dxfId="272">
      <pivotArea dataOnly="0" labelOnly="1" outline="0" axis="axisValues" fieldPosition="0"/>
    </format>
    <format dxfId="271">
      <pivotArea type="all" dataOnly="0" outline="0" fieldPosition="0"/>
    </format>
    <format dxfId="270">
      <pivotArea outline="0" collapsedLevelsAreSubtotals="1" fieldPosition="0"/>
    </format>
    <format dxfId="269">
      <pivotArea dataOnly="0" labelOnly="1" outline="0" axis="axisValues" fieldPosition="0"/>
    </format>
    <format dxfId="268">
      <pivotArea type="all" dataOnly="0" outline="0" fieldPosition="0"/>
    </format>
    <format dxfId="267">
      <pivotArea outline="0" collapsedLevelsAreSubtotals="1" fieldPosition="0"/>
    </format>
    <format dxfId="266">
      <pivotArea dataOnly="0" labelOnly="1" outline="0" axis="axisValues" fieldPosition="0"/>
    </format>
    <format dxfId="265">
      <pivotArea field="0" type="button" dataOnly="0" labelOnly="1" outline="0" axis="axisRow" fieldPosition="0"/>
    </format>
    <format dxfId="264">
      <pivotArea dataOnly="0" labelOnly="1" grandRow="1" outline="0" fieldPosition="0"/>
    </format>
    <format dxfId="263">
      <pivotArea grandRow="1" outline="0" collapsedLevelsAreSubtotals="1" fieldPosition="0"/>
    </format>
  </formats>
  <chartFormats count="18">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0" count="1" selected="0">
            <x v="0"/>
          </reference>
        </references>
      </pivotArea>
    </chartFormat>
    <chartFormat chart="2" format="19">
      <pivotArea type="data" outline="0" fieldPosition="0">
        <references count="2">
          <reference field="4294967294" count="1" selected="0">
            <x v="0"/>
          </reference>
          <reference field="0" count="1" selected="0">
            <x v="1"/>
          </reference>
        </references>
      </pivotArea>
    </chartFormat>
    <chartFormat chart="8" format="23" series="1">
      <pivotArea type="data" outline="0" fieldPosition="0">
        <references count="1">
          <reference field="4294967294" count="1" selected="0">
            <x v="0"/>
          </reference>
        </references>
      </pivotArea>
    </chartFormat>
    <chartFormat chart="8" format="24">
      <pivotArea type="data" outline="0" fieldPosition="0">
        <references count="2">
          <reference field="4294967294" count="1" selected="0">
            <x v="0"/>
          </reference>
          <reference field="0" count="1" selected="0">
            <x v="0"/>
          </reference>
        </references>
      </pivotArea>
    </chartFormat>
    <chartFormat chart="8" format="25">
      <pivotArea type="data" outline="0" fieldPosition="0">
        <references count="2">
          <reference field="4294967294" count="1" selected="0">
            <x v="0"/>
          </reference>
          <reference field="0" count="1" selected="0">
            <x v="1"/>
          </reference>
        </references>
      </pivotArea>
    </chartFormat>
    <chartFormat chart="11" format="23" series="1">
      <pivotArea type="data" outline="0" fieldPosition="0">
        <references count="1">
          <reference field="4294967294" count="1" selected="0">
            <x v="0"/>
          </reference>
        </references>
      </pivotArea>
    </chartFormat>
    <chartFormat chart="11" format="24">
      <pivotArea type="data" outline="0" fieldPosition="0">
        <references count="2">
          <reference field="4294967294" count="1" selected="0">
            <x v="0"/>
          </reference>
          <reference field="0" count="1" selected="0">
            <x v="0"/>
          </reference>
        </references>
      </pivotArea>
    </chartFormat>
    <chartFormat chart="11" format="25">
      <pivotArea type="data" outline="0" fieldPosition="0">
        <references count="2">
          <reference field="4294967294" count="1" selected="0">
            <x v="0"/>
          </reference>
          <reference field="0" count="1" selected="0">
            <x v="1"/>
          </reference>
        </references>
      </pivotArea>
    </chartFormat>
    <chartFormat chart="12" format="29" series="1">
      <pivotArea type="data" outline="0" fieldPosition="0">
        <references count="1">
          <reference field="4294967294" count="1" selected="0">
            <x v="0"/>
          </reference>
        </references>
      </pivotArea>
    </chartFormat>
    <chartFormat chart="12" format="30">
      <pivotArea type="data" outline="0" fieldPosition="0">
        <references count="2">
          <reference field="4294967294" count="1" selected="0">
            <x v="0"/>
          </reference>
          <reference field="0" count="1" selected="0">
            <x v="0"/>
          </reference>
        </references>
      </pivotArea>
    </chartFormat>
    <chartFormat chart="12" format="31">
      <pivotArea type="data" outline="0" fieldPosition="0">
        <references count="2">
          <reference field="4294967294" count="1" selected="0">
            <x v="0"/>
          </reference>
          <reference field="0" count="1" selected="0">
            <x v="1"/>
          </reference>
        </references>
      </pivotArea>
    </chartFormat>
    <chartFormat chart="15" format="29" series="1">
      <pivotArea type="data" outline="0" fieldPosition="0">
        <references count="1">
          <reference field="4294967294" count="1" selected="0">
            <x v="0"/>
          </reference>
        </references>
      </pivotArea>
    </chartFormat>
    <chartFormat chart="15" format="30">
      <pivotArea type="data" outline="0" fieldPosition="0">
        <references count="2">
          <reference field="4294967294" count="1" selected="0">
            <x v="0"/>
          </reference>
          <reference field="0" count="1" selected="0">
            <x v="0"/>
          </reference>
        </references>
      </pivotArea>
    </chartFormat>
    <chartFormat chart="15" format="31">
      <pivotArea type="data" outline="0" fieldPosition="0">
        <references count="2">
          <reference field="4294967294" count="1" selected="0">
            <x v="0"/>
          </reference>
          <reference field="0" count="1" selected="0">
            <x v="1"/>
          </reference>
        </references>
      </pivotArea>
    </chartFormat>
    <chartFormat chart="16" format="35" series="1">
      <pivotArea type="data" outline="0" fieldPosition="0">
        <references count="1">
          <reference field="4294967294" count="1" selected="0">
            <x v="0"/>
          </reference>
        </references>
      </pivotArea>
    </chartFormat>
    <chartFormat chart="16" format="36">
      <pivotArea type="data" outline="0" fieldPosition="0">
        <references count="2">
          <reference field="4294967294" count="1" selected="0">
            <x v="0"/>
          </reference>
          <reference field="0" count="1" selected="0">
            <x v="0"/>
          </reference>
        </references>
      </pivotArea>
    </chartFormat>
    <chartFormat chart="16" format="3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FC57F5-EEF5-4BAD-869E-C848627F421D}"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H23:AH24" firstHeaderRow="1" firstDataRow="1" firstDataCol="0"/>
  <pivotFields count="14">
    <pivotField showAll="0">
      <items count="3">
        <item x="0"/>
        <item x="1"/>
        <item t="default"/>
      </items>
    </pivotField>
    <pivotField numFmtId="1" showAll="0"/>
    <pivotField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6" showAll="0"/>
    <pivotField showAll="0"/>
    <pivotField numFmtId="45" showAll="0"/>
    <pivotField showAll="0"/>
    <pivotField showAll="0"/>
    <pivotField showAll="0"/>
    <pivotField showAll="0">
      <items count="5">
        <item x="2"/>
        <item x="3"/>
        <item x="1"/>
        <item x="0"/>
        <item t="default"/>
      </items>
    </pivotField>
    <pivotField showAll="0"/>
  </pivotFields>
  <rowItems count="1">
    <i/>
  </rowItems>
  <colItems count="1">
    <i/>
  </colItems>
  <dataFields count="1">
    <dataField name="Sum of Enrolled Courses" fld="5" baseField="0" baseItem="0" numFmtId="1"/>
  </dataFields>
  <formats count="15">
    <format dxfId="288">
      <pivotArea dataOnly="0" labelOnly="1" outline="0" axis="axisValues" fieldPosition="0"/>
    </format>
    <format dxfId="287">
      <pivotArea dataOnly="0" labelOnly="1" outline="0" axis="axisValues" fieldPosition="0"/>
    </format>
    <format dxfId="286">
      <pivotArea type="all" dataOnly="0" outline="0" fieldPosition="0"/>
    </format>
    <format dxfId="285">
      <pivotArea outline="0" collapsedLevelsAreSubtotals="1" fieldPosition="0"/>
    </format>
    <format dxfId="284">
      <pivotArea dataOnly="0" labelOnly="1" outline="0" axis="axisValues" fieldPosition="0"/>
    </format>
    <format dxfId="283">
      <pivotArea type="all" dataOnly="0" outline="0" fieldPosition="0"/>
    </format>
    <format dxfId="282">
      <pivotArea outline="0" collapsedLevelsAreSubtotals="1" fieldPosition="0"/>
    </format>
    <format dxfId="281">
      <pivotArea dataOnly="0" labelOnly="1" outline="0" axis="axisValues" fieldPosition="0"/>
    </format>
    <format dxfId="280">
      <pivotArea field="0" type="button" dataOnly="0" labelOnly="1" outline="0"/>
    </format>
    <format dxfId="279">
      <pivotArea dataOnly="0" labelOnly="1" grandRow="1" outline="0" fieldPosition="0"/>
    </format>
    <format dxfId="278">
      <pivotArea grandRow="1" outline="0" collapsedLevelsAreSubtotals="1" fieldPosition="0"/>
    </format>
    <format dxfId="277">
      <pivotArea field="2" type="button" dataOnly="0" labelOnly="1" outline="0"/>
    </format>
    <format dxfId="276">
      <pivotArea outline="0" collapsedLevelsAreSubtotals="1" fieldPosition="0"/>
    </format>
    <format dxfId="275">
      <pivotArea outline="0" collapsedLevelsAreSubtotals="1" fieldPosition="0"/>
    </format>
    <format dxfId="2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8BFBC1-36E4-42D9-AF5C-EAA9E7CD738D}" name="total earnings by month"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T4:V16" firstHeaderRow="0" firstDataRow="1" firstDataCol="1"/>
  <pivotFields count="14">
    <pivotField showAll="0">
      <items count="3">
        <item x="1"/>
        <item x="0"/>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numFmtId="3" showAll="0"/>
    <pivotField dataField="1" numFmtId="166" showAll="0"/>
    <pivotField showAll="0"/>
    <pivotField numFmtId="45" showAll="0"/>
    <pivotField showAll="0"/>
    <pivotField showAll="0"/>
    <pivotField showAll="0"/>
    <pivotField showAll="0">
      <items count="5">
        <item x="2"/>
        <item x="3"/>
        <item x="1"/>
        <item x="0"/>
        <item t="default"/>
      </items>
    </pivotField>
    <pivotField showAll="0" sortType="descending">
      <items count="17">
        <item x="5"/>
        <item x="2"/>
        <item x="8"/>
        <item x="6"/>
        <item x="1"/>
        <item x="4"/>
        <item x="14"/>
        <item x="0"/>
        <item x="10"/>
        <item x="11"/>
        <item x="13"/>
        <item x="15"/>
        <item x="9"/>
        <item x="7"/>
        <item x="12"/>
        <item x="3"/>
        <item t="default"/>
      </items>
      <autoSortScope>
        <pivotArea dataOnly="0" outline="0" fieldPosition="0">
          <references count="1">
            <reference field="4294967294" count="1" selected="0">
              <x v="0"/>
            </reference>
          </references>
        </pivotArea>
      </autoSortScope>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Paid Fees" fld="6" baseField="2" baseItem="0" numFmtId="168"/>
    <dataField name="Sum of Paid Fees2" fld="6" baseField="0" baseItem="0"/>
  </dataFields>
  <formats count="15">
    <format dxfId="303">
      <pivotArea dataOnly="0" labelOnly="1" outline="0" axis="axisValues"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dataOnly="0" labelOnly="1" outline="0" axis="axisValues" fieldPosition="0"/>
    </format>
    <format dxfId="295">
      <pivotArea field="0" type="button" dataOnly="0" labelOnly="1" outline="0"/>
    </format>
    <format dxfId="294">
      <pivotArea field="0" type="button" dataOnly="0" labelOnly="1" outline="0"/>
    </format>
    <format dxfId="293">
      <pivotArea field="13" type="button" dataOnly="0" labelOnly="1" outline="0"/>
    </format>
    <format dxfId="292">
      <pivotArea field="2" type="button" dataOnly="0" labelOnly="1" outline="0" axis="axisRow" fieldPosition="0"/>
    </format>
    <format dxfId="291">
      <pivotArea outline="0" fieldPosition="0">
        <references count="1">
          <reference field="4294967294" count="1">
            <x v="0"/>
          </reference>
        </references>
      </pivotArea>
    </format>
    <format dxfId="290">
      <pivotArea dataOnly="0" labelOnly="1" outline="0" fieldPosition="0">
        <references count="1">
          <reference field="4294967294" count="1">
            <x v="0"/>
          </reference>
        </references>
      </pivotArea>
    </format>
    <format dxfId="289">
      <pivotArea dataOnly="0" labelOnly="1" outline="0" fieldPosition="0">
        <references count="1">
          <reference field="4294967294" count="1">
            <x v="1"/>
          </reference>
        </references>
      </pivotArea>
    </format>
  </formats>
  <chartFormats count="4">
    <chartFormat chart="5" format="6"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0C52A7-FE00-4880-9DCE-B00DACEFB88E}" name="Training models by sales team"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0">
  <location ref="DO4:DP24" firstHeaderRow="1" firstDataRow="1" firstDataCol="1" rowPageCount="1" colPageCount="1"/>
  <pivotFields count="14">
    <pivotField axis="axisPage" multipleItemSelectionAllowed="1" showAll="0">
      <items count="3">
        <item x="0"/>
        <item h="1" x="1"/>
        <item t="default"/>
      </items>
    </pivotField>
    <pivotField numFmtId="1" showAll="0"/>
    <pivotField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dataField="1" numFmtId="166" showAll="0"/>
    <pivotField showAll="0"/>
    <pivotField numFmtId="45" showAll="0"/>
    <pivotField axis="axisRow" showAll="0">
      <items count="6">
        <item x="1"/>
        <item x="2"/>
        <item x="4"/>
        <item x="0"/>
        <item h="1"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axis="axisRow"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2">
    <field x="12"/>
    <field x="9"/>
  </rowFields>
  <rowItems count="20">
    <i>
      <x/>
    </i>
    <i r="1">
      <x/>
    </i>
    <i r="1">
      <x v="1"/>
    </i>
    <i r="1">
      <x v="3"/>
    </i>
    <i>
      <x v="1"/>
    </i>
    <i r="1">
      <x/>
    </i>
    <i r="1">
      <x v="1"/>
    </i>
    <i r="1">
      <x v="2"/>
    </i>
    <i r="1">
      <x v="3"/>
    </i>
    <i>
      <x v="2"/>
    </i>
    <i r="1">
      <x/>
    </i>
    <i r="1">
      <x v="1"/>
    </i>
    <i r="1">
      <x v="2"/>
    </i>
    <i r="1">
      <x v="3"/>
    </i>
    <i>
      <x v="3"/>
    </i>
    <i r="1">
      <x/>
    </i>
    <i r="1">
      <x v="1"/>
    </i>
    <i r="1">
      <x v="2"/>
    </i>
    <i r="1">
      <x v="3"/>
    </i>
    <i t="grand">
      <x/>
    </i>
  </rowItems>
  <colItems count="1">
    <i/>
  </colItems>
  <pageFields count="1">
    <pageField fld="0" hier="-1"/>
  </pageFields>
  <dataFields count="1">
    <dataField name="Sum of Paid Fees" fld="6" baseField="0" baseItem="0"/>
  </dataFields>
  <formats count="48">
    <format dxfId="351">
      <pivotArea dataOnly="0" labelOnly="1" outline="0" axis="axisValues" fieldPosition="0"/>
    </format>
    <format dxfId="350">
      <pivotArea dataOnly="0" labelOnly="1" outline="0" axis="axisValues" fieldPosition="0"/>
    </format>
    <format dxfId="349">
      <pivotArea type="all" dataOnly="0" outline="0" fieldPosition="0"/>
    </format>
    <format dxfId="348">
      <pivotArea outline="0" collapsedLevelsAreSubtotals="1"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dataOnly="0" labelOnly="1" outline="0" axis="axisValues" fieldPosition="0"/>
    </format>
    <format dxfId="343">
      <pivotArea field="0" type="button" dataOnly="0" labelOnly="1" outline="0" axis="axisPage" fieldPosition="0"/>
    </format>
    <format dxfId="342">
      <pivotArea dataOnly="0" labelOnly="1" grandRow="1" outline="0" fieldPosition="0"/>
    </format>
    <format dxfId="341">
      <pivotArea field="2" type="button" dataOnly="0" labelOnly="1" outline="0"/>
    </format>
    <format dxfId="340">
      <pivotArea field="11" type="button" dataOnly="0" labelOnly="1" outline="0"/>
    </format>
    <format dxfId="339">
      <pivotArea field="9" type="button" dataOnly="0" labelOnly="1" outline="0" axis="axisRow" fieldPosition="1"/>
    </format>
    <format dxfId="338">
      <pivotArea grandRow="1" outline="0" collapsedLevelsAreSubtotals="1" fieldPosition="0"/>
    </format>
    <format dxfId="337">
      <pivotArea grandRow="1" outline="0" collapsedLevelsAreSubtotals="1" fieldPosition="0"/>
    </format>
    <format dxfId="336">
      <pivotArea field="10" type="button" dataOnly="0" labelOnly="1" outline="0"/>
    </format>
    <format dxfId="335">
      <pivotArea field="0" type="button" dataOnly="0" labelOnly="1" outline="0" axis="axisPage" fieldPosition="0"/>
    </format>
    <format dxfId="334">
      <pivotArea grandRow="1" outline="0" collapsedLevelsAreSubtotals="1" fieldPosition="0"/>
    </format>
    <format dxfId="333">
      <pivotArea field="12" type="button" dataOnly="0" labelOnly="1" outline="0" axis="axisRow" fieldPosition="0"/>
    </format>
    <format dxfId="332">
      <pivotArea field="13" type="button" dataOnly="0" labelOnly="1" outline="0"/>
    </format>
    <format dxfId="331">
      <pivotArea field="4" type="button" dataOnly="0" labelOnly="1" outline="0"/>
    </format>
    <format dxfId="330">
      <pivotArea field="3" type="button" dataOnly="0" labelOnly="1" outline="0"/>
    </format>
    <format dxfId="329">
      <pivotArea type="topRight" dataOnly="0" labelOnly="1" outline="0" offset="D1" fieldPosition="0"/>
    </format>
    <format dxfId="328">
      <pivotArea type="topRight" dataOnly="0" labelOnly="1" outline="0" offset="C1" fieldPosition="0"/>
    </format>
    <format dxfId="327">
      <pivotArea type="topRight" dataOnly="0" labelOnly="1" outline="0" offset="B1" fieldPosition="0"/>
    </format>
    <format dxfId="326">
      <pivotArea type="topRight" dataOnly="0" labelOnly="1" outline="0" offset="A1" fieldPosition="0"/>
    </format>
    <format dxfId="325">
      <pivotArea type="origin" dataOnly="0" labelOnly="1" outline="0" fieldPosition="0"/>
    </format>
    <format dxfId="324">
      <pivotArea outline="0" collapsedLevelsAreSubtotals="1" fieldPosition="0"/>
    </format>
    <format dxfId="323">
      <pivotArea collapsedLevelsAreSubtotals="1" fieldPosition="0">
        <references count="2">
          <reference field="9" count="1">
            <x v="0"/>
          </reference>
          <reference field="12" count="1" selected="0">
            <x v="0"/>
          </reference>
        </references>
      </pivotArea>
    </format>
    <format dxfId="322">
      <pivotArea collapsedLevelsAreSubtotals="1" fieldPosition="0">
        <references count="2">
          <reference field="9" count="1">
            <x v="1"/>
          </reference>
          <reference field="12" count="1" selected="0">
            <x v="0"/>
          </reference>
        </references>
      </pivotArea>
    </format>
    <format dxfId="321">
      <pivotArea collapsedLevelsAreSubtotals="1" fieldPosition="0">
        <references count="2">
          <reference field="9" count="1">
            <x v="3"/>
          </reference>
          <reference field="12" count="1" selected="0">
            <x v="0"/>
          </reference>
        </references>
      </pivotArea>
    </format>
    <format dxfId="320">
      <pivotArea collapsedLevelsAreSubtotals="1" fieldPosition="0">
        <references count="2">
          <reference field="9" count="1">
            <x v="0"/>
          </reference>
          <reference field="12" count="1" selected="0">
            <x v="1"/>
          </reference>
        </references>
      </pivotArea>
    </format>
    <format dxfId="319">
      <pivotArea collapsedLevelsAreSubtotals="1" fieldPosition="0">
        <references count="2">
          <reference field="9" count="1">
            <x v="1"/>
          </reference>
          <reference field="12" count="1" selected="0">
            <x v="1"/>
          </reference>
        </references>
      </pivotArea>
    </format>
    <format dxfId="318">
      <pivotArea collapsedLevelsAreSubtotals="1" fieldPosition="0">
        <references count="2">
          <reference field="9" count="1">
            <x v="2"/>
          </reference>
          <reference field="12" count="1" selected="0">
            <x v="1"/>
          </reference>
        </references>
      </pivotArea>
    </format>
    <format dxfId="317">
      <pivotArea collapsedLevelsAreSubtotals="1" fieldPosition="0">
        <references count="2">
          <reference field="9" count="1">
            <x v="3"/>
          </reference>
          <reference field="12" count="1" selected="0">
            <x v="1"/>
          </reference>
        </references>
      </pivotArea>
    </format>
    <format dxfId="316">
      <pivotArea collapsedLevelsAreSubtotals="1" fieldPosition="0">
        <references count="2">
          <reference field="9" count="1">
            <x v="0"/>
          </reference>
          <reference field="12" count="1" selected="0">
            <x v="2"/>
          </reference>
        </references>
      </pivotArea>
    </format>
    <format dxfId="315">
      <pivotArea collapsedLevelsAreSubtotals="1" fieldPosition="0">
        <references count="2">
          <reference field="9" count="1">
            <x v="1"/>
          </reference>
          <reference field="12" count="1" selected="0">
            <x v="2"/>
          </reference>
        </references>
      </pivotArea>
    </format>
    <format dxfId="314">
      <pivotArea collapsedLevelsAreSubtotals="1" fieldPosition="0">
        <references count="2">
          <reference field="9" count="1">
            <x v="2"/>
          </reference>
          <reference field="12" count="1" selected="0">
            <x v="2"/>
          </reference>
        </references>
      </pivotArea>
    </format>
    <format dxfId="313">
      <pivotArea collapsedLevelsAreSubtotals="1" fieldPosition="0">
        <references count="2">
          <reference field="9" count="1">
            <x v="3"/>
          </reference>
          <reference field="12" count="1" selected="0">
            <x v="2"/>
          </reference>
        </references>
      </pivotArea>
    </format>
    <format dxfId="312">
      <pivotArea collapsedLevelsAreSubtotals="1" fieldPosition="0">
        <references count="2">
          <reference field="9" count="1">
            <x v="0"/>
          </reference>
          <reference field="12" count="1" selected="0">
            <x v="3"/>
          </reference>
        </references>
      </pivotArea>
    </format>
    <format dxfId="311">
      <pivotArea collapsedLevelsAreSubtotals="1" fieldPosition="0">
        <references count="2">
          <reference field="9" count="1">
            <x v="1"/>
          </reference>
          <reference field="12" count="1" selected="0">
            <x v="3"/>
          </reference>
        </references>
      </pivotArea>
    </format>
    <format dxfId="310">
      <pivotArea collapsedLevelsAreSubtotals="1" fieldPosition="0">
        <references count="2">
          <reference field="9" count="1">
            <x v="2"/>
          </reference>
          <reference field="12" count="1" selected="0">
            <x v="3"/>
          </reference>
        </references>
      </pivotArea>
    </format>
    <format dxfId="309">
      <pivotArea collapsedLevelsAreSubtotals="1" fieldPosition="0">
        <references count="2">
          <reference field="9" count="1">
            <x v="3"/>
          </reference>
          <reference field="12" count="1" selected="0">
            <x v="3"/>
          </reference>
        </references>
      </pivotArea>
    </format>
    <format dxfId="308">
      <pivotArea collapsedLevelsAreSubtotals="1" fieldPosition="0">
        <references count="1">
          <reference field="12" count="1">
            <x v="2"/>
          </reference>
        </references>
      </pivotArea>
    </format>
    <format dxfId="307">
      <pivotArea collapsedLevelsAreSubtotals="1" fieldPosition="0">
        <references count="1">
          <reference field="12" count="1">
            <x v="0"/>
          </reference>
        </references>
      </pivotArea>
    </format>
    <format dxfId="306">
      <pivotArea collapsedLevelsAreSubtotals="1" fieldPosition="0">
        <references count="1">
          <reference field="12" count="1">
            <x v="1"/>
          </reference>
        </references>
      </pivotArea>
    </format>
    <format dxfId="305">
      <pivotArea collapsedLevelsAreSubtotals="1" fieldPosition="0">
        <references count="1">
          <reference field="12" count="1">
            <x v="3"/>
          </reference>
        </references>
      </pivotArea>
    </format>
    <format dxfId="304">
      <pivotArea dataOnly="0" labelOnly="1" outline="0" fieldPosition="0">
        <references count="1">
          <reference field="0" count="0"/>
        </references>
      </pivotArea>
    </format>
  </formats>
  <chartFormats count="2">
    <chartFormat chart="57" format="2" series="1">
      <pivotArea type="data" outline="0" fieldPosition="0">
        <references count="1">
          <reference field="4294967294" count="1" selected="0">
            <x v="0"/>
          </reference>
        </references>
      </pivotArea>
    </chartFormat>
    <chartFormat chart="5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0A6E9B-0C74-45E4-8ACD-B7C17EDD328D}"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H20:AH21" firstHeaderRow="1" firstDataRow="1" firstDataCol="0"/>
  <pivotFields count="14">
    <pivotField showAll="0">
      <items count="3">
        <item x="0"/>
        <item x="1"/>
        <item t="default"/>
      </items>
    </pivotField>
    <pivotField numFmtId="1" showAll="0"/>
    <pivotField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6" showAll="0"/>
    <pivotField showAll="0"/>
    <pivotField numFmtId="45" showAll="0"/>
    <pivotField showAll="0"/>
    <pivotField showAll="0"/>
    <pivotField showAll="0"/>
    <pivotField showAll="0">
      <items count="5">
        <item x="2"/>
        <item x="3"/>
        <item x="1"/>
        <item x="0"/>
        <item t="default"/>
      </items>
    </pivotField>
    <pivotField showAll="0"/>
  </pivotFields>
  <rowItems count="1">
    <i/>
  </rowItems>
  <colItems count="1">
    <i/>
  </colItems>
  <dataFields count="1">
    <dataField name="Average of Enrolled Courses" fld="5" subtotal="average" baseField="0" baseItem="0" numFmtId="2"/>
  </dataFields>
  <formats count="15">
    <format dxfId="366">
      <pivotArea dataOnly="0" labelOnly="1" outline="0" axis="axisValues" fieldPosition="0"/>
    </format>
    <format dxfId="365">
      <pivotArea dataOnly="0" labelOnly="1" outline="0" axis="axisValues" fieldPosition="0"/>
    </format>
    <format dxfId="364">
      <pivotArea type="all" dataOnly="0" outline="0" fieldPosition="0"/>
    </format>
    <format dxfId="363">
      <pivotArea outline="0" collapsedLevelsAreSubtotals="1" fieldPosition="0"/>
    </format>
    <format dxfId="362">
      <pivotArea dataOnly="0" labelOnly="1" outline="0" axis="axisValues" fieldPosition="0"/>
    </format>
    <format dxfId="361">
      <pivotArea type="all" dataOnly="0" outline="0" fieldPosition="0"/>
    </format>
    <format dxfId="360">
      <pivotArea outline="0" collapsedLevelsAreSubtotals="1" fieldPosition="0"/>
    </format>
    <format dxfId="359">
      <pivotArea dataOnly="0" labelOnly="1" outline="0" axis="axisValues" fieldPosition="0"/>
    </format>
    <format dxfId="358">
      <pivotArea field="0" type="button" dataOnly="0" labelOnly="1" outline="0"/>
    </format>
    <format dxfId="357">
      <pivotArea dataOnly="0" labelOnly="1" grandRow="1" outline="0" fieldPosition="0"/>
    </format>
    <format dxfId="356">
      <pivotArea grandRow="1" outline="0" collapsedLevelsAreSubtotals="1" fieldPosition="0"/>
    </format>
    <format dxfId="355">
      <pivotArea field="2" type="button" dataOnly="0" labelOnly="1" outline="0"/>
    </format>
    <format dxfId="354">
      <pivotArea outline="0" collapsedLevelsAreSubtotals="1" fieldPosition="0"/>
    </format>
    <format dxfId="353">
      <pivotArea outline="0" collapsedLevelsAreSubtotals="1" fieldPosition="0"/>
    </format>
    <format dxfId="3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34C6F1-F2B7-403E-8177-EB5DBB25EFEB}" name="Average number of Calls by month"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3">
  <location ref="CZ4:DB17" firstHeaderRow="0" firstDataRow="1" firstDataCol="1"/>
  <pivotFields count="14">
    <pivotField multipleItemSelectionAllowed="1" showAll="0">
      <items count="3">
        <item x="0"/>
        <item h="1" x="1"/>
        <item t="default"/>
      </items>
    </pivotField>
    <pivotField numFmtId="1" showAll="0"/>
    <pivotField axis="axisRow" dataField="1"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numFmtId="166" showAll="0"/>
    <pivotField showAll="0"/>
    <pivotField numFmtId="45" showAll="0"/>
    <pivotField showAll="0">
      <items count="6">
        <item x="1"/>
        <item x="2"/>
        <item x="4"/>
        <item x="0"/>
        <item h="1"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Count of Month" fld="2" subtotal="count" baseField="0" baseItem="0"/>
    <dataField name="Count of Month2" fld="2" subtotal="count" baseField="0" baseItem="0"/>
  </dataFields>
  <formats count="26">
    <format dxfId="392">
      <pivotArea dataOnly="0" labelOnly="1" outline="0" axis="axisValues" fieldPosition="0"/>
    </format>
    <format dxfId="391">
      <pivotArea dataOnly="0" labelOnly="1" outline="0" axis="axisValues" fieldPosition="0"/>
    </format>
    <format dxfId="390">
      <pivotArea type="all" dataOnly="0" outline="0" fieldPosition="0"/>
    </format>
    <format dxfId="389">
      <pivotArea outline="0" collapsedLevelsAreSubtotals="1" fieldPosition="0"/>
    </format>
    <format dxfId="388">
      <pivotArea dataOnly="0" labelOnly="1" outline="0" axis="axisValues" fieldPosition="0"/>
    </format>
    <format dxfId="387">
      <pivotArea type="all" dataOnly="0" outline="0" fieldPosition="0"/>
    </format>
    <format dxfId="386">
      <pivotArea outline="0" collapsedLevelsAreSubtotals="1" fieldPosition="0"/>
    </format>
    <format dxfId="385">
      <pivotArea dataOnly="0" labelOnly="1" outline="0" axis="axisValues" fieldPosition="0"/>
    </format>
    <format dxfId="384">
      <pivotArea field="0" type="button" dataOnly="0" labelOnly="1" outline="0"/>
    </format>
    <format dxfId="383">
      <pivotArea dataOnly="0" labelOnly="1" grandRow="1" outline="0" fieldPosition="0"/>
    </format>
    <format dxfId="382">
      <pivotArea field="2" type="button" dataOnly="0" labelOnly="1" outline="0" axis="axisRow" fieldPosition="0"/>
    </format>
    <format dxfId="381">
      <pivotArea field="11" type="button" dataOnly="0" labelOnly="1" outline="0"/>
    </format>
    <format dxfId="380">
      <pivotArea field="9" type="button" dataOnly="0" labelOnly="1" outline="0"/>
    </format>
    <format dxfId="379">
      <pivotArea grandRow="1" outline="0" collapsedLevelsAreSubtotals="1" fieldPosition="0"/>
    </format>
    <format dxfId="378">
      <pivotArea grandRow="1" outline="0" collapsedLevelsAreSubtotals="1" fieldPosition="0"/>
    </format>
    <format dxfId="377">
      <pivotArea field="10" type="button" dataOnly="0" labelOnly="1" outline="0"/>
    </format>
    <format dxfId="376">
      <pivotArea field="0" type="button" dataOnly="0" labelOnly="1" outline="0"/>
    </format>
    <format dxfId="375">
      <pivotArea grandRow="1" outline="0" collapsedLevelsAreSubtotals="1" fieldPosition="0"/>
    </format>
    <format dxfId="374">
      <pivotArea field="12" type="button" dataOnly="0" labelOnly="1" outline="0"/>
    </format>
    <format dxfId="373">
      <pivotArea field="13" type="button" dataOnly="0" labelOnly="1" outline="0"/>
    </format>
    <format dxfId="372">
      <pivotArea field="4" type="button" dataOnly="0" labelOnly="1" outline="0"/>
    </format>
    <format dxfId="371">
      <pivotArea field="3" type="button" dataOnly="0" labelOnly="1" outline="0"/>
    </format>
    <format dxfId="370">
      <pivotArea dataOnly="0" labelOnly="1" outline="0" fieldPosition="0">
        <references count="1">
          <reference field="4294967294" count="1">
            <x v="0"/>
          </reference>
        </references>
      </pivotArea>
    </format>
    <format dxfId="369">
      <pivotArea dataOnly="0" labelOnly="1" outline="0" fieldPosition="0">
        <references count="1">
          <reference field="4294967294" count="1">
            <x v="1"/>
          </reference>
        </references>
      </pivotArea>
    </format>
    <format dxfId="368">
      <pivotArea field="2" grandRow="1" outline="0" collapsedLevelsAreSubtotals="1" axis="axisRow" fieldPosition="0">
        <references count="1">
          <reference field="4294967294" count="1" selected="0">
            <x v="0"/>
          </reference>
        </references>
      </pivotArea>
    </format>
    <format dxfId="367">
      <pivotArea field="2" grandRow="1" outline="0" collapsedLevelsAreSubtotals="1" axis="axisRow" fieldPosition="0">
        <references count="1">
          <reference field="4294967294" count="1" selected="0">
            <x v="1"/>
          </reference>
        </references>
      </pivotArea>
    </format>
  </formats>
  <chartFormats count="6">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50" format="4" series="1">
      <pivotArea type="data" outline="0" fieldPosition="0">
        <references count="1">
          <reference field="4294967294" count="1" selected="0">
            <x v="1"/>
          </reference>
        </references>
      </pivotArea>
    </chartFormat>
    <chartFormat chart="50" format="5" series="1">
      <pivotArea type="data" outline="0" fieldPosition="0">
        <references count="1">
          <reference field="4294967294" count="1" selected="0">
            <x v="0"/>
          </reference>
        </references>
      </pivotArea>
    </chartFormat>
    <chartFormat chart="52" format="8" series="1">
      <pivotArea type="data" outline="0" fieldPosition="0">
        <references count="1">
          <reference field="4294967294" count="1" selected="0">
            <x v="1"/>
          </reference>
        </references>
      </pivotArea>
    </chartFormat>
    <chartFormat chart="5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02779F3-06C5-4B0C-8AFB-321F68645733}" name="PivotTable1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7">
  <location ref="CJ4:CK11" firstHeaderRow="1" firstDataRow="1" firstDataCol="1" rowPageCount="1" colPageCount="1"/>
  <pivotFields count="14">
    <pivotField axis="axisPage" multipleItemSelectionAllowed="1" showAll="0">
      <items count="3">
        <item x="0"/>
        <item h="1" x="1"/>
        <item t="default"/>
      </items>
    </pivotField>
    <pivotField numFmtId="1" showAll="0"/>
    <pivotField showAll="0">
      <items count="13">
        <item x="5"/>
        <item x="6"/>
        <item x="7"/>
        <item x="0"/>
        <item x="8"/>
        <item x="9"/>
        <item x="11"/>
        <item x="1"/>
        <item x="2"/>
        <item x="3"/>
        <item x="4"/>
        <item x="10"/>
        <item t="default"/>
      </items>
    </pivotField>
    <pivotField axis="axisRow"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dataField="1" numFmtId="166" showAll="0"/>
    <pivotField showAll="0"/>
    <pivotField numFmtId="45" showAll="0"/>
    <pivotField showAll="0">
      <items count="6">
        <item x="1"/>
        <item x="2"/>
        <item x="4"/>
        <item x="0"/>
        <item h="1"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3"/>
  </rowFields>
  <rowItems count="7">
    <i>
      <x/>
    </i>
    <i>
      <x v="1"/>
    </i>
    <i>
      <x v="2"/>
    </i>
    <i>
      <x v="3"/>
    </i>
    <i>
      <x v="4"/>
    </i>
    <i>
      <x v="5"/>
    </i>
    <i t="grand">
      <x/>
    </i>
  </rowItems>
  <colItems count="1">
    <i/>
  </colItems>
  <pageFields count="1">
    <pageField fld="0" hier="-1"/>
  </pageFields>
  <dataFields count="1">
    <dataField name="Sum of Paid Fees" fld="6" baseField="0" baseItem="0"/>
  </dataFields>
  <formats count="24">
    <format dxfId="416">
      <pivotArea dataOnly="0" labelOnly="1" outline="0" axis="axisValues" fieldPosition="0"/>
    </format>
    <format dxfId="415">
      <pivotArea dataOnly="0" labelOnly="1" outline="0" axis="axisValues" fieldPosition="0"/>
    </format>
    <format dxfId="414">
      <pivotArea type="all" dataOnly="0" outline="0" fieldPosition="0"/>
    </format>
    <format dxfId="413">
      <pivotArea outline="0" collapsedLevelsAreSubtotals="1" fieldPosition="0"/>
    </format>
    <format dxfId="412">
      <pivotArea dataOnly="0" labelOnly="1" outline="0" axis="axisValues" fieldPosition="0"/>
    </format>
    <format dxfId="411">
      <pivotArea type="all" dataOnly="0" outline="0" fieldPosition="0"/>
    </format>
    <format dxfId="410">
      <pivotArea outline="0" collapsedLevelsAreSubtotals="1" fieldPosition="0"/>
    </format>
    <format dxfId="409">
      <pivotArea dataOnly="0" labelOnly="1" outline="0" axis="axisValues" fieldPosition="0"/>
    </format>
    <format dxfId="408">
      <pivotArea field="0" type="button" dataOnly="0" labelOnly="1" outline="0" axis="axisPage" fieldPosition="0"/>
    </format>
    <format dxfId="407">
      <pivotArea dataOnly="0" labelOnly="1" grandRow="1" outline="0" fieldPosition="0"/>
    </format>
    <format dxfId="406">
      <pivotArea field="2" type="button" dataOnly="0" labelOnly="1" outline="0"/>
    </format>
    <format dxfId="405">
      <pivotArea field="11" type="button" dataOnly="0" labelOnly="1" outline="0"/>
    </format>
    <format dxfId="404">
      <pivotArea field="9" type="button" dataOnly="0" labelOnly="1" outline="0"/>
    </format>
    <format dxfId="403">
      <pivotArea grandRow="1" outline="0" collapsedLevelsAreSubtotals="1" fieldPosition="0"/>
    </format>
    <format dxfId="402">
      <pivotArea grandRow="1" outline="0" collapsedLevelsAreSubtotals="1" fieldPosition="0"/>
    </format>
    <format dxfId="401">
      <pivotArea field="10" type="button" dataOnly="0" labelOnly="1" outline="0"/>
    </format>
    <format dxfId="400">
      <pivotArea dataOnly="0" labelOnly="1" outline="0" fieldPosition="0">
        <references count="1">
          <reference field="0" count="0"/>
        </references>
      </pivotArea>
    </format>
    <format dxfId="399">
      <pivotArea field="0" type="button" dataOnly="0" labelOnly="1" outline="0" axis="axisPage" fieldPosition="0"/>
    </format>
    <format dxfId="398">
      <pivotArea grandRow="1" outline="0" collapsedLevelsAreSubtotals="1" fieldPosition="0"/>
    </format>
    <format dxfId="397">
      <pivotArea field="12" type="button" dataOnly="0" labelOnly="1" outline="0"/>
    </format>
    <format dxfId="396">
      <pivotArea dataOnly="0" labelOnly="1" outline="0" fieldPosition="0">
        <references count="1">
          <reference field="4294967294" count="1">
            <x v="0"/>
          </reference>
        </references>
      </pivotArea>
    </format>
    <format dxfId="395">
      <pivotArea field="13" type="button" dataOnly="0" labelOnly="1" outline="0"/>
    </format>
    <format dxfId="394">
      <pivotArea field="4" type="button" dataOnly="0" labelOnly="1" outline="0"/>
    </format>
    <format dxfId="393">
      <pivotArea field="3" type="button" dataOnly="0" labelOnly="1" outline="0" axis="axisRow" fieldPosition="0"/>
    </format>
  </formats>
  <chartFormats count="4">
    <chartFormat chart="41" format="1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E06E3EE-8F0D-4B0C-9515-B466B757F5E8}"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location ref="DG22:DG27" firstHeaderRow="1" firstDataRow="1" firstDataCol="1"/>
  <pivotFields count="14">
    <pivotField multipleItemSelectionAllowed="1" showAll="0">
      <items count="3">
        <item x="0"/>
        <item h="1" x="1"/>
        <item t="default"/>
      </items>
    </pivotField>
    <pivotField numFmtId="1" showAll="0"/>
    <pivotField showAll="0">
      <items count="13">
        <item x="5"/>
        <item x="6"/>
        <item x="7"/>
        <item x="0"/>
        <item x="8"/>
        <item x="9"/>
        <item x="11"/>
        <item x="1"/>
        <item x="2"/>
        <item x="3"/>
        <item x="4"/>
        <item x="10"/>
        <item t="default"/>
      </items>
    </pivotField>
    <pivotField showAll="0">
      <items count="7">
        <item x="1"/>
        <item x="2"/>
        <item x="4"/>
        <item x="0"/>
        <item x="3"/>
        <item x="5"/>
        <item t="default"/>
      </items>
    </pivotField>
    <pivotField axis="axisRow" showAll="0">
      <items count="6">
        <item x="1"/>
        <item x="2"/>
        <item x="3"/>
        <item x="0"/>
        <item x="4"/>
        <item t="default"/>
      </items>
    </pivotField>
    <pivotField numFmtId="3" showAll="0">
      <items count="7">
        <item x="5"/>
        <item x="0"/>
        <item x="2"/>
        <item x="1"/>
        <item x="3"/>
        <item x="4"/>
        <item t="default"/>
      </items>
    </pivotField>
    <pivotField numFmtId="166" showAll="0"/>
    <pivotField showAll="0"/>
    <pivotField numFmtId="45" showAll="0"/>
    <pivotField showAll="0">
      <items count="6">
        <item x="1"/>
        <item x="2"/>
        <item x="4"/>
        <item x="0"/>
        <item h="1"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4"/>
  </rowFields>
  <rowItems count="5">
    <i>
      <x/>
    </i>
    <i>
      <x v="1"/>
    </i>
    <i>
      <x v="2"/>
    </i>
    <i>
      <x v="3"/>
    </i>
    <i>
      <x v="4"/>
    </i>
  </rowItems>
  <colItems count="1">
    <i/>
  </colItems>
  <formats count="33">
    <format dxfId="449">
      <pivotArea dataOnly="0" labelOnly="1" outline="0" axis="axisValues" fieldPosition="0"/>
    </format>
    <format dxfId="448">
      <pivotArea dataOnly="0" labelOnly="1" outline="0" axis="axisValues" fieldPosition="0"/>
    </format>
    <format dxfId="447">
      <pivotArea type="all" dataOnly="0" outline="0" fieldPosition="0"/>
    </format>
    <format dxfId="446">
      <pivotArea outline="0" collapsedLevelsAreSubtotals="1" fieldPosition="0"/>
    </format>
    <format dxfId="445">
      <pivotArea dataOnly="0" labelOnly="1" outline="0" axis="axisValues" fieldPosition="0"/>
    </format>
    <format dxfId="444">
      <pivotArea type="all" dataOnly="0" outline="0" fieldPosition="0"/>
    </format>
    <format dxfId="443">
      <pivotArea outline="0" collapsedLevelsAreSubtotals="1" fieldPosition="0"/>
    </format>
    <format dxfId="442">
      <pivotArea dataOnly="0" labelOnly="1" outline="0" axis="axisValues" fieldPosition="0"/>
    </format>
    <format dxfId="441">
      <pivotArea field="0" type="button" dataOnly="0" labelOnly="1" outline="0"/>
    </format>
    <format dxfId="440">
      <pivotArea dataOnly="0" labelOnly="1" grandRow="1" outline="0" fieldPosition="0"/>
    </format>
    <format dxfId="439">
      <pivotArea field="2" type="button" dataOnly="0" labelOnly="1" outline="0"/>
    </format>
    <format dxfId="438">
      <pivotArea field="11" type="button" dataOnly="0" labelOnly="1" outline="0"/>
    </format>
    <format dxfId="437">
      <pivotArea field="9" type="button" dataOnly="0" labelOnly="1" outline="0"/>
    </format>
    <format dxfId="436">
      <pivotArea grandRow="1" outline="0" collapsedLevelsAreSubtotals="1" fieldPosition="0"/>
    </format>
    <format dxfId="435">
      <pivotArea grandRow="1" outline="0" collapsedLevelsAreSubtotals="1" fieldPosition="0"/>
    </format>
    <format dxfId="434">
      <pivotArea field="10" type="button" dataOnly="0" labelOnly="1" outline="0"/>
    </format>
    <format dxfId="433">
      <pivotArea field="0" type="button" dataOnly="0" labelOnly="1" outline="0"/>
    </format>
    <format dxfId="432">
      <pivotArea grandRow="1" outline="0" collapsedLevelsAreSubtotals="1" fieldPosition="0"/>
    </format>
    <format dxfId="431">
      <pivotArea field="12" type="button" dataOnly="0" labelOnly="1" outline="0"/>
    </format>
    <format dxfId="430">
      <pivotArea field="13" type="button" dataOnly="0" labelOnly="1" outline="0"/>
    </format>
    <format dxfId="429">
      <pivotArea field="4" type="button" dataOnly="0" labelOnly="1" outline="0" axis="axisRow" fieldPosition="0"/>
    </format>
    <format dxfId="428">
      <pivotArea field="3" type="button" dataOnly="0" labelOnly="1" outline="0"/>
    </format>
    <format dxfId="427">
      <pivotArea dataOnly="0" labelOnly="1" fieldPosition="0">
        <references count="1">
          <reference field="4" count="1">
            <x v="0"/>
          </reference>
        </references>
      </pivotArea>
    </format>
    <format dxfId="426">
      <pivotArea dataOnly="0" labelOnly="1" fieldPosition="0">
        <references count="1">
          <reference field="4" count="1">
            <x v="1"/>
          </reference>
        </references>
      </pivotArea>
    </format>
    <format dxfId="425">
      <pivotArea dataOnly="0" labelOnly="1" fieldPosition="0">
        <references count="1">
          <reference field="4" count="1">
            <x v="2"/>
          </reference>
        </references>
      </pivotArea>
    </format>
    <format dxfId="424">
      <pivotArea dataOnly="0" labelOnly="1" fieldPosition="0">
        <references count="1">
          <reference field="4" count="1">
            <x v="3"/>
          </reference>
        </references>
      </pivotArea>
    </format>
    <format dxfId="423">
      <pivotArea dataOnly="0" labelOnly="1" fieldPosition="0">
        <references count="1">
          <reference field="4" count="1">
            <x v="4"/>
          </reference>
        </references>
      </pivotArea>
    </format>
    <format dxfId="422">
      <pivotArea type="topRight" dataOnly="0" labelOnly="1" outline="0" offset="D1" fieldPosition="0"/>
    </format>
    <format dxfId="421">
      <pivotArea type="topRight" dataOnly="0" labelOnly="1" outline="0" offset="C1" fieldPosition="0"/>
    </format>
    <format dxfId="420">
      <pivotArea type="topRight" dataOnly="0" labelOnly="1" outline="0" offset="B1" fieldPosition="0"/>
    </format>
    <format dxfId="419">
      <pivotArea type="topRight" dataOnly="0" labelOnly="1" outline="0" offset="A1" fieldPosition="0"/>
    </format>
    <format dxfId="418">
      <pivotArea type="origin" dataOnly="0" labelOnly="1" outline="0" fieldPosition="0"/>
    </format>
    <format dxfId="4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2E5360-39B4-4499-90B2-D4B520EE5255}" name="Training level's fee by sales team"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6">
  <location ref="AT4:AU14" firstHeaderRow="1" firstDataRow="1" firstDataCol="1" rowPageCount="1" colPageCount="1"/>
  <pivotFields count="14">
    <pivotField axis="axisPage" multipleItemSelectionAllowed="1" showAll="0">
      <items count="3">
        <item x="0"/>
        <item h="1" x="1"/>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6" showAll="0"/>
    <pivotField showAll="0"/>
    <pivotField numFmtId="45" showAll="0"/>
    <pivotField showAll="0">
      <items count="6">
        <item x="1"/>
        <item x="2"/>
        <item x="4"/>
        <item x="0"/>
        <item h="1" x="3"/>
        <item t="default"/>
      </items>
    </pivotField>
    <pivotField axis="axisRow"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pivotField showAll="0"/>
  </pivotFields>
  <rowFields count="1">
    <field x="10"/>
  </rowFields>
  <rowItems count="10">
    <i>
      <x/>
    </i>
    <i>
      <x v="1"/>
    </i>
    <i>
      <x v="2"/>
    </i>
    <i>
      <x v="3"/>
    </i>
    <i>
      <x v="4"/>
    </i>
    <i>
      <x v="5"/>
    </i>
    <i>
      <x v="6"/>
    </i>
    <i>
      <x v="7"/>
    </i>
    <i>
      <x v="8"/>
    </i>
    <i t="grand">
      <x/>
    </i>
  </rowItems>
  <colItems count="1">
    <i/>
  </colItems>
  <pageFields count="1">
    <pageField fld="0" hier="-1"/>
  </pageFields>
  <dataFields count="1">
    <dataField name="Sum of Paid Fees" fld="6" baseField="0" baseItem="0"/>
  </dataFields>
  <formats count="29">
    <format dxfId="478">
      <pivotArea dataOnly="0" labelOnly="1" outline="0" axis="axisValues" fieldPosition="0"/>
    </format>
    <format dxfId="477">
      <pivotArea dataOnly="0" labelOnly="1" outline="0" axis="axisValues" fieldPosition="0"/>
    </format>
    <format dxfId="476">
      <pivotArea type="all" dataOnly="0" outline="0" fieldPosition="0"/>
    </format>
    <format dxfId="475">
      <pivotArea outline="0" collapsedLevelsAreSubtotals="1" fieldPosition="0"/>
    </format>
    <format dxfId="474">
      <pivotArea dataOnly="0" labelOnly="1" outline="0" axis="axisValues" fieldPosition="0"/>
    </format>
    <format dxfId="473">
      <pivotArea type="all" dataOnly="0" outline="0" fieldPosition="0"/>
    </format>
    <format dxfId="472">
      <pivotArea outline="0" collapsedLevelsAreSubtotals="1" fieldPosition="0"/>
    </format>
    <format dxfId="471">
      <pivotArea dataOnly="0" labelOnly="1" outline="0" axis="axisValues" fieldPosition="0"/>
    </format>
    <format dxfId="470">
      <pivotArea field="0" type="button" dataOnly="0" labelOnly="1" outline="0" axis="axisPage" fieldPosition="0"/>
    </format>
    <format dxfId="469">
      <pivotArea dataOnly="0" labelOnly="1" grandRow="1" outline="0" fieldPosition="0"/>
    </format>
    <format dxfId="468">
      <pivotArea field="2" type="button" dataOnly="0" labelOnly="1" outline="0"/>
    </format>
    <format dxfId="467">
      <pivotArea field="11" type="button" dataOnly="0" labelOnly="1" outline="0"/>
    </format>
    <format dxfId="466">
      <pivotArea field="9" type="button" dataOnly="0" labelOnly="1" outline="0"/>
    </format>
    <format dxfId="465">
      <pivotArea grandRow="1" outline="0" collapsedLevelsAreSubtotals="1" fieldPosition="0"/>
    </format>
    <format dxfId="464">
      <pivotArea grandRow="1" outline="0" collapsedLevelsAreSubtotals="1" fieldPosition="0"/>
    </format>
    <format dxfId="463">
      <pivotArea grandRow="1" outline="0" collapsedLevelsAreSubtotals="1" fieldPosition="0"/>
    </format>
    <format dxfId="462">
      <pivotArea grandRow="1" outline="0" collapsedLevelsAreSubtotals="1" fieldPosition="0"/>
    </format>
    <format dxfId="461">
      <pivotArea field="10" type="button" dataOnly="0" labelOnly="1" outline="0" axis="axisRow" fieldPosition="0"/>
    </format>
    <format dxfId="460">
      <pivotArea dataOnly="0" labelOnly="1" outline="0" fieldPosition="0">
        <references count="1">
          <reference field="0" count="0"/>
        </references>
      </pivotArea>
    </format>
    <format dxfId="459">
      <pivotArea field="0" type="button" dataOnly="0" labelOnly="1" outline="0" axis="axisPage" fieldPosition="0"/>
    </format>
    <format dxfId="458">
      <pivotArea collapsedLevelsAreSubtotals="1" fieldPosition="0">
        <references count="1">
          <reference field="10" count="1">
            <x v="0"/>
          </reference>
        </references>
      </pivotArea>
    </format>
    <format dxfId="457">
      <pivotArea collapsedLevelsAreSubtotals="1" fieldPosition="0">
        <references count="1">
          <reference field="10" count="1">
            <x v="1"/>
          </reference>
        </references>
      </pivotArea>
    </format>
    <format dxfId="456">
      <pivotArea collapsedLevelsAreSubtotals="1" fieldPosition="0">
        <references count="1">
          <reference field="10" count="1">
            <x v="2"/>
          </reference>
        </references>
      </pivotArea>
    </format>
    <format dxfId="455">
      <pivotArea collapsedLevelsAreSubtotals="1" fieldPosition="0">
        <references count="1">
          <reference field="10" count="1">
            <x v="3"/>
          </reference>
        </references>
      </pivotArea>
    </format>
    <format dxfId="454">
      <pivotArea collapsedLevelsAreSubtotals="1" fieldPosition="0">
        <references count="1">
          <reference field="10" count="1">
            <x v="4"/>
          </reference>
        </references>
      </pivotArea>
    </format>
    <format dxfId="453">
      <pivotArea collapsedLevelsAreSubtotals="1" fieldPosition="0">
        <references count="1">
          <reference field="10" count="1">
            <x v="5"/>
          </reference>
        </references>
      </pivotArea>
    </format>
    <format dxfId="452">
      <pivotArea collapsedLevelsAreSubtotals="1" fieldPosition="0">
        <references count="1">
          <reference field="10" count="1">
            <x v="6"/>
          </reference>
        </references>
      </pivotArea>
    </format>
    <format dxfId="451">
      <pivotArea collapsedLevelsAreSubtotals="1" fieldPosition="0">
        <references count="1">
          <reference field="10" count="1">
            <x v="7"/>
          </reference>
        </references>
      </pivotArea>
    </format>
    <format dxfId="450">
      <pivotArea collapsedLevelsAreSubtotals="1" fieldPosition="0">
        <references count="1">
          <reference field="10" count="1">
            <x v="8"/>
          </reference>
        </references>
      </pivotArea>
    </format>
  </formats>
  <chartFormats count="5">
    <chartFormat chart="23" format="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1541961-F98C-4A78-A776-BD062089820D}" name="PivotTable1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1">
  <location ref="AX4:AY14" firstHeaderRow="1" firstDataRow="1" firstDataCol="1" rowPageCount="1" colPageCount="1"/>
  <pivotFields count="14">
    <pivotField axis="axisPage" multipleItemSelectionAllowed="1" showAll="0">
      <items count="3">
        <item x="0"/>
        <item h="1" x="1"/>
        <item t="default"/>
      </items>
    </pivotField>
    <pivotField numFmtId="1" showAll="0"/>
    <pivotField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6" showAll="0"/>
    <pivotField showAll="0"/>
    <pivotField numFmtId="45" showAll="0"/>
    <pivotField showAll="0">
      <items count="6">
        <item x="1"/>
        <item x="2"/>
        <item x="4"/>
        <item x="0"/>
        <item h="1" x="3"/>
        <item t="default"/>
      </items>
    </pivotField>
    <pivotField axis="axisRow"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x="2"/>
        <item x="3"/>
        <item x="1"/>
        <item x="0"/>
        <item t="default"/>
      </items>
    </pivotField>
    <pivotField showAll="0"/>
  </pivotFields>
  <rowFields count="1">
    <field x="10"/>
  </rowFields>
  <rowItems count="10">
    <i>
      <x/>
    </i>
    <i>
      <x v="1"/>
    </i>
    <i>
      <x v="2"/>
    </i>
    <i>
      <x v="3"/>
    </i>
    <i>
      <x v="4"/>
    </i>
    <i>
      <x v="5"/>
    </i>
    <i>
      <x v="6"/>
    </i>
    <i>
      <x v="7"/>
    </i>
    <i>
      <x v="8"/>
    </i>
    <i t="grand">
      <x/>
    </i>
  </rowItems>
  <colItems count="1">
    <i/>
  </colItems>
  <pageFields count="1">
    <pageField fld="0" hier="-1"/>
  </pageFields>
  <dataFields count="1">
    <dataField name="Sum of Enrolled Courses" fld="5" baseField="0" baseItem="0"/>
  </dataFields>
  <formats count="21">
    <format dxfId="499">
      <pivotArea dataOnly="0" labelOnly="1" outline="0" axis="axisValues" fieldPosition="0"/>
    </format>
    <format dxfId="498">
      <pivotArea dataOnly="0" labelOnly="1" outline="0" axis="axisValues" fieldPosition="0"/>
    </format>
    <format dxfId="497">
      <pivotArea type="all" dataOnly="0" outline="0" fieldPosition="0"/>
    </format>
    <format dxfId="496">
      <pivotArea outline="0" collapsedLevelsAreSubtotals="1" fieldPosition="0"/>
    </format>
    <format dxfId="495">
      <pivotArea dataOnly="0" labelOnly="1" outline="0" axis="axisValues" fieldPosition="0"/>
    </format>
    <format dxfId="494">
      <pivotArea type="all" dataOnly="0" outline="0" fieldPosition="0"/>
    </format>
    <format dxfId="493">
      <pivotArea outline="0" collapsedLevelsAreSubtotals="1" fieldPosition="0"/>
    </format>
    <format dxfId="492">
      <pivotArea dataOnly="0" labelOnly="1" outline="0" axis="axisValues" fieldPosition="0"/>
    </format>
    <format dxfId="491">
      <pivotArea field="0" type="button" dataOnly="0" labelOnly="1" outline="0" axis="axisPage" fieldPosition="0"/>
    </format>
    <format dxfId="490">
      <pivotArea dataOnly="0" labelOnly="1" grandRow="1" outline="0" fieldPosition="0"/>
    </format>
    <format dxfId="489">
      <pivotArea field="2" type="button" dataOnly="0" labelOnly="1" outline="0"/>
    </format>
    <format dxfId="488">
      <pivotArea field="11" type="button" dataOnly="0" labelOnly="1" outline="0"/>
    </format>
    <format dxfId="487">
      <pivotArea field="9" type="button" dataOnly="0" labelOnly="1" outline="0"/>
    </format>
    <format dxfId="486">
      <pivotArea grandRow="1" outline="0" collapsedLevelsAreSubtotals="1" fieldPosition="0"/>
    </format>
    <format dxfId="485">
      <pivotArea grandRow="1" outline="0" collapsedLevelsAreSubtotals="1" fieldPosition="0"/>
    </format>
    <format dxfId="484">
      <pivotArea field="10" type="button" dataOnly="0" labelOnly="1" outline="0" axis="axisRow" fieldPosition="0"/>
    </format>
    <format dxfId="483">
      <pivotArea dataOnly="0" labelOnly="1" outline="0" fieldPosition="0">
        <references count="1">
          <reference field="0" count="0"/>
        </references>
      </pivotArea>
    </format>
    <format dxfId="482">
      <pivotArea field="0" type="button" dataOnly="0" labelOnly="1" outline="0" axis="axisPage" fieldPosition="0"/>
    </format>
    <format dxfId="481">
      <pivotArea grandRow="1" outline="0" collapsedLevelsAreSubtotals="1" fieldPosition="0"/>
    </format>
    <format dxfId="480">
      <pivotArea grandRow="1" outline="0" collapsedLevelsAreSubtotals="1" fieldPosition="0"/>
    </format>
    <format dxfId="479">
      <pivotArea grandRow="1" outline="0" collapsedLevelsAreSubtotals="1" fieldPosition="0"/>
    </format>
  </formats>
  <chartFormats count="3">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EADDB11-9C86-4D87-B3F7-39B191A9D4DE}" name="Sales by sales team"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4">
  <location ref="BT4:BV9" firstHeaderRow="0" firstDataRow="1" firstDataCol="1" rowPageCount="1" colPageCount="1"/>
  <pivotFields count="14">
    <pivotField axis="axisPage" multipleItemSelectionAllowed="1" showAll="0">
      <items count="3">
        <item x="0"/>
        <item h="1" x="1"/>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6" showAll="0"/>
    <pivotField showAll="0"/>
    <pivotField numFmtId="45" showAll="0"/>
    <pivotField showAll="0">
      <items count="6">
        <item x="1"/>
        <item x="2"/>
        <item x="4"/>
        <item x="0"/>
        <item h="1"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axis="axisRow" showAll="0">
      <items count="5">
        <item x="2"/>
        <item x="3"/>
        <item x="1"/>
        <item x="0"/>
        <item t="default"/>
      </items>
    </pivotField>
    <pivotField showAll="0"/>
  </pivotFields>
  <rowFields count="1">
    <field x="12"/>
  </rowFields>
  <rowItems count="5">
    <i>
      <x/>
    </i>
    <i>
      <x v="1"/>
    </i>
    <i>
      <x v="2"/>
    </i>
    <i>
      <x v="3"/>
    </i>
    <i t="grand">
      <x/>
    </i>
  </rowItems>
  <colFields count="1">
    <field x="-2"/>
  </colFields>
  <colItems count="2">
    <i>
      <x/>
    </i>
    <i i="1">
      <x v="1"/>
    </i>
  </colItems>
  <pageFields count="1">
    <pageField fld="0" hier="-1"/>
  </pageFields>
  <dataFields count="2">
    <dataField name="Sum of Paid Fees" fld="6" baseField="0" baseItem="0"/>
    <dataField name="Sum of Paid Fees2" fld="6" baseField="0" baseItem="0"/>
  </dataFields>
  <formats count="26">
    <format dxfId="525">
      <pivotArea dataOnly="0" labelOnly="1" outline="0" axis="axisValues" fieldPosition="0"/>
    </format>
    <format dxfId="524">
      <pivotArea dataOnly="0" labelOnly="1" outline="0" axis="axisValues" fieldPosition="0"/>
    </format>
    <format dxfId="523">
      <pivotArea type="all" dataOnly="0" outline="0" fieldPosition="0"/>
    </format>
    <format dxfId="522">
      <pivotArea outline="0" collapsedLevelsAreSubtotals="1" fieldPosition="0"/>
    </format>
    <format dxfId="521">
      <pivotArea dataOnly="0" labelOnly="1" outline="0" axis="axisValues" fieldPosition="0"/>
    </format>
    <format dxfId="520">
      <pivotArea type="all" dataOnly="0" outline="0" fieldPosition="0"/>
    </format>
    <format dxfId="519">
      <pivotArea outline="0" collapsedLevelsAreSubtotals="1" fieldPosition="0"/>
    </format>
    <format dxfId="518">
      <pivotArea dataOnly="0" labelOnly="1" outline="0" axis="axisValues" fieldPosition="0"/>
    </format>
    <format dxfId="517">
      <pivotArea field="0" type="button" dataOnly="0" labelOnly="1" outline="0" axis="axisPage" fieldPosition="0"/>
    </format>
    <format dxfId="516">
      <pivotArea dataOnly="0" labelOnly="1" grandRow="1" outline="0" fieldPosition="0"/>
    </format>
    <format dxfId="515">
      <pivotArea field="2" type="button" dataOnly="0" labelOnly="1" outline="0"/>
    </format>
    <format dxfId="514">
      <pivotArea field="11" type="button" dataOnly="0" labelOnly="1" outline="0"/>
    </format>
    <format dxfId="513">
      <pivotArea field="9" type="button" dataOnly="0" labelOnly="1" outline="0"/>
    </format>
    <format dxfId="512">
      <pivotArea grandRow="1" outline="0" collapsedLevelsAreSubtotals="1" fieldPosition="0"/>
    </format>
    <format dxfId="511">
      <pivotArea grandRow="1" outline="0" collapsedLevelsAreSubtotals="1" fieldPosition="0"/>
    </format>
    <format dxfId="510">
      <pivotArea field="10" type="button" dataOnly="0" labelOnly="1" outline="0"/>
    </format>
    <format dxfId="509">
      <pivotArea dataOnly="0" labelOnly="1" outline="0" fieldPosition="0">
        <references count="1">
          <reference field="0" count="0"/>
        </references>
      </pivotArea>
    </format>
    <format dxfId="508">
      <pivotArea field="0" type="button" dataOnly="0" labelOnly="1" outline="0" axis="axisPage" fieldPosition="0"/>
    </format>
    <format dxfId="507">
      <pivotArea grandRow="1" outline="0" collapsedLevelsAreSubtotals="1" fieldPosition="0"/>
    </format>
    <format dxfId="506">
      <pivotArea collapsedLevelsAreSubtotals="1" fieldPosition="0">
        <references count="1">
          <reference field="12" count="1">
            <x v="0"/>
          </reference>
        </references>
      </pivotArea>
    </format>
    <format dxfId="505">
      <pivotArea collapsedLevelsAreSubtotals="1" fieldPosition="0">
        <references count="1">
          <reference field="12" count="1">
            <x v="1"/>
          </reference>
        </references>
      </pivotArea>
    </format>
    <format dxfId="504">
      <pivotArea collapsedLevelsAreSubtotals="1" fieldPosition="0">
        <references count="1">
          <reference field="12" count="1">
            <x v="2"/>
          </reference>
        </references>
      </pivotArea>
    </format>
    <format dxfId="503">
      <pivotArea collapsedLevelsAreSubtotals="1" fieldPosition="0">
        <references count="1">
          <reference field="12" count="1">
            <x v="3"/>
          </reference>
        </references>
      </pivotArea>
    </format>
    <format dxfId="502">
      <pivotArea field="12" type="button" dataOnly="0" labelOnly="1" outline="0" axis="axisRow" fieldPosition="0"/>
    </format>
    <format dxfId="501">
      <pivotArea dataOnly="0" labelOnly="1" outline="0" fieldPosition="0">
        <references count="1">
          <reference field="4294967294" count="1">
            <x v="0"/>
          </reference>
        </references>
      </pivotArea>
    </format>
    <format dxfId="500">
      <pivotArea dataOnly="0" labelOnly="1" outline="0" fieldPosition="0">
        <references count="1">
          <reference field="4294967294" count="1">
            <x v="1"/>
          </reference>
        </references>
      </pivotArea>
    </format>
  </formats>
  <chartFormats count="14">
    <chartFormat chart="41" format="12" series="1">
      <pivotArea type="data" outline="0" fieldPosition="0">
        <references count="1">
          <reference field="4294967294" count="1" selected="0">
            <x v="0"/>
          </reference>
        </references>
      </pivotArea>
    </chartFormat>
    <chartFormat chart="41" format="13">
      <pivotArea type="data" outline="0" fieldPosition="0">
        <references count="2">
          <reference field="4294967294" count="1" selected="0">
            <x v="0"/>
          </reference>
          <reference field="12" count="1" selected="0">
            <x v="0"/>
          </reference>
        </references>
      </pivotArea>
    </chartFormat>
    <chartFormat chart="41" format="14">
      <pivotArea type="data" outline="0" fieldPosition="0">
        <references count="2">
          <reference field="4294967294" count="1" selected="0">
            <x v="0"/>
          </reference>
          <reference field="12" count="1" selected="0">
            <x v="1"/>
          </reference>
        </references>
      </pivotArea>
    </chartFormat>
    <chartFormat chart="41" format="15">
      <pivotArea type="data" outline="0" fieldPosition="0">
        <references count="2">
          <reference field="4294967294" count="1" selected="0">
            <x v="0"/>
          </reference>
          <reference field="12" count="1" selected="0">
            <x v="2"/>
          </reference>
        </references>
      </pivotArea>
    </chartFormat>
    <chartFormat chart="41" format="16">
      <pivotArea type="data" outline="0" fieldPosition="0">
        <references count="2">
          <reference field="4294967294" count="1" selected="0">
            <x v="0"/>
          </reference>
          <reference field="12" count="1" selected="0">
            <x v="3"/>
          </reference>
        </references>
      </pivotArea>
    </chartFormat>
    <chartFormat chart="41" format="17" series="1">
      <pivotArea type="data" outline="0" fieldPosition="0">
        <references count="1">
          <reference field="4294967294" count="1" selected="0">
            <x v="1"/>
          </reference>
        </references>
      </pivotArea>
    </chartFormat>
    <chartFormat chart="41" format="18">
      <pivotArea type="data" outline="0" fieldPosition="0">
        <references count="2">
          <reference field="4294967294" count="1" selected="0">
            <x v="1"/>
          </reference>
          <reference field="12" count="1" selected="0">
            <x v="2"/>
          </reference>
        </references>
      </pivotArea>
    </chartFormat>
    <chartFormat chart="43" format="26" series="1">
      <pivotArea type="data" outline="0" fieldPosition="0">
        <references count="1">
          <reference field="4294967294" count="1" selected="0">
            <x v="0"/>
          </reference>
        </references>
      </pivotArea>
    </chartFormat>
    <chartFormat chart="43" format="27">
      <pivotArea type="data" outline="0" fieldPosition="0">
        <references count="2">
          <reference field="4294967294" count="1" selected="0">
            <x v="0"/>
          </reference>
          <reference field="12" count="1" selected="0">
            <x v="0"/>
          </reference>
        </references>
      </pivotArea>
    </chartFormat>
    <chartFormat chart="43" format="28">
      <pivotArea type="data" outline="0" fieldPosition="0">
        <references count="2">
          <reference field="4294967294" count="1" selected="0">
            <x v="0"/>
          </reference>
          <reference field="12" count="1" selected="0">
            <x v="1"/>
          </reference>
        </references>
      </pivotArea>
    </chartFormat>
    <chartFormat chart="43" format="29">
      <pivotArea type="data" outline="0" fieldPosition="0">
        <references count="2">
          <reference field="4294967294" count="1" selected="0">
            <x v="0"/>
          </reference>
          <reference field="12" count="1" selected="0">
            <x v="2"/>
          </reference>
        </references>
      </pivotArea>
    </chartFormat>
    <chartFormat chart="43" format="30">
      <pivotArea type="data" outline="0" fieldPosition="0">
        <references count="2">
          <reference field="4294967294" count="1" selected="0">
            <x v="0"/>
          </reference>
          <reference field="12" count="1" selected="0">
            <x v="3"/>
          </reference>
        </references>
      </pivotArea>
    </chartFormat>
    <chartFormat chart="43" format="31" series="1">
      <pivotArea type="data" outline="0" fieldPosition="0">
        <references count="1">
          <reference field="4294967294" count="1" selected="0">
            <x v="1"/>
          </reference>
        </references>
      </pivotArea>
    </chartFormat>
    <chartFormat chart="43" format="32">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B4093DB-771E-4DB4-A6EE-A4375486BB99}" name="enrolled courses by month"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location ref="AH4:AI17" firstHeaderRow="1" firstDataRow="1" firstDataCol="1"/>
  <pivotFields count="14">
    <pivotField showAll="0">
      <items count="3">
        <item x="0"/>
        <item x="1"/>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6" showAll="0"/>
    <pivotField showAll="0"/>
    <pivotField numFmtId="45" showAll="0"/>
    <pivotField showAll="0"/>
    <pivotField showAll="0"/>
    <pivotField showAll="0"/>
    <pivotField showAll="0">
      <items count="5">
        <item x="2"/>
        <item x="3"/>
        <item x="1"/>
        <item x="0"/>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Enrolled Courses" fld="5" baseField="0" baseItem="0"/>
  </dataFields>
  <formats count="12">
    <format dxfId="537">
      <pivotArea dataOnly="0" labelOnly="1" outline="0" axis="axisValues" fieldPosition="0"/>
    </format>
    <format dxfId="536">
      <pivotArea dataOnly="0" labelOnly="1" outline="0" axis="axisValues" fieldPosition="0"/>
    </format>
    <format dxfId="535">
      <pivotArea type="all" dataOnly="0" outline="0" fieldPosition="0"/>
    </format>
    <format dxfId="534">
      <pivotArea outline="0" collapsedLevelsAreSubtotals="1" fieldPosition="0"/>
    </format>
    <format dxfId="533">
      <pivotArea dataOnly="0" labelOnly="1" outline="0" axis="axisValues" fieldPosition="0"/>
    </format>
    <format dxfId="532">
      <pivotArea type="all" dataOnly="0" outline="0" fieldPosition="0"/>
    </format>
    <format dxfId="531">
      <pivotArea outline="0" collapsedLevelsAreSubtotals="1" fieldPosition="0"/>
    </format>
    <format dxfId="530">
      <pivotArea dataOnly="0" labelOnly="1" outline="0" axis="axisValues" fieldPosition="0"/>
    </format>
    <format dxfId="529">
      <pivotArea field="0" type="button" dataOnly="0" labelOnly="1" outline="0"/>
    </format>
    <format dxfId="528">
      <pivotArea dataOnly="0" labelOnly="1" grandRow="1" outline="0" fieldPosition="0"/>
    </format>
    <format dxfId="527">
      <pivotArea grandRow="1" outline="0" collapsedLevelsAreSubtotals="1" fieldPosition="0"/>
    </format>
    <format dxfId="526">
      <pivotArea field="2" type="button" dataOnly="0" labelOnly="1" outline="0" axis="axisRow" fieldPosition="0"/>
    </format>
  </formats>
  <chartFormats count="2">
    <chartFormat chart="18"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55CDE11-A7B7-4981-AA1C-C73CB7BCA643}"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M4:N20" firstHeaderRow="1" firstDataRow="1" firstDataCol="1"/>
  <pivotFields count="14">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6" showAll="0"/>
    <pivotField showAll="0"/>
    <pivotField numFmtId="45" showAll="0"/>
    <pivotField showAll="0"/>
    <pivotField showAll="0"/>
    <pivotField showAll="0"/>
    <pivotField showAll="0">
      <items count="5">
        <item x="2"/>
        <item x="3"/>
        <item x="1"/>
        <item x="0"/>
        <item t="default"/>
      </items>
    </pivotField>
    <pivotField axis="axisRow" showAll="0" sortType="descending">
      <items count="17">
        <item x="5"/>
        <item x="2"/>
        <item x="8"/>
        <item x="6"/>
        <item x="1"/>
        <item x="4"/>
        <item x="14"/>
        <item x="0"/>
        <item x="10"/>
        <item x="11"/>
        <item x="13"/>
        <item x="15"/>
        <item x="9"/>
        <item x="7"/>
        <item x="12"/>
        <item x="3"/>
        <item t="default"/>
      </items>
      <autoSortScope>
        <pivotArea dataOnly="0" outline="0" fieldPosition="0">
          <references count="1">
            <reference field="4294967294" count="1" selected="0">
              <x v="0"/>
            </reference>
          </references>
        </pivotArea>
      </autoSortScope>
    </pivotField>
  </pivotFields>
  <rowFields count="1">
    <field x="13"/>
  </rowFields>
  <rowItems count="16">
    <i>
      <x v="3"/>
    </i>
    <i>
      <x v="1"/>
    </i>
    <i>
      <x v="10"/>
    </i>
    <i>
      <x v="13"/>
    </i>
    <i>
      <x v="4"/>
    </i>
    <i>
      <x v="2"/>
    </i>
    <i>
      <x v="5"/>
    </i>
    <i>
      <x/>
    </i>
    <i>
      <x v="8"/>
    </i>
    <i>
      <x v="9"/>
    </i>
    <i>
      <x v="12"/>
    </i>
    <i>
      <x v="14"/>
    </i>
    <i>
      <x v="6"/>
    </i>
    <i>
      <x v="15"/>
    </i>
    <i>
      <x v="11"/>
    </i>
    <i>
      <x v="7"/>
    </i>
  </rowItems>
  <colItems count="1">
    <i/>
  </colItems>
  <dataFields count="1">
    <dataField name="Sum of Paid Fees" fld="6" baseField="13" baseItem="3" numFmtId="3"/>
  </dataFields>
  <formats count="12">
    <format dxfId="549">
      <pivotArea dataOnly="0" labelOnly="1" outline="0" axis="axisValues" fieldPosition="0"/>
    </format>
    <format dxfId="548">
      <pivotArea dataOnly="0" labelOnly="1" outline="0" axis="axisValues" fieldPosition="0"/>
    </format>
    <format dxfId="547">
      <pivotArea type="all" dataOnly="0" outline="0" fieldPosition="0"/>
    </format>
    <format dxfId="546">
      <pivotArea outline="0" collapsedLevelsAreSubtotals="1" fieldPosition="0"/>
    </format>
    <format dxfId="545">
      <pivotArea dataOnly="0" labelOnly="1" outline="0" axis="axisValues" fieldPosition="0"/>
    </format>
    <format dxfId="544">
      <pivotArea type="all" dataOnly="0" outline="0" fieldPosition="0"/>
    </format>
    <format dxfId="543">
      <pivotArea outline="0" collapsedLevelsAreSubtotals="1" fieldPosition="0"/>
    </format>
    <format dxfId="542">
      <pivotArea dataOnly="0" labelOnly="1" outline="0" axis="axisValues" fieldPosition="0"/>
    </format>
    <format dxfId="541">
      <pivotArea field="0" type="button" dataOnly="0" labelOnly="1" outline="0"/>
    </format>
    <format dxfId="540">
      <pivotArea field="0" type="button" dataOnly="0" labelOnly="1" outline="0"/>
    </format>
    <format dxfId="539">
      <pivotArea field="13" type="button" dataOnly="0" labelOnly="1" outline="0" axis="axisRow" fieldPosition="0"/>
    </format>
    <format dxfId="53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AF0B6C7-3B68-47D5-AB08-26C106F81121}"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9">
  <location ref="BB4:BC14" firstHeaderRow="1" firstDataRow="1" firstDataCol="1" rowPageCount="1" colPageCount="1"/>
  <pivotFields count="14">
    <pivotField axis="axisPage" multipleItemSelectionAllowed="1" showAll="0">
      <items count="3">
        <item x="0"/>
        <item h="1" x="1"/>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6" showAll="0"/>
    <pivotField showAll="0"/>
    <pivotField numFmtId="45" showAll="0"/>
    <pivotField showAll="0">
      <items count="6">
        <item x="1"/>
        <item x="2"/>
        <item x="4"/>
        <item x="0"/>
        <item h="1" x="3"/>
        <item t="default"/>
      </items>
    </pivotField>
    <pivotField axis="axisRow" showAll="0" sortType="descending">
      <items count="11">
        <item x="4"/>
        <item x="3"/>
        <item x="2"/>
        <item x="6"/>
        <item x="0"/>
        <item x="5"/>
        <item x="7"/>
        <item x="8"/>
        <item x="1"/>
        <item x="9"/>
        <item t="default"/>
      </items>
      <autoSortScope>
        <pivotArea dataOnly="0" outline="0" fieldPosition="0">
          <references count="1">
            <reference field="4294967294" count="1" selected="0">
              <x v="0"/>
            </reference>
          </references>
        </pivotArea>
      </autoSortScope>
    </pivotField>
    <pivotField showAll="0">
      <items count="9">
        <item x="2"/>
        <item x="3"/>
        <item x="4"/>
        <item x="0"/>
        <item x="5"/>
        <item x="1"/>
        <item x="6"/>
        <item x="7"/>
        <item t="default"/>
      </items>
    </pivotField>
    <pivotField showAll="0">
      <items count="5">
        <item x="2"/>
        <item x="3"/>
        <item x="1"/>
        <item x="0"/>
        <item t="default"/>
      </items>
    </pivotField>
    <pivotField showAll="0"/>
  </pivotFields>
  <rowFields count="1">
    <field x="10"/>
  </rowFields>
  <rowItems count="10">
    <i>
      <x v="4"/>
    </i>
    <i>
      <x v="2"/>
    </i>
    <i>
      <x v="6"/>
    </i>
    <i>
      <x/>
    </i>
    <i>
      <x v="5"/>
    </i>
    <i>
      <x v="1"/>
    </i>
    <i>
      <x v="8"/>
    </i>
    <i>
      <x v="7"/>
    </i>
    <i>
      <x v="3"/>
    </i>
    <i t="grand">
      <x/>
    </i>
  </rowItems>
  <colItems count="1">
    <i/>
  </colItems>
  <pageFields count="1">
    <pageField fld="0" hier="-1"/>
  </pageFields>
  <dataFields count="1">
    <dataField name="Sum of Paid Fees" fld="6" baseField="0" baseItem="0"/>
  </dataFields>
  <formats count="28">
    <format dxfId="577">
      <pivotArea dataOnly="0" labelOnly="1" outline="0" axis="axisValues" fieldPosition="0"/>
    </format>
    <format dxfId="576">
      <pivotArea dataOnly="0" labelOnly="1" outline="0" axis="axisValues" fieldPosition="0"/>
    </format>
    <format dxfId="575">
      <pivotArea type="all" dataOnly="0" outline="0" fieldPosition="0"/>
    </format>
    <format dxfId="574">
      <pivotArea outline="0" collapsedLevelsAreSubtotals="1" fieldPosition="0"/>
    </format>
    <format dxfId="573">
      <pivotArea dataOnly="0" labelOnly="1" outline="0" axis="axisValues" fieldPosition="0"/>
    </format>
    <format dxfId="572">
      <pivotArea type="all" dataOnly="0" outline="0" fieldPosition="0"/>
    </format>
    <format dxfId="571">
      <pivotArea outline="0" collapsedLevelsAreSubtotals="1" fieldPosition="0"/>
    </format>
    <format dxfId="570">
      <pivotArea dataOnly="0" labelOnly="1" outline="0" axis="axisValues" fieldPosition="0"/>
    </format>
    <format dxfId="569">
      <pivotArea field="0" type="button" dataOnly="0" labelOnly="1" outline="0" axis="axisPage" fieldPosition="0"/>
    </format>
    <format dxfId="568">
      <pivotArea dataOnly="0" labelOnly="1" grandRow="1" outline="0" fieldPosition="0"/>
    </format>
    <format dxfId="567">
      <pivotArea field="2" type="button" dataOnly="0" labelOnly="1" outline="0"/>
    </format>
    <format dxfId="566">
      <pivotArea field="11" type="button" dataOnly="0" labelOnly="1" outline="0"/>
    </format>
    <format dxfId="565">
      <pivotArea field="9" type="button" dataOnly="0" labelOnly="1" outline="0"/>
    </format>
    <format dxfId="564">
      <pivotArea grandRow="1" outline="0" collapsedLevelsAreSubtotals="1" fieldPosition="0"/>
    </format>
    <format dxfId="563">
      <pivotArea grandRow="1" outline="0" collapsedLevelsAreSubtotals="1" fieldPosition="0"/>
    </format>
    <format dxfId="562">
      <pivotArea field="10" type="button" dataOnly="0" labelOnly="1" outline="0" axis="axisRow" fieldPosition="0"/>
    </format>
    <format dxfId="561">
      <pivotArea dataOnly="0" labelOnly="1" outline="0" fieldPosition="0">
        <references count="1">
          <reference field="0" count="0"/>
        </references>
      </pivotArea>
    </format>
    <format dxfId="560">
      <pivotArea field="0" type="button" dataOnly="0" labelOnly="1" outline="0" axis="axisPage" fieldPosition="0"/>
    </format>
    <format dxfId="559">
      <pivotArea grandRow="1" outline="0" collapsedLevelsAreSubtotals="1" fieldPosition="0"/>
    </format>
    <format dxfId="558">
      <pivotArea collapsedLevelsAreSubtotals="1" fieldPosition="0">
        <references count="1">
          <reference field="10" count="1">
            <x v="4"/>
          </reference>
        </references>
      </pivotArea>
    </format>
    <format dxfId="557">
      <pivotArea collapsedLevelsAreSubtotals="1" fieldPosition="0">
        <references count="1">
          <reference field="10" count="1">
            <x v="2"/>
          </reference>
        </references>
      </pivotArea>
    </format>
    <format dxfId="556">
      <pivotArea collapsedLevelsAreSubtotals="1" fieldPosition="0">
        <references count="1">
          <reference field="10" count="1">
            <x v="6"/>
          </reference>
        </references>
      </pivotArea>
    </format>
    <format dxfId="555">
      <pivotArea collapsedLevelsAreSubtotals="1" fieldPosition="0">
        <references count="1">
          <reference field="10" count="1">
            <x v="0"/>
          </reference>
        </references>
      </pivotArea>
    </format>
    <format dxfId="554">
      <pivotArea collapsedLevelsAreSubtotals="1" fieldPosition="0">
        <references count="1">
          <reference field="10" count="1">
            <x v="5"/>
          </reference>
        </references>
      </pivotArea>
    </format>
    <format dxfId="553">
      <pivotArea collapsedLevelsAreSubtotals="1" fieldPosition="0">
        <references count="1">
          <reference field="10" count="1">
            <x v="1"/>
          </reference>
        </references>
      </pivotArea>
    </format>
    <format dxfId="552">
      <pivotArea collapsedLevelsAreSubtotals="1" fieldPosition="0">
        <references count="1">
          <reference field="10" count="1">
            <x v="8"/>
          </reference>
        </references>
      </pivotArea>
    </format>
    <format dxfId="551">
      <pivotArea collapsedLevelsAreSubtotals="1" fieldPosition="0">
        <references count="1">
          <reference field="10" count="1">
            <x v="7"/>
          </reference>
        </references>
      </pivotArea>
    </format>
    <format dxfId="550">
      <pivotArea collapsedLevelsAreSubtotals="1" fieldPosition="0">
        <references count="1">
          <reference field="10"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9A3C050-C8C5-43B0-B6C4-0CF05B346CB1}" name="PivotTable12"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4">
  <location ref="AP4:AQ9" firstHeaderRow="1" firstDataRow="1" firstDataCol="1"/>
  <pivotFields count="14">
    <pivotField showAll="0">
      <items count="3">
        <item x="0"/>
        <item x="1"/>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6" showAll="0"/>
    <pivotField showAll="0"/>
    <pivotField numFmtId="45" showAll="0"/>
    <pivotField axis="axisRow" showAll="0">
      <items count="6">
        <item x="1"/>
        <item x="2"/>
        <item x="4"/>
        <item x="0"/>
        <item h="1" x="3"/>
        <item t="default"/>
      </items>
    </pivotField>
    <pivotField showAll="0"/>
    <pivotField showAll="0">
      <items count="9">
        <item x="2"/>
        <item x="3"/>
        <item x="4"/>
        <item x="0"/>
        <item x="5"/>
        <item x="1"/>
        <item x="6"/>
        <item x="7"/>
        <item t="default"/>
      </items>
    </pivotField>
    <pivotField showAll="0">
      <items count="5">
        <item x="2"/>
        <item x="3"/>
        <item x="1"/>
        <item x="0"/>
        <item t="default"/>
      </items>
    </pivotField>
    <pivotField showAll="0"/>
  </pivotFields>
  <rowFields count="1">
    <field x="9"/>
  </rowFields>
  <rowItems count="5">
    <i>
      <x/>
    </i>
    <i>
      <x v="1"/>
    </i>
    <i>
      <x v="2"/>
    </i>
    <i>
      <x v="3"/>
    </i>
    <i t="grand">
      <x/>
    </i>
  </rowItems>
  <colItems count="1">
    <i/>
  </colItems>
  <dataFields count="1">
    <dataField name="Sum of Paid Fees" fld="6" baseField="0" baseItem="0"/>
  </dataFields>
  <formats count="22">
    <format dxfId="599">
      <pivotArea dataOnly="0" labelOnly="1" outline="0" axis="axisValues" fieldPosition="0"/>
    </format>
    <format dxfId="598">
      <pivotArea dataOnly="0" labelOnly="1" outline="0" axis="axisValues" fieldPosition="0"/>
    </format>
    <format dxfId="597">
      <pivotArea type="all" dataOnly="0" outline="0" fieldPosition="0"/>
    </format>
    <format dxfId="596">
      <pivotArea outline="0" collapsedLevelsAreSubtotals="1" fieldPosition="0"/>
    </format>
    <format dxfId="595">
      <pivotArea dataOnly="0" labelOnly="1" outline="0" axis="axisValues" fieldPosition="0"/>
    </format>
    <format dxfId="594">
      <pivotArea type="all" dataOnly="0" outline="0" fieldPosition="0"/>
    </format>
    <format dxfId="593">
      <pivotArea outline="0" collapsedLevelsAreSubtotals="1" fieldPosition="0"/>
    </format>
    <format dxfId="592">
      <pivotArea dataOnly="0" labelOnly="1" outline="0" axis="axisValues" fieldPosition="0"/>
    </format>
    <format dxfId="591">
      <pivotArea field="0" type="button" dataOnly="0" labelOnly="1" outline="0"/>
    </format>
    <format dxfId="590">
      <pivotArea dataOnly="0" labelOnly="1" grandRow="1" outline="0" fieldPosition="0"/>
    </format>
    <format dxfId="589">
      <pivotArea field="2" type="button" dataOnly="0" labelOnly="1" outline="0"/>
    </format>
    <format dxfId="588">
      <pivotArea field="11" type="button" dataOnly="0" labelOnly="1" outline="0"/>
    </format>
    <format dxfId="587">
      <pivotArea field="9" type="button" dataOnly="0" labelOnly="1" outline="0" axis="axisRow" fieldPosition="0"/>
    </format>
    <format dxfId="586">
      <pivotArea collapsedLevelsAreSubtotals="1" fieldPosition="0">
        <references count="1">
          <reference field="9" count="1">
            <x v="0"/>
          </reference>
        </references>
      </pivotArea>
    </format>
    <format dxfId="585">
      <pivotArea collapsedLevelsAreSubtotals="1" fieldPosition="0">
        <references count="1">
          <reference field="9" count="1">
            <x v="1"/>
          </reference>
        </references>
      </pivotArea>
    </format>
    <format dxfId="584">
      <pivotArea collapsedLevelsAreSubtotals="1" fieldPosition="0">
        <references count="1">
          <reference field="9" count="1">
            <x v="2"/>
          </reference>
        </references>
      </pivotArea>
    </format>
    <format dxfId="583">
      <pivotArea collapsedLevelsAreSubtotals="1" fieldPosition="0">
        <references count="1">
          <reference field="9" count="1">
            <x v="3"/>
          </reference>
        </references>
      </pivotArea>
    </format>
    <format dxfId="582">
      <pivotArea collapsedLevelsAreSubtotals="1" fieldPosition="0">
        <references count="1">
          <reference field="9" count="1">
            <x v="4"/>
          </reference>
        </references>
      </pivotArea>
    </format>
    <format dxfId="581">
      <pivotArea grandRow="1" outline="0" collapsedLevelsAreSubtotals="1" fieldPosition="0"/>
    </format>
    <format dxfId="580">
      <pivotArea grandRow="1" outline="0" collapsedLevelsAreSubtotals="1" fieldPosition="0"/>
    </format>
    <format dxfId="579">
      <pivotArea grandRow="1" outline="0" collapsedLevelsAreSubtotals="1" fieldPosition="0"/>
    </format>
    <format dxfId="578">
      <pivotArea grandRow="1" outline="0" collapsedLevelsAreSubtotals="1" fieldPosition="0"/>
    </format>
  </formats>
  <chartFormats count="20">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9" count="1" selected="0">
            <x v="0"/>
          </reference>
        </references>
      </pivotArea>
    </chartFormat>
    <chartFormat chart="25" format="12">
      <pivotArea type="data" outline="0" fieldPosition="0">
        <references count="2">
          <reference field="4294967294" count="1" selected="0">
            <x v="0"/>
          </reference>
          <reference field="9" count="1" selected="0">
            <x v="1"/>
          </reference>
        </references>
      </pivotArea>
    </chartFormat>
    <chartFormat chart="25" format="13">
      <pivotArea type="data" outline="0" fieldPosition="0">
        <references count="2">
          <reference field="4294967294" count="1" selected="0">
            <x v="0"/>
          </reference>
          <reference field="9" count="1" selected="0">
            <x v="2"/>
          </reference>
        </references>
      </pivotArea>
    </chartFormat>
    <chartFormat chart="25" format="14">
      <pivotArea type="data" outline="0" fieldPosition="0">
        <references count="2">
          <reference field="4294967294" count="1" selected="0">
            <x v="0"/>
          </reference>
          <reference field="9" count="1" selected="0">
            <x v="3"/>
          </reference>
        </references>
      </pivotArea>
    </chartFormat>
    <chartFormat chart="27" format="20" series="1">
      <pivotArea type="data" outline="0" fieldPosition="0">
        <references count="1">
          <reference field="4294967294" count="1" selected="0">
            <x v="0"/>
          </reference>
        </references>
      </pivotArea>
    </chartFormat>
    <chartFormat chart="27" format="21">
      <pivotArea type="data" outline="0" fieldPosition="0">
        <references count="2">
          <reference field="4294967294" count="1" selected="0">
            <x v="0"/>
          </reference>
          <reference field="9" count="1" selected="0">
            <x v="0"/>
          </reference>
        </references>
      </pivotArea>
    </chartFormat>
    <chartFormat chart="27" format="22">
      <pivotArea type="data" outline="0" fieldPosition="0">
        <references count="2">
          <reference field="4294967294" count="1" selected="0">
            <x v="0"/>
          </reference>
          <reference field="9" count="1" selected="0">
            <x v="1"/>
          </reference>
        </references>
      </pivotArea>
    </chartFormat>
    <chartFormat chart="27" format="23">
      <pivotArea type="data" outline="0" fieldPosition="0">
        <references count="2">
          <reference field="4294967294" count="1" selected="0">
            <x v="0"/>
          </reference>
          <reference field="9" count="1" selected="0">
            <x v="2"/>
          </reference>
        </references>
      </pivotArea>
    </chartFormat>
    <chartFormat chart="27" format="24">
      <pivotArea type="data" outline="0" fieldPosition="0">
        <references count="2">
          <reference field="4294967294" count="1" selected="0">
            <x v="0"/>
          </reference>
          <reference field="9" count="1" selected="0">
            <x v="3"/>
          </reference>
        </references>
      </pivotArea>
    </chartFormat>
    <chartFormat chart="30" format="20" series="1">
      <pivotArea type="data" outline="0" fieldPosition="0">
        <references count="1">
          <reference field="4294967294" count="1" selected="0">
            <x v="0"/>
          </reference>
        </references>
      </pivotArea>
    </chartFormat>
    <chartFormat chart="30" format="21">
      <pivotArea type="data" outline="0" fieldPosition="0">
        <references count="2">
          <reference field="4294967294" count="1" selected="0">
            <x v="0"/>
          </reference>
          <reference field="9" count="1" selected="0">
            <x v="0"/>
          </reference>
        </references>
      </pivotArea>
    </chartFormat>
    <chartFormat chart="30" format="22">
      <pivotArea type="data" outline="0" fieldPosition="0">
        <references count="2">
          <reference field="4294967294" count="1" selected="0">
            <x v="0"/>
          </reference>
          <reference field="9" count="1" selected="0">
            <x v="1"/>
          </reference>
        </references>
      </pivotArea>
    </chartFormat>
    <chartFormat chart="30" format="23">
      <pivotArea type="data" outline="0" fieldPosition="0">
        <references count="2">
          <reference field="4294967294" count="1" selected="0">
            <x v="0"/>
          </reference>
          <reference field="9" count="1" selected="0">
            <x v="2"/>
          </reference>
        </references>
      </pivotArea>
    </chartFormat>
    <chartFormat chart="30" format="24">
      <pivotArea type="data" outline="0" fieldPosition="0">
        <references count="2">
          <reference field="4294967294" count="1" selected="0">
            <x v="0"/>
          </reference>
          <reference field="9" count="1" selected="0">
            <x v="3"/>
          </reference>
        </references>
      </pivotArea>
    </chartFormat>
    <chartFormat chart="32" format="30" series="1">
      <pivotArea type="data" outline="0" fieldPosition="0">
        <references count="1">
          <reference field="4294967294" count="1" selected="0">
            <x v="0"/>
          </reference>
        </references>
      </pivotArea>
    </chartFormat>
    <chartFormat chart="32" format="31">
      <pivotArea type="data" outline="0" fieldPosition="0">
        <references count="2">
          <reference field="4294967294" count="1" selected="0">
            <x v="0"/>
          </reference>
          <reference field="9" count="1" selected="0">
            <x v="0"/>
          </reference>
        </references>
      </pivotArea>
    </chartFormat>
    <chartFormat chart="32" format="32">
      <pivotArea type="data" outline="0" fieldPosition="0">
        <references count="2">
          <reference field="4294967294" count="1" selected="0">
            <x v="0"/>
          </reference>
          <reference field="9" count="1" selected="0">
            <x v="1"/>
          </reference>
        </references>
      </pivotArea>
    </chartFormat>
    <chartFormat chart="32" format="33">
      <pivotArea type="data" outline="0" fieldPosition="0">
        <references count="2">
          <reference field="4294967294" count="1" selected="0">
            <x v="0"/>
          </reference>
          <reference field="9" count="1" selected="0">
            <x v="2"/>
          </reference>
        </references>
      </pivotArea>
    </chartFormat>
    <chartFormat chart="32" format="3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8BAB4B9-BCE1-486C-8618-4181A0EF7A61}" sourceName="Month">
  <pivotTables>
    <pivotTable tabId="4" name="PivotTable6"/>
    <pivotTable tabId="4" name="PivotTable7"/>
    <pivotTable tabId="4" name="PivotTable8"/>
    <pivotTable tabId="4" name="PivotTable11"/>
    <pivotTable tabId="4" name="PivotTable12"/>
    <pivotTable tabId="4" name="Training level's fee by sales team"/>
    <pivotTable tabId="4" name="PivotTable14"/>
    <pivotTable tabId="4" name="PivotTable9"/>
    <pivotTable tabId="4" name="Sales by sales team"/>
    <pivotTable tabId="4" name="PivotTable16"/>
    <pivotTable tabId="4" name="PivotTable17"/>
    <pivotTable tabId="4" name="PivotTable20"/>
    <pivotTable tabId="4" name="Training models by sales team"/>
    <pivotTable tabId="4" name="PivotTable23"/>
    <pivotTable tabId="4" name="PivotTable1"/>
    <pivotTable tabId="4" name="PivotTable2"/>
    <pivotTable tabId="4" name="PivotTable3"/>
  </pivotTables>
  <data>
    <tabular pivotCacheId="135226594">
      <items count="12">
        <i x="5" s="1"/>
        <i x="6" s="1"/>
        <i x="7" s="1"/>
        <i x="0" s="1"/>
        <i x="8" s="1"/>
        <i x="9" s="1"/>
        <i x="11" s="1"/>
        <i x="1" s="1"/>
        <i x="2" s="1"/>
        <i x="3" s="1"/>
        <i x="4" s="1"/>
        <i x="1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eam" xr10:uid="{33D67052-8904-4FEE-99F4-A48813F58C85}" sourceName="Sale Team">
  <pivotTables>
    <pivotTable tabId="4" name="PivotTable23"/>
    <pivotTable tabId="4" name="average call duration by month"/>
    <pivotTable tabId="4" name="Average number of Calls by month"/>
    <pivotTable tabId="4" name="enrolled courses by month"/>
    <pivotTable tabId="4" name="Monthly ADvertisement"/>
    <pivotTable tabId="4" name="PivotTable1"/>
    <pivotTable tabId="4" name="PivotTable11"/>
    <pivotTable tabId="4" name="PivotTable12"/>
    <pivotTable tabId="4" name="PivotTable14"/>
    <pivotTable tabId="4" name="PivotTable16"/>
    <pivotTable tabId="4" name="PivotTable17"/>
    <pivotTable tabId="4" name="PivotTable2"/>
    <pivotTable tabId="4" name="PivotTable20"/>
    <pivotTable tabId="4" name="PivotTable3"/>
    <pivotTable tabId="4" name="PivotTable6"/>
    <pivotTable tabId="4" name="PivotTable7"/>
    <pivotTable tabId="4" name="PivotTable8"/>
    <pivotTable tabId="4" name="PivotTable9"/>
    <pivotTable tabId="4" name="total earnings by month"/>
  </pivotTables>
  <data>
    <tabular pivotCacheId="135226594">
      <items count="4">
        <i x="2" s="1"/>
        <i x="3"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F68E45A9-656F-4092-9740-343F90AD2F46}" cache="Slicer_Month" caption="Month" columnCount="2" showCaption="0" style="second" lockedPosition="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 xr10:uid="{05715FEC-34D8-470A-8F56-85D47855E366}" cache="Slicer_Month" columnCount="2" style="second" lockedPosition="1" rowHeight="257175"/>
  <slicer name="Sale Team" xr10:uid="{8F4B5840-BBD5-4FA2-8389-5AD81B3EC0F5}" cache="Slicer_Sale_Team" caption=" " style="second" lockedPosition="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DC413CBD-B89C-439D-AA88-FA11213A115C}" cache="Slicer_Month" caption="Month" columnCount="3" showCaption="0" style="My first slicer" rowHeight="257175"/>
  <slicer name="Sale Team 1" xr10:uid="{DC1089D7-725B-4001-938C-587459BD88B9}" cache="Slicer_Sale_Team" caption="Sale Team" showCaption="0" style="My first slicer" rowHeight="25717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1.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05C1-2F36-424A-B9DB-DEEDD004F30D}">
  <dimension ref="A1:N1238"/>
  <sheetViews>
    <sheetView workbookViewId="0"/>
  </sheetViews>
  <sheetFormatPr defaultColWidth="10.59765625" defaultRowHeight="15.6" x14ac:dyDescent="0.3"/>
  <cols>
    <col min="1" max="1" width="11.5" bestFit="1" customWidth="1"/>
    <col min="2" max="2" width="4.5" bestFit="1" customWidth="1"/>
    <col min="3" max="3" width="6.8984375" bestFit="1" customWidth="1"/>
    <col min="4" max="4" width="19.3984375" bestFit="1" customWidth="1"/>
    <col min="5" max="5" width="14.5" bestFit="1" customWidth="1"/>
    <col min="6" max="6" width="16.5" bestFit="1" customWidth="1"/>
    <col min="7" max="7" width="15.09765625" bestFit="1" customWidth="1"/>
    <col min="8" max="8" width="21.5" bestFit="1" customWidth="1"/>
    <col min="9" max="9" width="20" bestFit="1" customWidth="1"/>
    <col min="10" max="10" width="15.3984375" bestFit="1" customWidth="1"/>
    <col min="11" max="11" width="14.59765625" bestFit="1" customWidth="1"/>
    <col min="12" max="12" width="10.3984375" bestFit="1" customWidth="1"/>
    <col min="13" max="13" width="10.09765625" bestFit="1" customWidth="1"/>
    <col min="14" max="14" width="11" bestFit="1" customWidth="1"/>
  </cols>
  <sheetData>
    <row r="1" spans="1:14" s="7" customFormat="1" ht="24.9" customHeight="1" x14ac:dyDescent="0.3">
      <c r="A1" s="8" t="s">
        <v>0</v>
      </c>
      <c r="B1" s="9" t="s">
        <v>1</v>
      </c>
      <c r="C1" s="8" t="s">
        <v>2</v>
      </c>
      <c r="D1" s="8" t="s">
        <v>3</v>
      </c>
      <c r="E1" s="8" t="s">
        <v>4</v>
      </c>
      <c r="F1" s="8" t="s">
        <v>5</v>
      </c>
      <c r="G1" s="8" t="s">
        <v>6</v>
      </c>
      <c r="H1" s="8" t="s">
        <v>7</v>
      </c>
      <c r="I1" s="8" t="s">
        <v>8</v>
      </c>
      <c r="J1" s="8" t="s">
        <v>9</v>
      </c>
      <c r="K1" s="8" t="s">
        <v>10</v>
      </c>
      <c r="L1" s="8" t="s">
        <v>11</v>
      </c>
      <c r="M1" s="8" t="s">
        <v>12</v>
      </c>
      <c r="N1" s="8" t="s">
        <v>13</v>
      </c>
    </row>
    <row r="2" spans="1:14" x14ac:dyDescent="0.3">
      <c r="A2" s="2" t="s">
        <v>14</v>
      </c>
      <c r="B2" s="3">
        <v>1</v>
      </c>
      <c r="C2" s="4" t="s">
        <v>15</v>
      </c>
      <c r="D2" s="2" t="s">
        <v>16</v>
      </c>
      <c r="E2" s="2" t="s">
        <v>17</v>
      </c>
      <c r="F2" s="5">
        <v>1</v>
      </c>
      <c r="G2" s="1">
        <v>7000000</v>
      </c>
      <c r="H2" s="2">
        <v>3</v>
      </c>
      <c r="I2" s="6">
        <v>1.3888888888888889E-3</v>
      </c>
      <c r="J2" s="2" t="s">
        <v>18</v>
      </c>
      <c r="K2" s="2" t="s">
        <v>19</v>
      </c>
      <c r="L2" s="2" t="s">
        <v>20</v>
      </c>
      <c r="M2" s="2" t="s">
        <v>78</v>
      </c>
      <c r="N2" s="2" t="s">
        <v>21</v>
      </c>
    </row>
    <row r="3" spans="1:14" x14ac:dyDescent="0.3">
      <c r="A3" s="2" t="s">
        <v>14</v>
      </c>
      <c r="B3" s="3">
        <v>10</v>
      </c>
      <c r="C3" s="4" t="s">
        <v>22</v>
      </c>
      <c r="D3" s="2" t="s">
        <v>16</v>
      </c>
      <c r="E3" s="2" t="s">
        <v>23</v>
      </c>
      <c r="F3" s="5">
        <v>3</v>
      </c>
      <c r="G3" s="1">
        <v>11000000</v>
      </c>
      <c r="H3" s="2">
        <v>1</v>
      </c>
      <c r="I3" s="6">
        <v>1.3888888888888889E-3</v>
      </c>
      <c r="J3" s="2" t="s">
        <v>18</v>
      </c>
      <c r="K3" s="2" t="s">
        <v>24</v>
      </c>
      <c r="L3" s="2" t="s">
        <v>25</v>
      </c>
      <c r="M3" s="2" t="s">
        <v>76</v>
      </c>
      <c r="N3" s="2" t="s">
        <v>26</v>
      </c>
    </row>
    <row r="4" spans="1:14" x14ac:dyDescent="0.3">
      <c r="A4" s="2" t="s">
        <v>14</v>
      </c>
      <c r="B4" s="3">
        <v>20</v>
      </c>
      <c r="C4" s="4" t="s">
        <v>27</v>
      </c>
      <c r="D4" s="2" t="s">
        <v>28</v>
      </c>
      <c r="E4" s="2" t="s">
        <v>17</v>
      </c>
      <c r="F4" s="5">
        <v>2</v>
      </c>
      <c r="G4" s="1">
        <v>12000000</v>
      </c>
      <c r="H4" s="2">
        <v>3</v>
      </c>
      <c r="I4" s="6">
        <v>1.3888888888888889E-3</v>
      </c>
      <c r="J4" s="2" t="s">
        <v>18</v>
      </c>
      <c r="K4" s="2" t="s">
        <v>29</v>
      </c>
      <c r="L4" s="2" t="s">
        <v>30</v>
      </c>
      <c r="M4" s="2" t="s">
        <v>76</v>
      </c>
      <c r="N4" s="2" t="s">
        <v>31</v>
      </c>
    </row>
    <row r="5" spans="1:14" x14ac:dyDescent="0.3">
      <c r="A5" s="2" t="s">
        <v>14</v>
      </c>
      <c r="B5" s="3">
        <v>23</v>
      </c>
      <c r="C5" s="4" t="s">
        <v>27</v>
      </c>
      <c r="D5" s="2" t="s">
        <v>32</v>
      </c>
      <c r="E5" s="2" t="s">
        <v>17</v>
      </c>
      <c r="F5" s="5">
        <v>4</v>
      </c>
      <c r="G5" s="1">
        <v>15000000</v>
      </c>
      <c r="H5" s="2">
        <v>1</v>
      </c>
      <c r="I5" s="6">
        <v>1.3888888888888889E-3</v>
      </c>
      <c r="J5" s="2" t="s">
        <v>18</v>
      </c>
      <c r="K5" s="2" t="s">
        <v>29</v>
      </c>
      <c r="L5" s="2" t="s">
        <v>33</v>
      </c>
      <c r="M5" s="2" t="s">
        <v>77</v>
      </c>
      <c r="N5" s="2" t="s">
        <v>34</v>
      </c>
    </row>
    <row r="6" spans="1:14" x14ac:dyDescent="0.3">
      <c r="A6" s="2" t="s">
        <v>14</v>
      </c>
      <c r="B6" s="3">
        <v>11</v>
      </c>
      <c r="C6" s="4" t="s">
        <v>27</v>
      </c>
      <c r="D6" s="2" t="s">
        <v>16</v>
      </c>
      <c r="E6" s="2" t="s">
        <v>17</v>
      </c>
      <c r="F6" s="5">
        <v>5</v>
      </c>
      <c r="G6" s="1">
        <v>25000000</v>
      </c>
      <c r="H6" s="2">
        <v>2</v>
      </c>
      <c r="I6" s="6">
        <v>1.3888888888888889E-3</v>
      </c>
      <c r="J6" s="2" t="s">
        <v>18</v>
      </c>
      <c r="K6" s="2" t="s">
        <v>35</v>
      </c>
      <c r="L6" s="2" t="s">
        <v>25</v>
      </c>
      <c r="M6" s="2" t="s">
        <v>66</v>
      </c>
      <c r="N6" s="2" t="s">
        <v>36</v>
      </c>
    </row>
    <row r="7" spans="1:14" x14ac:dyDescent="0.3">
      <c r="A7" s="2" t="s">
        <v>14</v>
      </c>
      <c r="B7" s="3">
        <v>2</v>
      </c>
      <c r="C7" s="4" t="s">
        <v>37</v>
      </c>
      <c r="D7" s="2" t="s">
        <v>38</v>
      </c>
      <c r="E7" s="2" t="s">
        <v>23</v>
      </c>
      <c r="F7" s="5">
        <v>3</v>
      </c>
      <c r="G7" s="1">
        <v>12000000</v>
      </c>
      <c r="H7" s="2">
        <v>1</v>
      </c>
      <c r="I7" s="6">
        <v>1.3888888888888889E-3</v>
      </c>
      <c r="J7" s="2" t="s">
        <v>18</v>
      </c>
      <c r="K7" s="2" t="s">
        <v>39</v>
      </c>
      <c r="L7" s="2" t="s">
        <v>40</v>
      </c>
      <c r="M7" s="2" t="s">
        <v>78</v>
      </c>
      <c r="N7" s="2" t="s">
        <v>41</v>
      </c>
    </row>
    <row r="8" spans="1:14" x14ac:dyDescent="0.3">
      <c r="A8" s="2" t="s">
        <v>14</v>
      </c>
      <c r="B8" s="3">
        <v>6</v>
      </c>
      <c r="C8" s="4" t="s">
        <v>37</v>
      </c>
      <c r="D8" s="2" t="s">
        <v>38</v>
      </c>
      <c r="E8" s="2" t="s">
        <v>42</v>
      </c>
      <c r="F8" s="5">
        <v>5</v>
      </c>
      <c r="G8" s="1">
        <v>20000000</v>
      </c>
      <c r="H8" s="2">
        <v>2</v>
      </c>
      <c r="I8" s="6">
        <v>1.3888888888888889E-3</v>
      </c>
      <c r="J8" s="2" t="s">
        <v>18</v>
      </c>
      <c r="K8" s="2" t="s">
        <v>19</v>
      </c>
      <c r="L8" s="2" t="s">
        <v>43</v>
      </c>
      <c r="M8" s="2" t="s">
        <v>66</v>
      </c>
      <c r="N8" s="2" t="s">
        <v>36</v>
      </c>
    </row>
    <row r="9" spans="1:14" x14ac:dyDescent="0.3">
      <c r="A9" s="2" t="s">
        <v>14</v>
      </c>
      <c r="B9" s="3">
        <v>26</v>
      </c>
      <c r="C9" s="4" t="s">
        <v>44</v>
      </c>
      <c r="D9" s="2" t="s">
        <v>32</v>
      </c>
      <c r="E9" s="2" t="s">
        <v>45</v>
      </c>
      <c r="F9" s="5">
        <v>1</v>
      </c>
      <c r="G9" s="1">
        <v>19000000</v>
      </c>
      <c r="H9" s="2">
        <v>2</v>
      </c>
      <c r="I9" s="6">
        <v>1.3888888888888889E-3</v>
      </c>
      <c r="J9" s="2" t="s">
        <v>46</v>
      </c>
      <c r="K9" s="2" t="s">
        <v>47</v>
      </c>
      <c r="L9" s="2" t="s">
        <v>33</v>
      </c>
      <c r="M9" s="2" t="s">
        <v>78</v>
      </c>
      <c r="N9" s="2" t="s">
        <v>41</v>
      </c>
    </row>
    <row r="10" spans="1:14" x14ac:dyDescent="0.3">
      <c r="A10" s="2" t="s">
        <v>14</v>
      </c>
      <c r="B10" s="3">
        <v>15</v>
      </c>
      <c r="C10" s="4" t="s">
        <v>44</v>
      </c>
      <c r="D10" s="2" t="s">
        <v>38</v>
      </c>
      <c r="E10" s="2" t="s">
        <v>42</v>
      </c>
      <c r="F10" s="5">
        <v>2</v>
      </c>
      <c r="G10" s="1">
        <v>38000000</v>
      </c>
      <c r="H10" s="2">
        <v>2</v>
      </c>
      <c r="I10" s="6">
        <v>1.3888888888888889E-3</v>
      </c>
      <c r="J10" s="2" t="s">
        <v>46</v>
      </c>
      <c r="K10" s="2" t="s">
        <v>39</v>
      </c>
      <c r="L10" s="2" t="s">
        <v>48</v>
      </c>
      <c r="M10" s="2" t="s">
        <v>76</v>
      </c>
      <c r="N10" s="2" t="s">
        <v>26</v>
      </c>
    </row>
    <row r="11" spans="1:14" x14ac:dyDescent="0.3">
      <c r="A11" s="2" t="s">
        <v>14</v>
      </c>
      <c r="B11" s="3">
        <v>17</v>
      </c>
      <c r="C11" s="4" t="s">
        <v>44</v>
      </c>
      <c r="D11" s="2" t="s">
        <v>49</v>
      </c>
      <c r="E11" s="2" t="s">
        <v>23</v>
      </c>
      <c r="F11" s="5">
        <v>2</v>
      </c>
      <c r="G11" s="1">
        <v>12000000</v>
      </c>
      <c r="H11" s="2">
        <v>2</v>
      </c>
      <c r="I11" s="6">
        <v>1.3888888888888889E-3</v>
      </c>
      <c r="J11" s="2" t="s">
        <v>18</v>
      </c>
      <c r="K11" s="2" t="s">
        <v>50</v>
      </c>
      <c r="L11" s="2" t="s">
        <v>51</v>
      </c>
      <c r="M11" s="2" t="s">
        <v>76</v>
      </c>
      <c r="N11" s="2" t="s">
        <v>52</v>
      </c>
    </row>
    <row r="12" spans="1:14" x14ac:dyDescent="0.3">
      <c r="A12" s="2" t="s">
        <v>14</v>
      </c>
      <c r="B12" s="3">
        <v>1</v>
      </c>
      <c r="C12" s="4" t="s">
        <v>15</v>
      </c>
      <c r="D12" s="2" t="s">
        <v>16</v>
      </c>
      <c r="E12" s="2" t="s">
        <v>17</v>
      </c>
      <c r="F12" s="5">
        <v>1</v>
      </c>
      <c r="G12" s="1">
        <v>7000000</v>
      </c>
      <c r="H12" s="2">
        <v>3</v>
      </c>
      <c r="I12" s="6">
        <v>1.3888888888888889E-3</v>
      </c>
      <c r="J12" s="2" t="s">
        <v>18</v>
      </c>
      <c r="K12" s="2" t="s">
        <v>19</v>
      </c>
      <c r="L12" s="2" t="s">
        <v>20</v>
      </c>
      <c r="M12" s="2" t="s">
        <v>78</v>
      </c>
      <c r="N12" s="2" t="s">
        <v>21</v>
      </c>
    </row>
    <row r="13" spans="1:14" x14ac:dyDescent="0.3">
      <c r="A13" s="2" t="s">
        <v>14</v>
      </c>
      <c r="B13" s="3">
        <v>2</v>
      </c>
      <c r="C13" s="4" t="s">
        <v>37</v>
      </c>
      <c r="D13" s="2" t="s">
        <v>38</v>
      </c>
      <c r="E13" s="2" t="s">
        <v>23</v>
      </c>
      <c r="F13" s="5">
        <v>3</v>
      </c>
      <c r="G13" s="1">
        <v>12000000</v>
      </c>
      <c r="H13" s="2">
        <v>1</v>
      </c>
      <c r="I13" s="6">
        <v>1.3888888888888889E-3</v>
      </c>
      <c r="J13" s="2" t="s">
        <v>18</v>
      </c>
      <c r="K13" s="2" t="s">
        <v>39</v>
      </c>
      <c r="L13" s="2" t="s">
        <v>40</v>
      </c>
      <c r="M13" s="2" t="s">
        <v>78</v>
      </c>
      <c r="N13" s="2" t="s">
        <v>26</v>
      </c>
    </row>
    <row r="14" spans="1:14" x14ac:dyDescent="0.3">
      <c r="A14" s="2" t="s">
        <v>14</v>
      </c>
      <c r="B14" s="3">
        <v>6</v>
      </c>
      <c r="C14" s="4" t="s">
        <v>37</v>
      </c>
      <c r="D14" s="2" t="s">
        <v>38</v>
      </c>
      <c r="E14" s="2" t="s">
        <v>42</v>
      </c>
      <c r="F14" s="5">
        <v>5</v>
      </c>
      <c r="G14" s="1">
        <v>20000000</v>
      </c>
      <c r="H14" s="2">
        <v>2</v>
      </c>
      <c r="I14" s="6">
        <v>1.3888888888888889E-3</v>
      </c>
      <c r="J14" s="2" t="s">
        <v>18</v>
      </c>
      <c r="K14" s="2" t="s">
        <v>19</v>
      </c>
      <c r="L14" s="2" t="s">
        <v>43</v>
      </c>
      <c r="M14" s="2" t="s">
        <v>66</v>
      </c>
      <c r="N14" s="2" t="s">
        <v>53</v>
      </c>
    </row>
    <row r="15" spans="1:14" x14ac:dyDescent="0.3">
      <c r="A15" s="2" t="s">
        <v>14</v>
      </c>
      <c r="B15" s="3">
        <v>26</v>
      </c>
      <c r="C15" s="4" t="s">
        <v>44</v>
      </c>
      <c r="D15" s="2" t="s">
        <v>32</v>
      </c>
      <c r="E15" s="2" t="s">
        <v>45</v>
      </c>
      <c r="F15" s="5">
        <v>1</v>
      </c>
      <c r="G15" s="1">
        <v>19000000</v>
      </c>
      <c r="H15" s="2">
        <v>2</v>
      </c>
      <c r="I15" s="6">
        <v>1.3888888888888889E-3</v>
      </c>
      <c r="J15" s="2" t="s">
        <v>46</v>
      </c>
      <c r="K15" s="2" t="s">
        <v>47</v>
      </c>
      <c r="L15" s="2" t="s">
        <v>33</v>
      </c>
      <c r="M15" s="2" t="s">
        <v>78</v>
      </c>
      <c r="N15" s="2" t="s">
        <v>54</v>
      </c>
    </row>
    <row r="16" spans="1:14" x14ac:dyDescent="0.3">
      <c r="A16" s="2" t="s">
        <v>14</v>
      </c>
      <c r="B16" s="3">
        <v>2</v>
      </c>
      <c r="C16" s="4" t="s">
        <v>37</v>
      </c>
      <c r="D16" s="2" t="s">
        <v>38</v>
      </c>
      <c r="E16" s="2" t="s">
        <v>23</v>
      </c>
      <c r="F16" s="5">
        <v>3</v>
      </c>
      <c r="G16" s="1">
        <v>12000000</v>
      </c>
      <c r="H16" s="2">
        <v>1</v>
      </c>
      <c r="I16" s="6">
        <v>1.3888888888888889E-3</v>
      </c>
      <c r="J16" s="2" t="s">
        <v>18</v>
      </c>
      <c r="K16" s="2" t="s">
        <v>39</v>
      </c>
      <c r="L16" s="2" t="s">
        <v>40</v>
      </c>
      <c r="M16" s="2" t="s">
        <v>78</v>
      </c>
      <c r="N16" s="2" t="s">
        <v>31</v>
      </c>
    </row>
    <row r="17" spans="1:14" x14ac:dyDescent="0.3">
      <c r="A17" s="2" t="s">
        <v>14</v>
      </c>
      <c r="B17" s="3">
        <v>6</v>
      </c>
      <c r="C17" s="4" t="s">
        <v>37</v>
      </c>
      <c r="D17" s="2" t="s">
        <v>38</v>
      </c>
      <c r="E17" s="2" t="s">
        <v>42</v>
      </c>
      <c r="F17" s="5">
        <v>5</v>
      </c>
      <c r="G17" s="1">
        <v>20000000</v>
      </c>
      <c r="H17" s="2">
        <v>2</v>
      </c>
      <c r="I17" s="6">
        <v>1.3888888888888889E-3</v>
      </c>
      <c r="J17" s="2" t="s">
        <v>18</v>
      </c>
      <c r="K17" s="2" t="s">
        <v>19</v>
      </c>
      <c r="L17" s="2" t="s">
        <v>43</v>
      </c>
      <c r="M17" s="2" t="s">
        <v>66</v>
      </c>
      <c r="N17" s="2" t="s">
        <v>53</v>
      </c>
    </row>
    <row r="18" spans="1:14" x14ac:dyDescent="0.3">
      <c r="A18" s="2" t="s">
        <v>14</v>
      </c>
      <c r="B18" s="3">
        <v>26</v>
      </c>
      <c r="C18" s="4" t="s">
        <v>44</v>
      </c>
      <c r="D18" s="2" t="s">
        <v>32</v>
      </c>
      <c r="E18" s="2" t="s">
        <v>45</v>
      </c>
      <c r="F18" s="5">
        <v>1</v>
      </c>
      <c r="G18" s="1">
        <v>19000000</v>
      </c>
      <c r="H18" s="2">
        <v>2</v>
      </c>
      <c r="I18" s="6">
        <v>1.3888888888888889E-3</v>
      </c>
      <c r="J18" s="2" t="s">
        <v>46</v>
      </c>
      <c r="K18" s="2" t="s">
        <v>47</v>
      </c>
      <c r="L18" s="2" t="s">
        <v>33</v>
      </c>
      <c r="M18" s="2" t="s">
        <v>78</v>
      </c>
      <c r="N18" s="2" t="s">
        <v>54</v>
      </c>
    </row>
    <row r="19" spans="1:14" x14ac:dyDescent="0.3">
      <c r="A19" s="2" t="s">
        <v>14</v>
      </c>
      <c r="B19" s="3">
        <v>12</v>
      </c>
      <c r="C19" s="4" t="s">
        <v>55</v>
      </c>
      <c r="D19" s="2" t="s">
        <v>16</v>
      </c>
      <c r="E19" s="2" t="s">
        <v>42</v>
      </c>
      <c r="F19" s="5">
        <v>3</v>
      </c>
      <c r="G19" s="1">
        <v>11000000</v>
      </c>
      <c r="H19" s="2">
        <v>1</v>
      </c>
      <c r="I19" s="6">
        <v>1.3888888888888889E-3</v>
      </c>
      <c r="J19" s="2" t="s">
        <v>18</v>
      </c>
      <c r="K19" s="2" t="s">
        <v>56</v>
      </c>
      <c r="L19" s="2" t="s">
        <v>51</v>
      </c>
      <c r="M19" s="2" t="s">
        <v>76</v>
      </c>
      <c r="N19" s="2" t="s">
        <v>52</v>
      </c>
    </row>
    <row r="20" spans="1:14" x14ac:dyDescent="0.3">
      <c r="A20" s="2" t="s">
        <v>14</v>
      </c>
      <c r="B20" s="3">
        <v>11</v>
      </c>
      <c r="C20" s="4" t="s">
        <v>57</v>
      </c>
      <c r="D20" s="2" t="s">
        <v>28</v>
      </c>
      <c r="E20" s="2" t="s">
        <v>23</v>
      </c>
      <c r="F20" s="5">
        <v>5</v>
      </c>
      <c r="G20" s="1">
        <v>25000000</v>
      </c>
      <c r="H20" s="2">
        <v>1</v>
      </c>
      <c r="I20" s="6">
        <v>1.3888888888888889E-3</v>
      </c>
      <c r="J20" s="2" t="s">
        <v>18</v>
      </c>
      <c r="K20" s="2" t="s">
        <v>29</v>
      </c>
      <c r="L20" s="2" t="s">
        <v>43</v>
      </c>
      <c r="M20" s="2" t="s">
        <v>76</v>
      </c>
      <c r="N20" s="2" t="s">
        <v>31</v>
      </c>
    </row>
    <row r="21" spans="1:14" x14ac:dyDescent="0.3">
      <c r="A21" s="2" t="s">
        <v>14</v>
      </c>
      <c r="B21" s="3">
        <v>11</v>
      </c>
      <c r="C21" s="4" t="s">
        <v>58</v>
      </c>
      <c r="D21" s="2" t="s">
        <v>32</v>
      </c>
      <c r="E21" s="2" t="s">
        <v>42</v>
      </c>
      <c r="F21" s="5">
        <v>2</v>
      </c>
      <c r="G21" s="1">
        <v>38000000</v>
      </c>
      <c r="H21" s="2">
        <v>2</v>
      </c>
      <c r="I21" s="6">
        <v>1.3888888888888889E-3</v>
      </c>
      <c r="J21" s="2" t="s">
        <v>46</v>
      </c>
      <c r="K21" s="2" t="s">
        <v>56</v>
      </c>
      <c r="L21" s="2" t="s">
        <v>43</v>
      </c>
      <c r="M21" s="2" t="s">
        <v>78</v>
      </c>
      <c r="N21" s="2" t="s">
        <v>53</v>
      </c>
    </row>
    <row r="22" spans="1:14" x14ac:dyDescent="0.3">
      <c r="A22" s="2" t="s">
        <v>14</v>
      </c>
      <c r="B22" s="3">
        <v>3</v>
      </c>
      <c r="C22" s="4" t="s">
        <v>15</v>
      </c>
      <c r="D22" s="2" t="s">
        <v>38</v>
      </c>
      <c r="E22" s="2" t="s">
        <v>42</v>
      </c>
      <c r="F22" s="5">
        <v>4</v>
      </c>
      <c r="G22" s="1">
        <v>15000000</v>
      </c>
      <c r="H22" s="2">
        <v>1</v>
      </c>
      <c r="I22" s="6">
        <v>1.3888888888888889E-3</v>
      </c>
      <c r="J22" s="2" t="s">
        <v>18</v>
      </c>
      <c r="K22" s="2" t="s">
        <v>56</v>
      </c>
      <c r="L22" s="2" t="s">
        <v>20</v>
      </c>
      <c r="M22" s="2" t="s">
        <v>78</v>
      </c>
      <c r="N22" s="2" t="s">
        <v>41</v>
      </c>
    </row>
    <row r="23" spans="1:14" x14ac:dyDescent="0.3">
      <c r="A23" s="2" t="s">
        <v>14</v>
      </c>
      <c r="B23" s="3">
        <v>11</v>
      </c>
      <c r="C23" s="4" t="s">
        <v>59</v>
      </c>
      <c r="D23" s="2" t="s">
        <v>16</v>
      </c>
      <c r="E23" s="2" t="s">
        <v>23</v>
      </c>
      <c r="F23" s="5">
        <v>1</v>
      </c>
      <c r="G23" s="1">
        <v>19000000</v>
      </c>
      <c r="H23" s="2">
        <v>1</v>
      </c>
      <c r="I23" s="6">
        <v>1.3888888888888889E-3</v>
      </c>
      <c r="J23" s="2" t="s">
        <v>46</v>
      </c>
      <c r="K23" s="2" t="s">
        <v>19</v>
      </c>
      <c r="L23" s="2" t="s">
        <v>25</v>
      </c>
      <c r="M23" s="2" t="s">
        <v>77</v>
      </c>
      <c r="N23" s="2" t="s">
        <v>54</v>
      </c>
    </row>
    <row r="24" spans="1:14" x14ac:dyDescent="0.3">
      <c r="A24" s="2" t="s">
        <v>14</v>
      </c>
      <c r="B24" s="3">
        <v>10</v>
      </c>
      <c r="C24" s="4" t="s">
        <v>59</v>
      </c>
      <c r="D24" s="2" t="s">
        <v>38</v>
      </c>
      <c r="E24" s="2" t="s">
        <v>17</v>
      </c>
      <c r="F24" s="5">
        <v>4</v>
      </c>
      <c r="G24" s="1">
        <v>20000000</v>
      </c>
      <c r="H24" s="2">
        <v>3</v>
      </c>
      <c r="I24" s="6">
        <v>1.3888888888888889E-3</v>
      </c>
      <c r="J24" s="2" t="s">
        <v>18</v>
      </c>
      <c r="K24" s="2" t="s">
        <v>47</v>
      </c>
      <c r="L24" s="2" t="s">
        <v>33</v>
      </c>
      <c r="M24" s="2" t="s">
        <v>77</v>
      </c>
      <c r="N24" s="2" t="s">
        <v>54</v>
      </c>
    </row>
    <row r="25" spans="1:14" x14ac:dyDescent="0.3">
      <c r="A25" s="2" t="s">
        <v>14</v>
      </c>
      <c r="B25" s="3">
        <v>5</v>
      </c>
      <c r="C25" s="4" t="s">
        <v>59</v>
      </c>
      <c r="D25" s="2" t="s">
        <v>38</v>
      </c>
      <c r="E25" s="2" t="s">
        <v>23</v>
      </c>
      <c r="F25" s="5">
        <v>1</v>
      </c>
      <c r="G25" s="1">
        <v>7000000</v>
      </c>
      <c r="H25" s="2">
        <v>2</v>
      </c>
      <c r="I25" s="6">
        <v>1.3888888888888889E-3</v>
      </c>
      <c r="J25" s="2" t="s">
        <v>18</v>
      </c>
      <c r="K25" s="2" t="s">
        <v>56</v>
      </c>
      <c r="L25" s="2" t="s">
        <v>48</v>
      </c>
      <c r="M25" s="2" t="s">
        <v>76</v>
      </c>
      <c r="N25" s="2" t="s">
        <v>52</v>
      </c>
    </row>
    <row r="26" spans="1:14" x14ac:dyDescent="0.3">
      <c r="A26" s="2" t="s">
        <v>14</v>
      </c>
      <c r="B26" s="3">
        <v>12</v>
      </c>
      <c r="C26" s="4" t="s">
        <v>60</v>
      </c>
      <c r="D26" s="2" t="s">
        <v>28</v>
      </c>
      <c r="E26" s="2" t="s">
        <v>23</v>
      </c>
      <c r="F26" s="5">
        <v>2</v>
      </c>
      <c r="G26" s="1">
        <v>38000000</v>
      </c>
      <c r="H26" s="2">
        <v>3</v>
      </c>
      <c r="I26" s="6">
        <v>1.3888888888888889E-3</v>
      </c>
      <c r="J26" s="2" t="s">
        <v>46</v>
      </c>
      <c r="K26" s="2" t="s">
        <v>39</v>
      </c>
      <c r="L26" s="2" t="s">
        <v>40</v>
      </c>
      <c r="M26" s="2" t="s">
        <v>78</v>
      </c>
      <c r="N26" s="2" t="s">
        <v>53</v>
      </c>
    </row>
    <row r="27" spans="1:14" x14ac:dyDescent="0.3">
      <c r="A27" s="2" t="s">
        <v>14</v>
      </c>
      <c r="B27" s="3">
        <v>26</v>
      </c>
      <c r="C27" s="4" t="s">
        <v>22</v>
      </c>
      <c r="D27" s="2" t="s">
        <v>16</v>
      </c>
      <c r="E27" s="2" t="s">
        <v>42</v>
      </c>
      <c r="F27" s="5">
        <v>4</v>
      </c>
      <c r="G27" s="1">
        <v>20000000</v>
      </c>
      <c r="H27" s="2">
        <v>3</v>
      </c>
      <c r="I27" s="6">
        <v>1.3888888888888889E-3</v>
      </c>
      <c r="J27" s="2" t="s">
        <v>61</v>
      </c>
      <c r="K27" s="2" t="s">
        <v>19</v>
      </c>
      <c r="L27" s="2" t="s">
        <v>20</v>
      </c>
      <c r="M27" s="2" t="s">
        <v>66</v>
      </c>
      <c r="N27" s="2" t="s">
        <v>36</v>
      </c>
    </row>
    <row r="28" spans="1:14" x14ac:dyDescent="0.3">
      <c r="A28" s="2" t="s">
        <v>14</v>
      </c>
      <c r="B28" s="3">
        <v>25</v>
      </c>
      <c r="C28" s="4" t="s">
        <v>27</v>
      </c>
      <c r="D28" s="2" t="s">
        <v>16</v>
      </c>
      <c r="E28" s="2" t="s">
        <v>17</v>
      </c>
      <c r="F28" s="5">
        <v>3</v>
      </c>
      <c r="G28" s="1">
        <v>15000000</v>
      </c>
      <c r="H28" s="2">
        <v>3</v>
      </c>
      <c r="I28" s="6">
        <v>1.3888888888888889E-3</v>
      </c>
      <c r="J28" s="2" t="s">
        <v>18</v>
      </c>
      <c r="K28" s="2" t="s">
        <v>56</v>
      </c>
      <c r="L28" s="2" t="s">
        <v>30</v>
      </c>
      <c r="M28" s="2" t="s">
        <v>76</v>
      </c>
      <c r="N28" s="2" t="s">
        <v>52</v>
      </c>
    </row>
    <row r="29" spans="1:14" x14ac:dyDescent="0.3">
      <c r="A29" s="2" t="s">
        <v>14</v>
      </c>
      <c r="B29" s="3">
        <v>11</v>
      </c>
      <c r="C29" s="4" t="s">
        <v>27</v>
      </c>
      <c r="D29" s="2" t="s">
        <v>16</v>
      </c>
      <c r="E29" s="2" t="s">
        <v>42</v>
      </c>
      <c r="F29" s="5">
        <v>3</v>
      </c>
      <c r="G29" s="1">
        <v>12000000</v>
      </c>
      <c r="H29" s="2">
        <v>4</v>
      </c>
      <c r="I29" s="6">
        <v>1.3888888888888889E-3</v>
      </c>
      <c r="J29" s="2" t="s">
        <v>18</v>
      </c>
      <c r="K29" s="2" t="s">
        <v>24</v>
      </c>
      <c r="L29" s="2" t="s">
        <v>20</v>
      </c>
      <c r="M29" s="2" t="s">
        <v>66</v>
      </c>
      <c r="N29" s="2" t="s">
        <v>36</v>
      </c>
    </row>
    <row r="30" spans="1:14" x14ac:dyDescent="0.3">
      <c r="A30" s="2" t="s">
        <v>14</v>
      </c>
      <c r="B30" s="3">
        <v>18</v>
      </c>
      <c r="C30" s="4" t="s">
        <v>27</v>
      </c>
      <c r="D30" s="2" t="s">
        <v>16</v>
      </c>
      <c r="E30" s="2" t="s">
        <v>23</v>
      </c>
      <c r="F30" s="5">
        <v>4</v>
      </c>
      <c r="G30" s="1">
        <v>15000000</v>
      </c>
      <c r="H30" s="2">
        <v>2</v>
      </c>
      <c r="I30" s="6">
        <v>1.3888888888888889E-3</v>
      </c>
      <c r="J30" s="2" t="s">
        <v>18</v>
      </c>
      <c r="K30" s="2" t="s">
        <v>39</v>
      </c>
      <c r="L30" s="2" t="s">
        <v>48</v>
      </c>
      <c r="M30" s="2" t="s">
        <v>78</v>
      </c>
      <c r="N30" s="2" t="s">
        <v>62</v>
      </c>
    </row>
    <row r="31" spans="1:14" x14ac:dyDescent="0.3">
      <c r="A31" s="2" t="s">
        <v>14</v>
      </c>
      <c r="B31" s="3">
        <v>1</v>
      </c>
      <c r="C31" s="4" t="s">
        <v>37</v>
      </c>
      <c r="D31" s="2" t="s">
        <v>32</v>
      </c>
      <c r="E31" s="2" t="s">
        <v>42</v>
      </c>
      <c r="F31" s="5">
        <v>3</v>
      </c>
      <c r="G31" s="1">
        <v>15000000</v>
      </c>
      <c r="H31" s="2">
        <v>3</v>
      </c>
      <c r="I31" s="6">
        <v>1.3888888888888889E-3</v>
      </c>
      <c r="J31" s="2" t="s">
        <v>18</v>
      </c>
      <c r="K31" s="2" t="s">
        <v>39</v>
      </c>
      <c r="L31" s="2" t="s">
        <v>30</v>
      </c>
      <c r="M31" s="2" t="s">
        <v>76</v>
      </c>
      <c r="N31" s="2" t="s">
        <v>52</v>
      </c>
    </row>
    <row r="32" spans="1:14" x14ac:dyDescent="0.3">
      <c r="A32" s="2" t="s">
        <v>14</v>
      </c>
      <c r="B32" s="3">
        <v>1</v>
      </c>
      <c r="C32" s="4" t="s">
        <v>37</v>
      </c>
      <c r="D32" s="2" t="s">
        <v>16</v>
      </c>
      <c r="E32" s="2" t="s">
        <v>42</v>
      </c>
      <c r="F32" s="5">
        <v>2</v>
      </c>
      <c r="G32" s="1">
        <v>12000000</v>
      </c>
      <c r="H32" s="2">
        <v>6</v>
      </c>
      <c r="I32" s="6">
        <v>1.3888888888888889E-3</v>
      </c>
      <c r="J32" s="2" t="s">
        <v>18</v>
      </c>
      <c r="K32" s="2" t="s">
        <v>39</v>
      </c>
      <c r="L32" s="2" t="s">
        <v>30</v>
      </c>
      <c r="M32" s="2" t="s">
        <v>78</v>
      </c>
      <c r="N32" s="2" t="s">
        <v>41</v>
      </c>
    </row>
    <row r="33" spans="1:14" x14ac:dyDescent="0.3">
      <c r="A33" s="2" t="s">
        <v>14</v>
      </c>
      <c r="B33" s="3">
        <v>8</v>
      </c>
      <c r="C33" s="4" t="s">
        <v>37</v>
      </c>
      <c r="D33" s="2" t="s">
        <v>16</v>
      </c>
      <c r="E33" s="2" t="s">
        <v>42</v>
      </c>
      <c r="F33" s="5">
        <v>3</v>
      </c>
      <c r="G33" s="1">
        <v>15000000</v>
      </c>
      <c r="H33" s="2">
        <v>3</v>
      </c>
      <c r="I33" s="6">
        <v>1.3888888888888889E-3</v>
      </c>
      <c r="J33" s="2" t="s">
        <v>18</v>
      </c>
      <c r="K33" s="2" t="s">
        <v>35</v>
      </c>
      <c r="L33" s="2" t="s">
        <v>20</v>
      </c>
      <c r="M33" s="2" t="s">
        <v>78</v>
      </c>
      <c r="N33" s="2" t="s">
        <v>62</v>
      </c>
    </row>
    <row r="34" spans="1:14" x14ac:dyDescent="0.3">
      <c r="A34" s="2" t="s">
        <v>14</v>
      </c>
      <c r="B34" s="3">
        <v>20</v>
      </c>
      <c r="C34" s="4" t="s">
        <v>37</v>
      </c>
      <c r="D34" s="2" t="s">
        <v>28</v>
      </c>
      <c r="E34" s="2" t="s">
        <v>23</v>
      </c>
      <c r="F34" s="5">
        <v>5</v>
      </c>
      <c r="G34" s="1">
        <v>25000000</v>
      </c>
      <c r="H34" s="2">
        <v>4</v>
      </c>
      <c r="I34" s="6">
        <v>1.3888888888888889E-3</v>
      </c>
      <c r="J34" s="2" t="s">
        <v>18</v>
      </c>
      <c r="K34" s="2" t="s">
        <v>35</v>
      </c>
      <c r="L34" s="2" t="s">
        <v>30</v>
      </c>
      <c r="M34" s="2" t="s">
        <v>78</v>
      </c>
      <c r="N34" s="2" t="s">
        <v>63</v>
      </c>
    </row>
    <row r="35" spans="1:14" x14ac:dyDescent="0.3">
      <c r="A35" s="2" t="s">
        <v>14</v>
      </c>
      <c r="B35" s="3">
        <v>20</v>
      </c>
      <c r="C35" s="4" t="s">
        <v>37</v>
      </c>
      <c r="D35" s="2" t="s">
        <v>49</v>
      </c>
      <c r="E35" s="2" t="s">
        <v>17</v>
      </c>
      <c r="F35" s="5">
        <v>2</v>
      </c>
      <c r="G35" s="1">
        <v>12000000</v>
      </c>
      <c r="H35" s="2">
        <v>4</v>
      </c>
      <c r="I35" s="6">
        <v>1.3888888888888889E-3</v>
      </c>
      <c r="J35" s="2" t="s">
        <v>18</v>
      </c>
      <c r="K35" s="2" t="s">
        <v>64</v>
      </c>
      <c r="L35" s="2" t="s">
        <v>33</v>
      </c>
      <c r="M35" s="2" t="s">
        <v>77</v>
      </c>
      <c r="N35" s="2" t="s">
        <v>65</v>
      </c>
    </row>
    <row r="36" spans="1:14" x14ac:dyDescent="0.3">
      <c r="A36" s="2" t="s">
        <v>14</v>
      </c>
      <c r="B36" s="3">
        <v>1</v>
      </c>
      <c r="C36" s="4" t="s">
        <v>37</v>
      </c>
      <c r="D36" s="2" t="s">
        <v>28</v>
      </c>
      <c r="E36" s="2" t="s">
        <v>23</v>
      </c>
      <c r="F36" s="5">
        <v>3</v>
      </c>
      <c r="G36" s="1">
        <v>15000000</v>
      </c>
      <c r="H36" s="2">
        <v>5</v>
      </c>
      <c r="I36" s="6">
        <v>1.3888888888888889E-3</v>
      </c>
      <c r="J36" s="2" t="s">
        <v>18</v>
      </c>
      <c r="K36" s="2" t="s">
        <v>29</v>
      </c>
      <c r="L36" s="2" t="s">
        <v>40</v>
      </c>
      <c r="M36" s="2" t="s">
        <v>77</v>
      </c>
      <c r="N36" s="2" t="s">
        <v>54</v>
      </c>
    </row>
    <row r="37" spans="1:14" x14ac:dyDescent="0.3">
      <c r="A37" s="2" t="s">
        <v>14</v>
      </c>
      <c r="B37" s="3">
        <v>20</v>
      </c>
      <c r="C37" s="4" t="s">
        <v>37</v>
      </c>
      <c r="D37" s="2" t="s">
        <v>28</v>
      </c>
      <c r="E37" s="2" t="s">
        <v>42</v>
      </c>
      <c r="F37" s="5">
        <v>2</v>
      </c>
      <c r="G37" s="1">
        <v>10000000</v>
      </c>
      <c r="H37" s="2">
        <v>1</v>
      </c>
      <c r="I37" s="6">
        <v>1.3888888888888889E-3</v>
      </c>
      <c r="J37" s="2" t="s">
        <v>18</v>
      </c>
      <c r="K37" s="2" t="s">
        <v>64</v>
      </c>
      <c r="L37" s="2" t="s">
        <v>43</v>
      </c>
      <c r="M37" s="2" t="s">
        <v>78</v>
      </c>
      <c r="N37" s="2" t="s">
        <v>66</v>
      </c>
    </row>
    <row r="38" spans="1:14" x14ac:dyDescent="0.3">
      <c r="A38" s="2" t="s">
        <v>14</v>
      </c>
      <c r="B38" s="3">
        <v>1</v>
      </c>
      <c r="C38" s="4" t="s">
        <v>37</v>
      </c>
      <c r="D38" s="2" t="s">
        <v>28</v>
      </c>
      <c r="E38" s="2" t="s">
        <v>17</v>
      </c>
      <c r="F38" s="5">
        <v>3</v>
      </c>
      <c r="G38" s="1">
        <v>12000000</v>
      </c>
      <c r="H38" s="2">
        <v>2</v>
      </c>
      <c r="I38" s="6">
        <v>1.3888888888888889E-3</v>
      </c>
      <c r="J38" s="2" t="s">
        <v>18</v>
      </c>
      <c r="K38" s="2" t="s">
        <v>35</v>
      </c>
      <c r="L38" s="2" t="s">
        <v>25</v>
      </c>
      <c r="M38" s="2" t="s">
        <v>78</v>
      </c>
      <c r="N38" s="2" t="s">
        <v>53</v>
      </c>
    </row>
    <row r="39" spans="1:14" x14ac:dyDescent="0.3">
      <c r="A39" s="2" t="s">
        <v>14</v>
      </c>
      <c r="B39" s="3">
        <v>4</v>
      </c>
      <c r="C39" s="4" t="s">
        <v>37</v>
      </c>
      <c r="D39" s="2" t="s">
        <v>16</v>
      </c>
      <c r="E39" s="2" t="s">
        <v>23</v>
      </c>
      <c r="F39" s="5">
        <v>3</v>
      </c>
      <c r="G39" s="1">
        <v>11000000</v>
      </c>
      <c r="H39" s="2">
        <v>6</v>
      </c>
      <c r="I39" s="6">
        <v>1.3888888888888889E-3</v>
      </c>
      <c r="J39" s="2" t="s">
        <v>18</v>
      </c>
      <c r="K39" s="2" t="s">
        <v>39</v>
      </c>
      <c r="L39" s="2" t="s">
        <v>48</v>
      </c>
      <c r="M39" s="2" t="s">
        <v>76</v>
      </c>
      <c r="N39" s="2" t="s">
        <v>31</v>
      </c>
    </row>
    <row r="40" spans="1:14" x14ac:dyDescent="0.3">
      <c r="A40" s="2" t="s">
        <v>14</v>
      </c>
      <c r="B40" s="3">
        <v>3</v>
      </c>
      <c r="C40" s="4" t="s">
        <v>44</v>
      </c>
      <c r="D40" s="2" t="s">
        <v>32</v>
      </c>
      <c r="E40" s="2" t="s">
        <v>17</v>
      </c>
      <c r="F40" s="5">
        <v>1</v>
      </c>
      <c r="G40" s="1">
        <v>19000000</v>
      </c>
      <c r="H40" s="2">
        <v>3</v>
      </c>
      <c r="I40" s="6">
        <v>1.3888888888888889E-3</v>
      </c>
      <c r="J40" s="2" t="s">
        <v>46</v>
      </c>
      <c r="K40" s="2" t="s">
        <v>64</v>
      </c>
      <c r="L40" s="2" t="s">
        <v>48</v>
      </c>
      <c r="M40" s="2" t="s">
        <v>78</v>
      </c>
      <c r="N40" s="2" t="s">
        <v>53</v>
      </c>
    </row>
    <row r="41" spans="1:14" x14ac:dyDescent="0.3">
      <c r="A41" s="2" t="s">
        <v>14</v>
      </c>
      <c r="B41" s="3">
        <v>22</v>
      </c>
      <c r="C41" s="4" t="s">
        <v>44</v>
      </c>
      <c r="D41" s="2" t="s">
        <v>32</v>
      </c>
      <c r="E41" s="2" t="s">
        <v>17</v>
      </c>
      <c r="F41" s="5">
        <v>1</v>
      </c>
      <c r="G41" s="1">
        <v>19000000</v>
      </c>
      <c r="H41" s="2">
        <v>1</v>
      </c>
      <c r="I41" s="6">
        <v>1.3888888888888889E-3</v>
      </c>
      <c r="J41" s="2" t="s">
        <v>46</v>
      </c>
      <c r="K41" s="2" t="s">
        <v>24</v>
      </c>
      <c r="L41" s="2" t="s">
        <v>51</v>
      </c>
      <c r="M41" s="2" t="s">
        <v>66</v>
      </c>
      <c r="N41" s="2" t="s">
        <v>67</v>
      </c>
    </row>
    <row r="42" spans="1:14" x14ac:dyDescent="0.3">
      <c r="A42" s="2" t="s">
        <v>14</v>
      </c>
      <c r="B42" s="3">
        <v>13</v>
      </c>
      <c r="C42" s="4" t="s">
        <v>44</v>
      </c>
      <c r="D42" s="2" t="s">
        <v>49</v>
      </c>
      <c r="E42" s="2" t="s">
        <v>68</v>
      </c>
      <c r="F42" s="5">
        <v>4</v>
      </c>
      <c r="G42" s="1">
        <v>20000000</v>
      </c>
      <c r="H42" s="2">
        <v>3</v>
      </c>
      <c r="I42" s="6">
        <v>1.3888888888888889E-3</v>
      </c>
      <c r="J42" s="2" t="s">
        <v>61</v>
      </c>
      <c r="K42" s="2" t="s">
        <v>19</v>
      </c>
      <c r="L42" s="2" t="s">
        <v>30</v>
      </c>
      <c r="M42" s="2" t="s">
        <v>77</v>
      </c>
      <c r="N42" s="2" t="s">
        <v>54</v>
      </c>
    </row>
    <row r="43" spans="1:14" x14ac:dyDescent="0.3">
      <c r="A43" s="2" t="s">
        <v>14</v>
      </c>
      <c r="B43" s="3">
        <v>17</v>
      </c>
      <c r="C43" s="4" t="s">
        <v>44</v>
      </c>
      <c r="D43" s="2" t="s">
        <v>49</v>
      </c>
      <c r="E43" s="2" t="s">
        <v>42</v>
      </c>
      <c r="F43" s="5">
        <v>1</v>
      </c>
      <c r="G43" s="1">
        <v>7000000</v>
      </c>
      <c r="H43" s="2">
        <v>1</v>
      </c>
      <c r="I43" s="6">
        <v>1.3888888888888889E-3</v>
      </c>
      <c r="J43" s="2" t="s">
        <v>18</v>
      </c>
      <c r="K43" s="2" t="s">
        <v>19</v>
      </c>
      <c r="L43" s="2" t="s">
        <v>33</v>
      </c>
      <c r="M43" s="2" t="s">
        <v>78</v>
      </c>
      <c r="N43" s="2" t="s">
        <v>53</v>
      </c>
    </row>
    <row r="44" spans="1:14" x14ac:dyDescent="0.3">
      <c r="A44" s="2" t="s">
        <v>14</v>
      </c>
      <c r="B44" s="3">
        <v>30</v>
      </c>
      <c r="C44" s="4" t="s">
        <v>44</v>
      </c>
      <c r="D44" s="2" t="s">
        <v>49</v>
      </c>
      <c r="E44" s="2" t="s">
        <v>23</v>
      </c>
      <c r="F44" s="5">
        <v>2</v>
      </c>
      <c r="G44" s="1">
        <v>10000000</v>
      </c>
      <c r="H44" s="2">
        <v>1</v>
      </c>
      <c r="I44" s="6">
        <v>1.3888888888888889E-3</v>
      </c>
      <c r="J44" s="2" t="s">
        <v>18</v>
      </c>
      <c r="K44" s="2" t="s">
        <v>29</v>
      </c>
      <c r="L44" s="2" t="s">
        <v>33</v>
      </c>
      <c r="M44" s="2" t="s">
        <v>77</v>
      </c>
      <c r="N44" s="2" t="s">
        <v>65</v>
      </c>
    </row>
    <row r="45" spans="1:14" x14ac:dyDescent="0.3">
      <c r="A45" s="2" t="s">
        <v>14</v>
      </c>
      <c r="B45" s="3">
        <v>29</v>
      </c>
      <c r="C45" s="4" t="s">
        <v>44</v>
      </c>
      <c r="D45" s="2" t="s">
        <v>32</v>
      </c>
      <c r="E45" s="2" t="s">
        <v>42</v>
      </c>
      <c r="F45" s="5">
        <v>3</v>
      </c>
      <c r="G45" s="1">
        <v>15000000</v>
      </c>
      <c r="H45" s="2">
        <v>1</v>
      </c>
      <c r="I45" s="6">
        <v>1.3888888888888889E-3</v>
      </c>
      <c r="J45" s="2" t="s">
        <v>18</v>
      </c>
      <c r="K45" s="2" t="s">
        <v>19</v>
      </c>
      <c r="L45" s="2" t="s">
        <v>25</v>
      </c>
      <c r="M45" s="2" t="s">
        <v>76</v>
      </c>
      <c r="N45" s="2" t="s">
        <v>26</v>
      </c>
    </row>
    <row r="46" spans="1:14" x14ac:dyDescent="0.3">
      <c r="A46" s="2" t="s">
        <v>14</v>
      </c>
      <c r="B46" s="3">
        <v>6</v>
      </c>
      <c r="C46" s="4" t="s">
        <v>44</v>
      </c>
      <c r="D46" s="2" t="s">
        <v>49</v>
      </c>
      <c r="E46" s="2" t="s">
        <v>68</v>
      </c>
      <c r="F46" s="5">
        <v>1</v>
      </c>
      <c r="G46" s="1">
        <v>7000000</v>
      </c>
      <c r="H46" s="2">
        <v>3</v>
      </c>
      <c r="I46" s="6">
        <v>1.3888888888888889E-3</v>
      </c>
      <c r="J46" s="2" t="s">
        <v>18</v>
      </c>
      <c r="K46" s="2" t="s">
        <v>64</v>
      </c>
      <c r="L46" s="2" t="s">
        <v>51</v>
      </c>
      <c r="M46" s="2" t="s">
        <v>66</v>
      </c>
      <c r="N46" s="2" t="s">
        <v>67</v>
      </c>
    </row>
    <row r="47" spans="1:14" x14ac:dyDescent="0.3">
      <c r="A47" s="2" t="s">
        <v>14</v>
      </c>
      <c r="B47" s="3">
        <v>22</v>
      </c>
      <c r="C47" s="4" t="s">
        <v>69</v>
      </c>
      <c r="D47" s="2" t="s">
        <v>28</v>
      </c>
      <c r="E47" s="2" t="s">
        <v>17</v>
      </c>
      <c r="F47" s="5">
        <v>5</v>
      </c>
      <c r="G47" s="1">
        <v>25000000</v>
      </c>
      <c r="H47" s="2">
        <v>6</v>
      </c>
      <c r="I47" s="6">
        <v>1.3888888888888889E-3</v>
      </c>
      <c r="J47" s="2" t="s">
        <v>18</v>
      </c>
      <c r="K47" s="2" t="s">
        <v>56</v>
      </c>
      <c r="L47" s="2" t="s">
        <v>43</v>
      </c>
      <c r="M47" s="2" t="s">
        <v>66</v>
      </c>
      <c r="N47" s="2" t="s">
        <v>36</v>
      </c>
    </row>
    <row r="48" spans="1:14" x14ac:dyDescent="0.3">
      <c r="A48" s="2" t="s">
        <v>14</v>
      </c>
      <c r="B48" s="3">
        <v>3</v>
      </c>
      <c r="C48" s="4" t="s">
        <v>69</v>
      </c>
      <c r="D48" s="2" t="s">
        <v>32</v>
      </c>
      <c r="E48" s="2" t="s">
        <v>23</v>
      </c>
      <c r="F48" s="5">
        <v>5</v>
      </c>
      <c r="G48" s="1">
        <v>20000000</v>
      </c>
      <c r="H48" s="2">
        <v>4</v>
      </c>
      <c r="I48" s="6">
        <v>1.3888888888888889E-3</v>
      </c>
      <c r="J48" s="2" t="s">
        <v>18</v>
      </c>
      <c r="K48" s="2" t="s">
        <v>39</v>
      </c>
      <c r="L48" s="2" t="s">
        <v>51</v>
      </c>
      <c r="M48" s="2" t="s">
        <v>76</v>
      </c>
      <c r="N48" s="2" t="s">
        <v>52</v>
      </c>
    </row>
    <row r="49" spans="1:14" x14ac:dyDescent="0.3">
      <c r="A49" s="2" t="s">
        <v>14</v>
      </c>
      <c r="B49" s="3">
        <v>12</v>
      </c>
      <c r="C49" s="4" t="s">
        <v>55</v>
      </c>
      <c r="D49" s="2" t="s">
        <v>16</v>
      </c>
      <c r="E49" s="2" t="s">
        <v>42</v>
      </c>
      <c r="F49" s="5">
        <v>3</v>
      </c>
      <c r="G49" s="1">
        <v>11000000</v>
      </c>
      <c r="H49" s="2">
        <v>1</v>
      </c>
      <c r="I49" s="6">
        <v>1.3888888888888889E-3</v>
      </c>
      <c r="J49" s="2" t="s">
        <v>18</v>
      </c>
      <c r="K49" s="2" t="s">
        <v>56</v>
      </c>
      <c r="L49" s="2" t="s">
        <v>51</v>
      </c>
      <c r="M49" s="2" t="s">
        <v>76</v>
      </c>
      <c r="N49" s="2" t="s">
        <v>52</v>
      </c>
    </row>
    <row r="50" spans="1:14" x14ac:dyDescent="0.3">
      <c r="A50" s="2" t="s">
        <v>14</v>
      </c>
      <c r="B50" s="3">
        <v>11</v>
      </c>
      <c r="C50" s="4" t="s">
        <v>57</v>
      </c>
      <c r="D50" s="2" t="s">
        <v>28</v>
      </c>
      <c r="E50" s="2" t="s">
        <v>23</v>
      </c>
      <c r="F50" s="5">
        <v>5</v>
      </c>
      <c r="G50" s="1">
        <v>25000000</v>
      </c>
      <c r="H50" s="2">
        <v>1</v>
      </c>
      <c r="I50" s="6">
        <v>1.3888888888888889E-3</v>
      </c>
      <c r="J50" s="2" t="s">
        <v>18</v>
      </c>
      <c r="K50" s="2" t="s">
        <v>29</v>
      </c>
      <c r="L50" s="2" t="s">
        <v>43</v>
      </c>
      <c r="M50" s="2" t="s">
        <v>76</v>
      </c>
      <c r="N50" s="2" t="s">
        <v>31</v>
      </c>
    </row>
    <row r="51" spans="1:14" x14ac:dyDescent="0.3">
      <c r="A51" s="2" t="s">
        <v>14</v>
      </c>
      <c r="B51" s="3">
        <v>11</v>
      </c>
      <c r="C51" s="4" t="s">
        <v>58</v>
      </c>
      <c r="D51" s="2" t="s">
        <v>32</v>
      </c>
      <c r="E51" s="2" t="s">
        <v>42</v>
      </c>
      <c r="F51" s="5">
        <v>2</v>
      </c>
      <c r="G51" s="1">
        <v>38000000</v>
      </c>
      <c r="H51" s="2">
        <v>2</v>
      </c>
      <c r="I51" s="6">
        <v>1.3888888888888889E-3</v>
      </c>
      <c r="J51" s="2" t="s">
        <v>46</v>
      </c>
      <c r="K51" s="2" t="s">
        <v>56</v>
      </c>
      <c r="L51" s="2" t="s">
        <v>43</v>
      </c>
      <c r="M51" s="2" t="s">
        <v>78</v>
      </c>
      <c r="N51" s="2" t="s">
        <v>53</v>
      </c>
    </row>
    <row r="52" spans="1:14" x14ac:dyDescent="0.3">
      <c r="A52" s="2" t="s">
        <v>14</v>
      </c>
      <c r="B52" s="3">
        <v>3</v>
      </c>
      <c r="C52" s="4" t="s">
        <v>15</v>
      </c>
      <c r="D52" s="2" t="s">
        <v>38</v>
      </c>
      <c r="E52" s="2" t="s">
        <v>42</v>
      </c>
      <c r="F52" s="5">
        <v>4</v>
      </c>
      <c r="G52" s="1">
        <v>15000000</v>
      </c>
      <c r="H52" s="2">
        <v>1</v>
      </c>
      <c r="I52" s="6">
        <v>1.3888888888888889E-3</v>
      </c>
      <c r="J52" s="2" t="s">
        <v>18</v>
      </c>
      <c r="K52" s="2" t="s">
        <v>56</v>
      </c>
      <c r="L52" s="2" t="s">
        <v>20</v>
      </c>
      <c r="M52" s="2" t="s">
        <v>78</v>
      </c>
      <c r="N52" s="2" t="s">
        <v>41</v>
      </c>
    </row>
    <row r="53" spans="1:14" x14ac:dyDescent="0.3">
      <c r="A53" s="2" t="s">
        <v>14</v>
      </c>
      <c r="B53" s="3">
        <v>11</v>
      </c>
      <c r="C53" s="4" t="s">
        <v>59</v>
      </c>
      <c r="D53" s="2" t="s">
        <v>16</v>
      </c>
      <c r="E53" s="2" t="s">
        <v>23</v>
      </c>
      <c r="F53" s="5">
        <v>1</v>
      </c>
      <c r="G53" s="1">
        <v>19000000</v>
      </c>
      <c r="H53" s="2">
        <v>1</v>
      </c>
      <c r="I53" s="6">
        <v>1.3888888888888889E-3</v>
      </c>
      <c r="J53" s="2" t="s">
        <v>46</v>
      </c>
      <c r="K53" s="2" t="s">
        <v>19</v>
      </c>
      <c r="L53" s="2" t="s">
        <v>25</v>
      </c>
      <c r="M53" s="2" t="s">
        <v>77</v>
      </c>
      <c r="N53" s="2" t="s">
        <v>54</v>
      </c>
    </row>
    <row r="54" spans="1:14" x14ac:dyDescent="0.3">
      <c r="A54" s="2" t="s">
        <v>14</v>
      </c>
      <c r="B54" s="3">
        <v>10</v>
      </c>
      <c r="C54" s="4" t="s">
        <v>59</v>
      </c>
      <c r="D54" s="2" t="s">
        <v>38</v>
      </c>
      <c r="E54" s="2" t="s">
        <v>17</v>
      </c>
      <c r="F54" s="5">
        <v>4</v>
      </c>
      <c r="G54" s="1">
        <v>20000000</v>
      </c>
      <c r="H54" s="2">
        <v>3</v>
      </c>
      <c r="I54" s="6">
        <v>1.3888888888888889E-3</v>
      </c>
      <c r="J54" s="2" t="s">
        <v>18</v>
      </c>
      <c r="K54" s="2" t="s">
        <v>47</v>
      </c>
      <c r="L54" s="2" t="s">
        <v>33</v>
      </c>
      <c r="M54" s="2" t="s">
        <v>77</v>
      </c>
      <c r="N54" s="2" t="s">
        <v>54</v>
      </c>
    </row>
    <row r="55" spans="1:14" x14ac:dyDescent="0.3">
      <c r="A55" s="2" t="s">
        <v>14</v>
      </c>
      <c r="B55" s="3">
        <v>5</v>
      </c>
      <c r="C55" s="4" t="s">
        <v>59</v>
      </c>
      <c r="D55" s="2" t="s">
        <v>38</v>
      </c>
      <c r="E55" s="2" t="s">
        <v>23</v>
      </c>
      <c r="F55" s="5">
        <v>1</v>
      </c>
      <c r="G55" s="1">
        <v>7000000</v>
      </c>
      <c r="H55" s="2">
        <v>2</v>
      </c>
      <c r="I55" s="6">
        <v>1.3888888888888889E-3</v>
      </c>
      <c r="J55" s="2" t="s">
        <v>18</v>
      </c>
      <c r="K55" s="2" t="s">
        <v>56</v>
      </c>
      <c r="L55" s="2" t="s">
        <v>48</v>
      </c>
      <c r="M55" s="2" t="s">
        <v>76</v>
      </c>
      <c r="N55" s="2" t="s">
        <v>52</v>
      </c>
    </row>
    <row r="56" spans="1:14" x14ac:dyDescent="0.3">
      <c r="A56" s="2" t="s">
        <v>14</v>
      </c>
      <c r="B56" s="3">
        <v>12</v>
      </c>
      <c r="C56" s="4" t="s">
        <v>60</v>
      </c>
      <c r="D56" s="2" t="s">
        <v>28</v>
      </c>
      <c r="E56" s="2" t="s">
        <v>23</v>
      </c>
      <c r="F56" s="5">
        <v>2</v>
      </c>
      <c r="G56" s="1">
        <v>38000000</v>
      </c>
      <c r="H56" s="2">
        <v>3</v>
      </c>
      <c r="I56" s="6">
        <v>1.3888888888888889E-3</v>
      </c>
      <c r="J56" s="2" t="s">
        <v>46</v>
      </c>
      <c r="K56" s="2" t="s">
        <v>39</v>
      </c>
      <c r="L56" s="2" t="s">
        <v>40</v>
      </c>
      <c r="M56" s="2" t="s">
        <v>78</v>
      </c>
      <c r="N56" s="2" t="s">
        <v>53</v>
      </c>
    </row>
    <row r="57" spans="1:14" x14ac:dyDescent="0.3">
      <c r="A57" s="2" t="s">
        <v>14</v>
      </c>
      <c r="B57" s="3">
        <v>26</v>
      </c>
      <c r="C57" s="4" t="s">
        <v>22</v>
      </c>
      <c r="D57" s="2" t="s">
        <v>16</v>
      </c>
      <c r="E57" s="2" t="s">
        <v>42</v>
      </c>
      <c r="F57" s="5">
        <v>4</v>
      </c>
      <c r="G57" s="1">
        <v>20000000</v>
      </c>
      <c r="H57" s="2">
        <v>3</v>
      </c>
      <c r="I57" s="6">
        <v>1.3888888888888889E-3</v>
      </c>
      <c r="J57" s="2" t="s">
        <v>61</v>
      </c>
      <c r="K57" s="2" t="s">
        <v>19</v>
      </c>
      <c r="L57" s="2" t="s">
        <v>20</v>
      </c>
      <c r="M57" s="2" t="s">
        <v>66</v>
      </c>
      <c r="N57" s="2" t="s">
        <v>36</v>
      </c>
    </row>
    <row r="58" spans="1:14" x14ac:dyDescent="0.3">
      <c r="A58" s="2" t="s">
        <v>70</v>
      </c>
      <c r="B58" s="3">
        <v>11</v>
      </c>
      <c r="C58" s="4" t="s">
        <v>58</v>
      </c>
      <c r="D58" s="2" t="s">
        <v>32</v>
      </c>
      <c r="E58" s="2" t="s">
        <v>17</v>
      </c>
      <c r="F58" s="5">
        <v>0</v>
      </c>
      <c r="G58" s="1">
        <v>0</v>
      </c>
      <c r="H58" s="2">
        <v>1</v>
      </c>
      <c r="I58" s="6">
        <v>1.3888888888888889E-3</v>
      </c>
      <c r="J58" s="2"/>
      <c r="K58" s="2"/>
      <c r="L58" s="2" t="s">
        <v>30</v>
      </c>
      <c r="M58" s="2" t="s">
        <v>78</v>
      </c>
      <c r="N58" s="2" t="s">
        <v>62</v>
      </c>
    </row>
    <row r="59" spans="1:14" x14ac:dyDescent="0.3">
      <c r="A59" s="2" t="s">
        <v>70</v>
      </c>
      <c r="B59" s="3">
        <v>14</v>
      </c>
      <c r="C59" s="4" t="s">
        <v>15</v>
      </c>
      <c r="D59" s="2" t="s">
        <v>16</v>
      </c>
      <c r="E59" s="2" t="s">
        <v>23</v>
      </c>
      <c r="F59" s="5">
        <v>0</v>
      </c>
      <c r="G59" s="1">
        <v>0</v>
      </c>
      <c r="H59" s="2">
        <v>5</v>
      </c>
      <c r="I59" s="6">
        <v>1.3888888888888889E-3</v>
      </c>
      <c r="J59" s="2"/>
      <c r="K59" s="2"/>
      <c r="L59" s="2" t="s">
        <v>33</v>
      </c>
      <c r="M59" s="2" t="s">
        <v>76</v>
      </c>
      <c r="N59" s="2" t="s">
        <v>52</v>
      </c>
    </row>
    <row r="60" spans="1:14" x14ac:dyDescent="0.3">
      <c r="A60" s="2" t="s">
        <v>70</v>
      </c>
      <c r="B60" s="3">
        <v>1</v>
      </c>
      <c r="C60" s="4" t="s">
        <v>59</v>
      </c>
      <c r="D60" s="2" t="s">
        <v>16</v>
      </c>
      <c r="E60" s="2" t="s">
        <v>23</v>
      </c>
      <c r="F60" s="5">
        <v>0</v>
      </c>
      <c r="G60" s="1">
        <v>0</v>
      </c>
      <c r="H60" s="2">
        <v>1</v>
      </c>
      <c r="I60" s="6">
        <v>1.3888888888888889E-3</v>
      </c>
      <c r="J60" s="2"/>
      <c r="K60" s="2"/>
      <c r="L60" s="2" t="s">
        <v>20</v>
      </c>
      <c r="M60" s="2" t="s">
        <v>77</v>
      </c>
      <c r="N60" s="2" t="s">
        <v>54</v>
      </c>
    </row>
    <row r="61" spans="1:14" x14ac:dyDescent="0.3">
      <c r="A61" s="2" t="s">
        <v>70</v>
      </c>
      <c r="B61" s="3">
        <v>12</v>
      </c>
      <c r="C61" s="4" t="s">
        <v>60</v>
      </c>
      <c r="D61" s="2" t="s">
        <v>28</v>
      </c>
      <c r="E61" s="2" t="s">
        <v>17</v>
      </c>
      <c r="F61" s="5">
        <v>0</v>
      </c>
      <c r="G61" s="1">
        <v>0</v>
      </c>
      <c r="H61" s="2">
        <v>2</v>
      </c>
      <c r="I61" s="6">
        <v>1.3888888888888889E-3</v>
      </c>
      <c r="J61" s="2"/>
      <c r="K61" s="2"/>
      <c r="L61" s="2" t="s">
        <v>33</v>
      </c>
      <c r="M61" s="2" t="s">
        <v>76</v>
      </c>
      <c r="N61" s="2" t="s">
        <v>26</v>
      </c>
    </row>
    <row r="62" spans="1:14" x14ac:dyDescent="0.3">
      <c r="A62" s="2" t="s">
        <v>70</v>
      </c>
      <c r="B62" s="3">
        <v>7</v>
      </c>
      <c r="C62" s="4" t="s">
        <v>37</v>
      </c>
      <c r="D62" s="2" t="s">
        <v>49</v>
      </c>
      <c r="E62" s="2" t="s">
        <v>23</v>
      </c>
      <c r="F62" s="5">
        <v>0</v>
      </c>
      <c r="G62" s="1">
        <v>0</v>
      </c>
      <c r="H62" s="2">
        <v>6</v>
      </c>
      <c r="I62" s="6">
        <v>1.3888888888888889E-3</v>
      </c>
      <c r="J62" s="2"/>
      <c r="K62" s="2"/>
      <c r="L62" s="2" t="s">
        <v>43</v>
      </c>
      <c r="M62" s="2" t="s">
        <v>66</v>
      </c>
      <c r="N62" s="2" t="s">
        <v>67</v>
      </c>
    </row>
    <row r="63" spans="1:14" x14ac:dyDescent="0.3">
      <c r="A63" s="2" t="s">
        <v>70</v>
      </c>
      <c r="B63" s="3">
        <v>5</v>
      </c>
      <c r="C63" s="4" t="s">
        <v>37</v>
      </c>
      <c r="D63" s="2" t="s">
        <v>32</v>
      </c>
      <c r="E63" s="2" t="s">
        <v>42</v>
      </c>
      <c r="F63" s="5">
        <v>0</v>
      </c>
      <c r="G63" s="1">
        <v>0</v>
      </c>
      <c r="H63" s="2">
        <v>4</v>
      </c>
      <c r="I63" s="6">
        <v>1.3888888888888889E-3</v>
      </c>
      <c r="J63" s="2"/>
      <c r="K63" s="2"/>
      <c r="L63" s="2" t="s">
        <v>51</v>
      </c>
      <c r="M63" s="2" t="s">
        <v>76</v>
      </c>
      <c r="N63" s="2" t="s">
        <v>26</v>
      </c>
    </row>
    <row r="64" spans="1:14" x14ac:dyDescent="0.3">
      <c r="A64" s="2" t="s">
        <v>70</v>
      </c>
      <c r="B64" s="3">
        <v>23</v>
      </c>
      <c r="C64" s="4" t="s">
        <v>44</v>
      </c>
      <c r="D64" s="2" t="s">
        <v>16</v>
      </c>
      <c r="E64" s="2" t="s">
        <v>23</v>
      </c>
      <c r="F64" s="5">
        <v>0</v>
      </c>
      <c r="G64" s="1">
        <v>0</v>
      </c>
      <c r="H64" s="2">
        <v>3</v>
      </c>
      <c r="I64" s="6">
        <v>1.3888888888888889E-3</v>
      </c>
      <c r="J64" s="2"/>
      <c r="K64" s="2"/>
      <c r="L64" s="2" t="s">
        <v>20</v>
      </c>
      <c r="M64" s="2" t="s">
        <v>66</v>
      </c>
      <c r="N64" s="2" t="s">
        <v>36</v>
      </c>
    </row>
    <row r="65" spans="1:14" x14ac:dyDescent="0.3">
      <c r="A65" s="2" t="s">
        <v>70</v>
      </c>
      <c r="B65" s="3">
        <v>19</v>
      </c>
      <c r="C65" s="4" t="s">
        <v>44</v>
      </c>
      <c r="D65" s="2" t="s">
        <v>32</v>
      </c>
      <c r="E65" s="2" t="s">
        <v>23</v>
      </c>
      <c r="F65" s="5">
        <v>0</v>
      </c>
      <c r="G65" s="1">
        <v>0</v>
      </c>
      <c r="H65" s="2">
        <v>1</v>
      </c>
      <c r="I65" s="6">
        <v>1.3888888888888889E-3</v>
      </c>
      <c r="J65" s="2"/>
      <c r="K65" s="2"/>
      <c r="L65" s="2" t="s">
        <v>48</v>
      </c>
      <c r="M65" s="2" t="s">
        <v>78</v>
      </c>
      <c r="N65" s="2" t="s">
        <v>63</v>
      </c>
    </row>
    <row r="66" spans="1:14" x14ac:dyDescent="0.3">
      <c r="A66" s="2" t="s">
        <v>70</v>
      </c>
      <c r="B66" s="3">
        <v>10</v>
      </c>
      <c r="C66" s="4" t="s">
        <v>69</v>
      </c>
      <c r="D66" s="2" t="s">
        <v>49</v>
      </c>
      <c r="E66" s="2" t="s">
        <v>17</v>
      </c>
      <c r="F66" s="5">
        <v>0</v>
      </c>
      <c r="G66" s="1">
        <v>0</v>
      </c>
      <c r="H66" s="2">
        <v>1</v>
      </c>
      <c r="I66" s="6">
        <v>1.3888888888888889E-3</v>
      </c>
      <c r="J66" s="2"/>
      <c r="K66" s="2"/>
      <c r="L66" s="2" t="s">
        <v>48</v>
      </c>
      <c r="M66" s="2" t="s">
        <v>78</v>
      </c>
      <c r="N66" s="2" t="s">
        <v>41</v>
      </c>
    </row>
    <row r="67" spans="1:14" x14ac:dyDescent="0.3">
      <c r="A67" s="2" t="s">
        <v>70</v>
      </c>
      <c r="B67" s="3">
        <v>11</v>
      </c>
      <c r="C67" s="4" t="s">
        <v>58</v>
      </c>
      <c r="D67" s="2" t="s">
        <v>32</v>
      </c>
      <c r="E67" s="2" t="s">
        <v>17</v>
      </c>
      <c r="F67" s="5">
        <v>0</v>
      </c>
      <c r="G67" s="1">
        <v>0</v>
      </c>
      <c r="H67" s="2">
        <v>1</v>
      </c>
      <c r="I67" s="6">
        <v>1.3888888888888889E-3</v>
      </c>
      <c r="J67" s="2"/>
      <c r="K67" s="2"/>
      <c r="L67" s="2" t="s">
        <v>30</v>
      </c>
      <c r="M67" s="2" t="s">
        <v>78</v>
      </c>
      <c r="N67" s="2" t="s">
        <v>62</v>
      </c>
    </row>
    <row r="68" spans="1:14" x14ac:dyDescent="0.3">
      <c r="A68" s="2" t="s">
        <v>70</v>
      </c>
      <c r="B68" s="3">
        <v>14</v>
      </c>
      <c r="C68" s="4" t="s">
        <v>15</v>
      </c>
      <c r="D68" s="2" t="s">
        <v>16</v>
      </c>
      <c r="E68" s="2" t="s">
        <v>23</v>
      </c>
      <c r="F68" s="5">
        <v>0</v>
      </c>
      <c r="G68" s="1">
        <v>0</v>
      </c>
      <c r="H68" s="2">
        <v>5</v>
      </c>
      <c r="I68" s="6">
        <v>1.3888888888888889E-3</v>
      </c>
      <c r="J68" s="2"/>
      <c r="K68" s="2"/>
      <c r="L68" s="2" t="s">
        <v>33</v>
      </c>
      <c r="M68" s="2" t="s">
        <v>76</v>
      </c>
      <c r="N68" s="2" t="s">
        <v>52</v>
      </c>
    </row>
    <row r="69" spans="1:14" x14ac:dyDescent="0.3">
      <c r="A69" s="2" t="s">
        <v>70</v>
      </c>
      <c r="B69" s="3">
        <v>1</v>
      </c>
      <c r="C69" s="4" t="s">
        <v>59</v>
      </c>
      <c r="D69" s="2" t="s">
        <v>16</v>
      </c>
      <c r="E69" s="2" t="s">
        <v>23</v>
      </c>
      <c r="F69" s="5">
        <v>0</v>
      </c>
      <c r="G69" s="1">
        <v>0</v>
      </c>
      <c r="H69" s="2">
        <v>1</v>
      </c>
      <c r="I69" s="6">
        <v>1.3888888888888889E-3</v>
      </c>
      <c r="J69" s="2"/>
      <c r="K69" s="2"/>
      <c r="L69" s="2" t="s">
        <v>20</v>
      </c>
      <c r="M69" s="2" t="s">
        <v>77</v>
      </c>
      <c r="N69" s="2" t="s">
        <v>54</v>
      </c>
    </row>
    <row r="70" spans="1:14" x14ac:dyDescent="0.3">
      <c r="A70" s="2" t="s">
        <v>70</v>
      </c>
      <c r="B70" s="3">
        <v>12</v>
      </c>
      <c r="C70" s="4" t="s">
        <v>60</v>
      </c>
      <c r="D70" s="2" t="s">
        <v>28</v>
      </c>
      <c r="E70" s="2" t="s">
        <v>17</v>
      </c>
      <c r="F70" s="5">
        <v>0</v>
      </c>
      <c r="G70" s="1">
        <v>0</v>
      </c>
      <c r="H70" s="2">
        <v>2</v>
      </c>
      <c r="I70" s="6">
        <v>1.3888888888888889E-3</v>
      </c>
      <c r="J70" s="2"/>
      <c r="K70" s="2"/>
      <c r="L70" s="2" t="s">
        <v>33</v>
      </c>
      <c r="M70" s="2" t="s">
        <v>76</v>
      </c>
      <c r="N70" s="2" t="s">
        <v>26</v>
      </c>
    </row>
    <row r="71" spans="1:14" x14ac:dyDescent="0.3">
      <c r="A71" s="2" t="s">
        <v>14</v>
      </c>
      <c r="B71" s="3">
        <v>1</v>
      </c>
      <c r="C71" s="4" t="s">
        <v>59</v>
      </c>
      <c r="D71" s="2" t="s">
        <v>32</v>
      </c>
      <c r="E71" s="2" t="s">
        <v>23</v>
      </c>
      <c r="F71" s="5">
        <v>5</v>
      </c>
      <c r="G71" s="1">
        <v>25000000</v>
      </c>
      <c r="H71" s="2">
        <v>1</v>
      </c>
      <c r="I71" s="6">
        <v>1.3888888888888889E-3</v>
      </c>
      <c r="J71" s="2" t="s">
        <v>18</v>
      </c>
      <c r="K71" s="2" t="s">
        <v>47</v>
      </c>
      <c r="L71" s="2" t="s">
        <v>30</v>
      </c>
      <c r="M71" s="2" t="s">
        <v>66</v>
      </c>
      <c r="N71" s="2" t="s">
        <v>67</v>
      </c>
    </row>
    <row r="72" spans="1:14" x14ac:dyDescent="0.3">
      <c r="A72" s="2" t="s">
        <v>14</v>
      </c>
      <c r="B72" s="3">
        <v>12</v>
      </c>
      <c r="C72" s="4" t="s">
        <v>60</v>
      </c>
      <c r="D72" s="2" t="s">
        <v>16</v>
      </c>
      <c r="E72" s="2" t="s">
        <v>42</v>
      </c>
      <c r="F72" s="5">
        <v>2</v>
      </c>
      <c r="G72" s="1">
        <v>12000000</v>
      </c>
      <c r="H72" s="2">
        <v>2</v>
      </c>
      <c r="I72" s="6">
        <v>1.3888888888888889E-3</v>
      </c>
      <c r="J72" s="2" t="s">
        <v>18</v>
      </c>
      <c r="K72" s="2" t="s">
        <v>19</v>
      </c>
      <c r="L72" s="2" t="s">
        <v>30</v>
      </c>
      <c r="M72" s="2" t="s">
        <v>76</v>
      </c>
      <c r="N72" s="2" t="s">
        <v>26</v>
      </c>
    </row>
    <row r="73" spans="1:14" x14ac:dyDescent="0.3">
      <c r="A73" s="2" t="s">
        <v>14</v>
      </c>
      <c r="B73" s="3">
        <v>12</v>
      </c>
      <c r="C73" s="4" t="s">
        <v>60</v>
      </c>
      <c r="D73" s="2" t="s">
        <v>16</v>
      </c>
      <c r="E73" s="2" t="s">
        <v>42</v>
      </c>
      <c r="F73" s="5">
        <v>3</v>
      </c>
      <c r="G73" s="1">
        <v>15000000</v>
      </c>
      <c r="H73" s="2">
        <v>5</v>
      </c>
      <c r="I73" s="6">
        <v>1.3888888888888889E-3</v>
      </c>
      <c r="J73" s="2" t="s">
        <v>18</v>
      </c>
      <c r="K73" s="2" t="s">
        <v>39</v>
      </c>
      <c r="L73" s="2" t="s">
        <v>48</v>
      </c>
      <c r="M73" s="2" t="s">
        <v>78</v>
      </c>
      <c r="N73" s="2" t="s">
        <v>63</v>
      </c>
    </row>
    <row r="74" spans="1:14" x14ac:dyDescent="0.3">
      <c r="A74" s="2" t="s">
        <v>14</v>
      </c>
      <c r="B74" s="3">
        <v>10</v>
      </c>
      <c r="C74" s="4" t="s">
        <v>22</v>
      </c>
      <c r="D74" s="2" t="s">
        <v>16</v>
      </c>
      <c r="E74" s="2" t="s">
        <v>68</v>
      </c>
      <c r="F74" s="5">
        <v>2</v>
      </c>
      <c r="G74" s="1">
        <v>12000000</v>
      </c>
      <c r="H74" s="2">
        <v>4</v>
      </c>
      <c r="I74" s="6">
        <v>1.3888888888888889E-3</v>
      </c>
      <c r="J74" s="2" t="s">
        <v>18</v>
      </c>
      <c r="K74" s="2" t="s">
        <v>50</v>
      </c>
      <c r="L74" s="2" t="s">
        <v>33</v>
      </c>
      <c r="M74" s="2" t="s">
        <v>76</v>
      </c>
      <c r="N74" s="2" t="s">
        <v>31</v>
      </c>
    </row>
    <row r="75" spans="1:14" x14ac:dyDescent="0.3">
      <c r="A75" s="2" t="s">
        <v>14</v>
      </c>
      <c r="B75" s="3">
        <v>23</v>
      </c>
      <c r="C75" s="4" t="s">
        <v>27</v>
      </c>
      <c r="D75" s="2" t="s">
        <v>16</v>
      </c>
      <c r="E75" s="2" t="s">
        <v>42</v>
      </c>
      <c r="F75" s="5">
        <v>5</v>
      </c>
      <c r="G75" s="1">
        <v>20000000</v>
      </c>
      <c r="H75" s="2">
        <v>1</v>
      </c>
      <c r="I75" s="6">
        <v>1.3888888888888889E-3</v>
      </c>
      <c r="J75" s="2" t="s">
        <v>18</v>
      </c>
      <c r="K75" s="2" t="s">
        <v>47</v>
      </c>
      <c r="L75" s="2" t="s">
        <v>30</v>
      </c>
      <c r="M75" s="2" t="s">
        <v>77</v>
      </c>
      <c r="N75" s="2" t="s">
        <v>65</v>
      </c>
    </row>
    <row r="76" spans="1:14" x14ac:dyDescent="0.3">
      <c r="A76" s="2" t="s">
        <v>14</v>
      </c>
      <c r="B76" s="3">
        <v>8</v>
      </c>
      <c r="C76" s="4" t="s">
        <v>27</v>
      </c>
      <c r="D76" s="2" t="s">
        <v>32</v>
      </c>
      <c r="E76" s="2" t="s">
        <v>17</v>
      </c>
      <c r="F76" s="5">
        <v>5</v>
      </c>
      <c r="G76" s="1">
        <v>21000000</v>
      </c>
      <c r="H76" s="2">
        <v>4</v>
      </c>
      <c r="I76" s="6">
        <v>1.3888888888888889E-3</v>
      </c>
      <c r="J76" s="2" t="s">
        <v>18</v>
      </c>
      <c r="K76" s="2" t="s">
        <v>19</v>
      </c>
      <c r="L76" s="2" t="s">
        <v>43</v>
      </c>
      <c r="M76" s="2" t="s">
        <v>78</v>
      </c>
      <c r="N76" s="2" t="s">
        <v>66</v>
      </c>
    </row>
    <row r="77" spans="1:14" x14ac:dyDescent="0.3">
      <c r="A77" s="2" t="s">
        <v>14</v>
      </c>
      <c r="B77" s="3">
        <v>22</v>
      </c>
      <c r="C77" s="4" t="s">
        <v>27</v>
      </c>
      <c r="D77" s="2" t="s">
        <v>16</v>
      </c>
      <c r="E77" s="2" t="s">
        <v>42</v>
      </c>
      <c r="F77" s="5">
        <v>4</v>
      </c>
      <c r="G77" s="1">
        <v>15000000</v>
      </c>
      <c r="H77" s="2">
        <v>3</v>
      </c>
      <c r="I77" s="6">
        <v>1.3888888888888889E-3</v>
      </c>
      <c r="J77" s="2" t="s">
        <v>18</v>
      </c>
      <c r="K77" s="2" t="s">
        <v>39</v>
      </c>
      <c r="L77" s="2" t="s">
        <v>43</v>
      </c>
      <c r="M77" s="2" t="s">
        <v>76</v>
      </c>
      <c r="N77" s="2" t="s">
        <v>31</v>
      </c>
    </row>
    <row r="78" spans="1:14" x14ac:dyDescent="0.3">
      <c r="A78" s="2" t="s">
        <v>14</v>
      </c>
      <c r="B78" s="3">
        <v>30</v>
      </c>
      <c r="C78" s="4" t="s">
        <v>27</v>
      </c>
      <c r="D78" s="2" t="s">
        <v>16</v>
      </c>
      <c r="E78" s="2" t="s">
        <v>45</v>
      </c>
      <c r="F78" s="5">
        <v>2</v>
      </c>
      <c r="G78" s="1">
        <v>12000000</v>
      </c>
      <c r="H78" s="2">
        <v>3</v>
      </c>
      <c r="I78" s="6">
        <v>1.3888888888888889E-3</v>
      </c>
      <c r="J78" s="2" t="s">
        <v>18</v>
      </c>
      <c r="K78" s="2" t="s">
        <v>47</v>
      </c>
      <c r="L78" s="2" t="s">
        <v>48</v>
      </c>
      <c r="M78" s="2" t="s">
        <v>78</v>
      </c>
      <c r="N78" s="2" t="s">
        <v>63</v>
      </c>
    </row>
    <row r="79" spans="1:14" x14ac:dyDescent="0.3">
      <c r="A79" s="2" t="s">
        <v>14</v>
      </c>
      <c r="B79" s="3">
        <v>8</v>
      </c>
      <c r="C79" s="4" t="s">
        <v>37</v>
      </c>
      <c r="D79" s="2" t="s">
        <v>16</v>
      </c>
      <c r="E79" s="2" t="s">
        <v>23</v>
      </c>
      <c r="F79" s="5">
        <v>4</v>
      </c>
      <c r="G79" s="1">
        <v>20000000</v>
      </c>
      <c r="H79" s="2">
        <v>3</v>
      </c>
      <c r="I79" s="6">
        <v>1.3888888888888889E-3</v>
      </c>
      <c r="J79" s="2" t="s">
        <v>18</v>
      </c>
      <c r="K79" s="2" t="s">
        <v>64</v>
      </c>
      <c r="L79" s="2" t="s">
        <v>43</v>
      </c>
      <c r="M79" s="2" t="s">
        <v>77</v>
      </c>
      <c r="N79" s="2" t="s">
        <v>54</v>
      </c>
    </row>
    <row r="80" spans="1:14" x14ac:dyDescent="0.3">
      <c r="A80" s="2" t="s">
        <v>14</v>
      </c>
      <c r="B80" s="3">
        <v>30</v>
      </c>
      <c r="C80" s="4" t="s">
        <v>37</v>
      </c>
      <c r="D80" s="2" t="s">
        <v>38</v>
      </c>
      <c r="E80" s="2" t="s">
        <v>42</v>
      </c>
      <c r="F80" s="5">
        <v>3</v>
      </c>
      <c r="G80" s="1">
        <v>15000000</v>
      </c>
      <c r="H80" s="2">
        <v>1</v>
      </c>
      <c r="I80" s="6">
        <v>1.3888888888888889E-3</v>
      </c>
      <c r="J80" s="2" t="s">
        <v>18</v>
      </c>
      <c r="K80" s="2" t="s">
        <v>19</v>
      </c>
      <c r="L80" s="2" t="s">
        <v>25</v>
      </c>
      <c r="M80" s="2" t="s">
        <v>76</v>
      </c>
      <c r="N80" s="2" t="s">
        <v>26</v>
      </c>
    </row>
    <row r="81" spans="1:14" x14ac:dyDescent="0.3">
      <c r="A81" s="2" t="s">
        <v>14</v>
      </c>
      <c r="B81" s="3">
        <v>9</v>
      </c>
      <c r="C81" s="4" t="s">
        <v>37</v>
      </c>
      <c r="D81" s="2" t="s">
        <v>28</v>
      </c>
      <c r="E81" s="2" t="s">
        <v>42</v>
      </c>
      <c r="F81" s="5">
        <v>3</v>
      </c>
      <c r="G81" s="1">
        <v>15000000</v>
      </c>
      <c r="H81" s="2">
        <v>3</v>
      </c>
      <c r="I81" s="6">
        <v>1.3888888888888889E-3</v>
      </c>
      <c r="J81" s="2" t="s">
        <v>18</v>
      </c>
      <c r="K81" s="2" t="s">
        <v>39</v>
      </c>
      <c r="L81" s="2" t="s">
        <v>51</v>
      </c>
      <c r="M81" s="2" t="s">
        <v>76</v>
      </c>
      <c r="N81" s="2" t="s">
        <v>71</v>
      </c>
    </row>
    <row r="82" spans="1:14" x14ac:dyDescent="0.3">
      <c r="A82" s="2" t="s">
        <v>14</v>
      </c>
      <c r="B82" s="3">
        <v>11</v>
      </c>
      <c r="C82" s="4" t="s">
        <v>37</v>
      </c>
      <c r="D82" s="2" t="s">
        <v>38</v>
      </c>
      <c r="E82" s="2" t="s">
        <v>42</v>
      </c>
      <c r="F82" s="5">
        <v>3</v>
      </c>
      <c r="G82" s="1">
        <v>15000000</v>
      </c>
      <c r="H82" s="2">
        <v>2</v>
      </c>
      <c r="I82" s="6">
        <v>1.3888888888888889E-3</v>
      </c>
      <c r="J82" s="2" t="s">
        <v>18</v>
      </c>
      <c r="K82" s="2" t="s">
        <v>56</v>
      </c>
      <c r="L82" s="2" t="s">
        <v>51</v>
      </c>
      <c r="M82" s="2" t="s">
        <v>76</v>
      </c>
      <c r="N82" s="2" t="s">
        <v>52</v>
      </c>
    </row>
    <row r="83" spans="1:14" x14ac:dyDescent="0.3">
      <c r="A83" s="2" t="s">
        <v>14</v>
      </c>
      <c r="B83" s="3">
        <v>26</v>
      </c>
      <c r="C83" s="4" t="s">
        <v>37</v>
      </c>
      <c r="D83" s="2" t="s">
        <v>16</v>
      </c>
      <c r="E83" s="2" t="s">
        <v>23</v>
      </c>
      <c r="F83" s="5">
        <v>1</v>
      </c>
      <c r="G83" s="1">
        <v>7000000</v>
      </c>
      <c r="H83" s="2">
        <v>2</v>
      </c>
      <c r="I83" s="6">
        <v>1.3888888888888889E-3</v>
      </c>
      <c r="J83" s="2" t="s">
        <v>18</v>
      </c>
      <c r="K83" s="2" t="s">
        <v>64</v>
      </c>
      <c r="L83" s="2" t="s">
        <v>51</v>
      </c>
      <c r="M83" s="2" t="s">
        <v>78</v>
      </c>
      <c r="N83" s="2" t="s">
        <v>62</v>
      </c>
    </row>
    <row r="84" spans="1:14" x14ac:dyDescent="0.3">
      <c r="A84" s="2" t="s">
        <v>14</v>
      </c>
      <c r="B84" s="3">
        <v>22</v>
      </c>
      <c r="C84" s="4" t="s">
        <v>44</v>
      </c>
      <c r="D84" s="2" t="s">
        <v>32</v>
      </c>
      <c r="E84" s="2" t="s">
        <v>23</v>
      </c>
      <c r="F84" s="5">
        <v>2</v>
      </c>
      <c r="G84" s="1">
        <v>38000000</v>
      </c>
      <c r="H84" s="2">
        <v>4</v>
      </c>
      <c r="I84" s="6">
        <v>1.3888888888888889E-3</v>
      </c>
      <c r="J84" s="2" t="s">
        <v>46</v>
      </c>
      <c r="K84" s="2" t="s">
        <v>56</v>
      </c>
      <c r="L84" s="2" t="s">
        <v>33</v>
      </c>
      <c r="M84" s="2" t="s">
        <v>66</v>
      </c>
      <c r="N84" s="2" t="s">
        <v>67</v>
      </c>
    </row>
    <row r="85" spans="1:14" x14ac:dyDescent="0.3">
      <c r="A85" s="2" t="s">
        <v>14</v>
      </c>
      <c r="B85" s="3">
        <v>3</v>
      </c>
      <c r="C85" s="4" t="s">
        <v>44</v>
      </c>
      <c r="D85" s="2" t="s">
        <v>49</v>
      </c>
      <c r="E85" s="2" t="s">
        <v>23</v>
      </c>
      <c r="F85" s="5">
        <v>1</v>
      </c>
      <c r="G85" s="1">
        <v>19000000</v>
      </c>
      <c r="H85" s="2">
        <v>1</v>
      </c>
      <c r="I85" s="6">
        <v>1.3888888888888889E-3</v>
      </c>
      <c r="J85" s="2" t="s">
        <v>46</v>
      </c>
      <c r="K85" s="2" t="s">
        <v>39</v>
      </c>
      <c r="L85" s="2" t="s">
        <v>20</v>
      </c>
      <c r="M85" s="2" t="s">
        <v>76</v>
      </c>
      <c r="N85" s="2" t="s">
        <v>31</v>
      </c>
    </row>
    <row r="86" spans="1:14" x14ac:dyDescent="0.3">
      <c r="A86" s="2" t="s">
        <v>14</v>
      </c>
      <c r="B86" s="3">
        <v>8</v>
      </c>
      <c r="C86" s="4" t="s">
        <v>44</v>
      </c>
      <c r="D86" s="2" t="s">
        <v>49</v>
      </c>
      <c r="E86" s="2" t="s">
        <v>17</v>
      </c>
      <c r="F86" s="5">
        <v>2</v>
      </c>
      <c r="G86" s="1">
        <v>38000000</v>
      </c>
      <c r="H86" s="2">
        <v>1</v>
      </c>
      <c r="I86" s="6">
        <v>1.3888888888888889E-3</v>
      </c>
      <c r="J86" s="2" t="s">
        <v>46</v>
      </c>
      <c r="K86" s="2" t="s">
        <v>50</v>
      </c>
      <c r="L86" s="2" t="s">
        <v>25</v>
      </c>
      <c r="M86" s="2" t="s">
        <v>78</v>
      </c>
      <c r="N86" s="2" t="s">
        <v>21</v>
      </c>
    </row>
    <row r="87" spans="1:14" x14ac:dyDescent="0.3">
      <c r="A87" s="2" t="s">
        <v>14</v>
      </c>
      <c r="B87" s="3">
        <v>19</v>
      </c>
      <c r="C87" s="4" t="s">
        <v>44</v>
      </c>
      <c r="D87" s="2" t="s">
        <v>28</v>
      </c>
      <c r="E87" s="2" t="s">
        <v>23</v>
      </c>
      <c r="F87" s="5">
        <v>2</v>
      </c>
      <c r="G87" s="1">
        <v>12000000</v>
      </c>
      <c r="H87" s="2">
        <v>1</v>
      </c>
      <c r="I87" s="6">
        <v>1.3888888888888889E-3</v>
      </c>
      <c r="J87" s="2" t="s">
        <v>18</v>
      </c>
      <c r="K87" s="2" t="s">
        <v>19</v>
      </c>
      <c r="L87" s="2" t="s">
        <v>20</v>
      </c>
      <c r="M87" s="2" t="s">
        <v>66</v>
      </c>
      <c r="N87" s="2" t="s">
        <v>67</v>
      </c>
    </row>
    <row r="88" spans="1:14" x14ac:dyDescent="0.3">
      <c r="A88" s="2" t="s">
        <v>14</v>
      </c>
      <c r="B88" s="3">
        <v>1</v>
      </c>
      <c r="C88" s="4" t="s">
        <v>59</v>
      </c>
      <c r="D88" s="2" t="s">
        <v>32</v>
      </c>
      <c r="E88" s="2" t="s">
        <v>23</v>
      </c>
      <c r="F88" s="5">
        <v>5</v>
      </c>
      <c r="G88" s="1">
        <v>25000000</v>
      </c>
      <c r="H88" s="2">
        <v>1</v>
      </c>
      <c r="I88" s="6">
        <v>1.3888888888888889E-3</v>
      </c>
      <c r="J88" s="2" t="s">
        <v>18</v>
      </c>
      <c r="K88" s="2" t="s">
        <v>47</v>
      </c>
      <c r="L88" s="2" t="s">
        <v>30</v>
      </c>
      <c r="M88" s="2" t="s">
        <v>66</v>
      </c>
      <c r="N88" s="2" t="s">
        <v>67</v>
      </c>
    </row>
    <row r="89" spans="1:14" x14ac:dyDescent="0.3">
      <c r="A89" s="2" t="s">
        <v>14</v>
      </c>
      <c r="B89" s="3">
        <v>12</v>
      </c>
      <c r="C89" s="4" t="s">
        <v>60</v>
      </c>
      <c r="D89" s="2" t="s">
        <v>16</v>
      </c>
      <c r="E89" s="2" t="s">
        <v>42</v>
      </c>
      <c r="F89" s="5">
        <v>2</v>
      </c>
      <c r="G89" s="1">
        <v>12000000</v>
      </c>
      <c r="H89" s="2">
        <v>2</v>
      </c>
      <c r="I89" s="6">
        <v>1.3888888888888889E-3</v>
      </c>
      <c r="J89" s="2" t="s">
        <v>18</v>
      </c>
      <c r="K89" s="2" t="s">
        <v>19</v>
      </c>
      <c r="L89" s="2" t="s">
        <v>30</v>
      </c>
      <c r="M89" s="2" t="s">
        <v>76</v>
      </c>
      <c r="N89" s="2" t="s">
        <v>26</v>
      </c>
    </row>
    <row r="90" spans="1:14" x14ac:dyDescent="0.3">
      <c r="A90" s="2" t="s">
        <v>14</v>
      </c>
      <c r="B90" s="3">
        <v>12</v>
      </c>
      <c r="C90" s="4" t="s">
        <v>60</v>
      </c>
      <c r="D90" s="2" t="s">
        <v>16</v>
      </c>
      <c r="E90" s="2" t="s">
        <v>42</v>
      </c>
      <c r="F90" s="5">
        <v>3</v>
      </c>
      <c r="G90" s="1">
        <v>15000000</v>
      </c>
      <c r="H90" s="2">
        <v>5</v>
      </c>
      <c r="I90" s="6">
        <v>1.3888888888888889E-3</v>
      </c>
      <c r="J90" s="2" t="s">
        <v>18</v>
      </c>
      <c r="K90" s="2" t="s">
        <v>39</v>
      </c>
      <c r="L90" s="2" t="s">
        <v>48</v>
      </c>
      <c r="M90" s="2" t="s">
        <v>78</v>
      </c>
      <c r="N90" s="2" t="s">
        <v>63</v>
      </c>
    </row>
    <row r="91" spans="1:14" x14ac:dyDescent="0.3">
      <c r="A91" s="2" t="s">
        <v>14</v>
      </c>
      <c r="B91" s="3">
        <v>10</v>
      </c>
      <c r="C91" s="4" t="s">
        <v>22</v>
      </c>
      <c r="D91" s="2" t="s">
        <v>16</v>
      </c>
      <c r="E91" s="2" t="s">
        <v>68</v>
      </c>
      <c r="F91" s="5">
        <v>2</v>
      </c>
      <c r="G91" s="1">
        <v>12000000</v>
      </c>
      <c r="H91" s="2">
        <v>4</v>
      </c>
      <c r="I91" s="6">
        <v>1.3888888888888889E-3</v>
      </c>
      <c r="J91" s="2" t="s">
        <v>18</v>
      </c>
      <c r="K91" s="2" t="s">
        <v>50</v>
      </c>
      <c r="L91" s="2" t="s">
        <v>33</v>
      </c>
      <c r="M91" s="2" t="s">
        <v>76</v>
      </c>
      <c r="N91" s="2" t="s">
        <v>31</v>
      </c>
    </row>
    <row r="92" spans="1:14" x14ac:dyDescent="0.3">
      <c r="A92" s="2" t="s">
        <v>70</v>
      </c>
      <c r="B92" s="3">
        <v>3</v>
      </c>
      <c r="C92" s="4" t="s">
        <v>60</v>
      </c>
      <c r="D92" s="2" t="s">
        <v>28</v>
      </c>
      <c r="E92" s="2" t="s">
        <v>23</v>
      </c>
      <c r="F92" s="5">
        <v>0</v>
      </c>
      <c r="G92" s="1">
        <v>0</v>
      </c>
      <c r="H92" s="2">
        <v>2</v>
      </c>
      <c r="I92" s="6">
        <v>1.3888888888888889E-3</v>
      </c>
      <c r="J92" s="2"/>
      <c r="K92" s="2"/>
      <c r="L92" s="2" t="s">
        <v>48</v>
      </c>
      <c r="M92" s="2" t="s">
        <v>76</v>
      </c>
      <c r="N92" s="2" t="s">
        <v>26</v>
      </c>
    </row>
    <row r="93" spans="1:14" x14ac:dyDescent="0.3">
      <c r="A93" s="2" t="s">
        <v>70</v>
      </c>
      <c r="B93" s="3">
        <v>13</v>
      </c>
      <c r="C93" s="4" t="s">
        <v>22</v>
      </c>
      <c r="D93" s="2" t="s">
        <v>28</v>
      </c>
      <c r="E93" s="2" t="s">
        <v>17</v>
      </c>
      <c r="F93" s="5">
        <v>0</v>
      </c>
      <c r="G93" s="1">
        <v>0</v>
      </c>
      <c r="H93" s="2">
        <v>1</v>
      </c>
      <c r="I93" s="6">
        <v>1.3888888888888889E-3</v>
      </c>
      <c r="J93" s="2"/>
      <c r="K93" s="2"/>
      <c r="L93" s="2" t="s">
        <v>33</v>
      </c>
      <c r="M93" s="2" t="s">
        <v>78</v>
      </c>
      <c r="N93" s="2" t="s">
        <v>21</v>
      </c>
    </row>
    <row r="94" spans="1:14" x14ac:dyDescent="0.3">
      <c r="A94" s="2" t="s">
        <v>70</v>
      </c>
      <c r="B94" s="3">
        <v>29</v>
      </c>
      <c r="C94" s="4" t="s">
        <v>37</v>
      </c>
      <c r="D94" s="2" t="s">
        <v>28</v>
      </c>
      <c r="E94" s="2" t="s">
        <v>17</v>
      </c>
      <c r="F94" s="5">
        <v>0</v>
      </c>
      <c r="G94" s="1">
        <v>0</v>
      </c>
      <c r="H94" s="2">
        <v>4</v>
      </c>
      <c r="I94" s="6">
        <v>1.3888888888888889E-3</v>
      </c>
      <c r="J94" s="2"/>
      <c r="K94" s="2"/>
      <c r="L94" s="2" t="s">
        <v>33</v>
      </c>
      <c r="M94" s="2" t="s">
        <v>77</v>
      </c>
      <c r="N94" s="2" t="s">
        <v>65</v>
      </c>
    </row>
    <row r="95" spans="1:14" x14ac:dyDescent="0.3">
      <c r="A95" s="2" t="s">
        <v>70</v>
      </c>
      <c r="B95" s="3">
        <v>5</v>
      </c>
      <c r="C95" s="4" t="s">
        <v>37</v>
      </c>
      <c r="D95" s="2" t="s">
        <v>28</v>
      </c>
      <c r="E95" s="2" t="s">
        <v>23</v>
      </c>
      <c r="F95" s="5">
        <v>0</v>
      </c>
      <c r="G95" s="1">
        <v>0</v>
      </c>
      <c r="H95" s="2">
        <v>5</v>
      </c>
      <c r="I95" s="6">
        <v>1.3888888888888889E-3</v>
      </c>
      <c r="J95" s="2"/>
      <c r="K95" s="2"/>
      <c r="L95" s="2" t="s">
        <v>25</v>
      </c>
      <c r="M95" s="2" t="s">
        <v>76</v>
      </c>
      <c r="N95" s="2" t="s">
        <v>52</v>
      </c>
    </row>
    <row r="96" spans="1:14" x14ac:dyDescent="0.3">
      <c r="A96" s="2" t="s">
        <v>70</v>
      </c>
      <c r="B96" s="3">
        <v>19</v>
      </c>
      <c r="C96" s="4" t="s">
        <v>44</v>
      </c>
      <c r="D96" s="2" t="s">
        <v>49</v>
      </c>
      <c r="E96" s="2" t="s">
        <v>42</v>
      </c>
      <c r="F96" s="5">
        <v>0</v>
      </c>
      <c r="G96" s="1">
        <v>0</v>
      </c>
      <c r="H96" s="2">
        <v>2</v>
      </c>
      <c r="I96" s="6">
        <v>1.3888888888888889E-3</v>
      </c>
      <c r="J96" s="2"/>
      <c r="K96" s="2"/>
      <c r="L96" s="2" t="s">
        <v>51</v>
      </c>
      <c r="M96" s="2" t="s">
        <v>66</v>
      </c>
      <c r="N96" s="2" t="s">
        <v>67</v>
      </c>
    </row>
    <row r="97" spans="1:14" x14ac:dyDescent="0.3">
      <c r="A97" s="2" t="s">
        <v>70</v>
      </c>
      <c r="B97" s="3">
        <v>18</v>
      </c>
      <c r="C97" s="4" t="s">
        <v>69</v>
      </c>
      <c r="D97" s="2" t="s">
        <v>16</v>
      </c>
      <c r="E97" s="2" t="s">
        <v>42</v>
      </c>
      <c r="F97" s="5">
        <v>0</v>
      </c>
      <c r="G97" s="1">
        <v>0</v>
      </c>
      <c r="H97" s="2">
        <v>1</v>
      </c>
      <c r="I97" s="6">
        <v>1.3888888888888889E-3</v>
      </c>
      <c r="J97" s="2"/>
      <c r="K97" s="2"/>
      <c r="L97" s="2" t="s">
        <v>30</v>
      </c>
      <c r="M97" s="2" t="s">
        <v>66</v>
      </c>
      <c r="N97" s="2" t="s">
        <v>36</v>
      </c>
    </row>
    <row r="98" spans="1:14" x14ac:dyDescent="0.3">
      <c r="A98" s="2" t="s">
        <v>70</v>
      </c>
      <c r="B98" s="3">
        <v>29</v>
      </c>
      <c r="C98" s="4" t="s">
        <v>69</v>
      </c>
      <c r="D98" s="2" t="s">
        <v>49</v>
      </c>
      <c r="E98" s="2" t="s">
        <v>17</v>
      </c>
      <c r="F98" s="5">
        <v>0</v>
      </c>
      <c r="G98" s="1">
        <v>0</v>
      </c>
      <c r="H98" s="2">
        <v>1</v>
      </c>
      <c r="I98" s="6">
        <v>1.3888888888888889E-3</v>
      </c>
      <c r="J98" s="2"/>
      <c r="K98" s="2"/>
      <c r="L98" s="2" t="s">
        <v>30</v>
      </c>
      <c r="M98" s="2" t="s">
        <v>78</v>
      </c>
      <c r="N98" s="2" t="s">
        <v>62</v>
      </c>
    </row>
    <row r="99" spans="1:14" x14ac:dyDescent="0.3">
      <c r="A99" s="2" t="s">
        <v>70</v>
      </c>
      <c r="B99" s="3">
        <v>1</v>
      </c>
      <c r="C99" s="4" t="s">
        <v>69</v>
      </c>
      <c r="D99" s="2" t="s">
        <v>49</v>
      </c>
      <c r="E99" s="2" t="s">
        <v>23</v>
      </c>
      <c r="F99" s="5">
        <v>0</v>
      </c>
      <c r="G99" s="1">
        <v>0</v>
      </c>
      <c r="H99" s="2">
        <v>2</v>
      </c>
      <c r="I99" s="6">
        <v>1.3888888888888889E-3</v>
      </c>
      <c r="J99" s="2"/>
      <c r="K99" s="2"/>
      <c r="L99" s="2" t="s">
        <v>43</v>
      </c>
      <c r="M99" s="2" t="s">
        <v>78</v>
      </c>
      <c r="N99" s="2" t="s">
        <v>21</v>
      </c>
    </row>
    <row r="100" spans="1:14" x14ac:dyDescent="0.3">
      <c r="A100" s="2" t="s">
        <v>70</v>
      </c>
      <c r="B100" s="3">
        <v>30</v>
      </c>
      <c r="C100" s="4" t="s">
        <v>69</v>
      </c>
      <c r="D100" s="2" t="s">
        <v>28</v>
      </c>
      <c r="E100" s="2" t="s">
        <v>23</v>
      </c>
      <c r="F100" s="5">
        <v>0</v>
      </c>
      <c r="G100" s="1">
        <v>0</v>
      </c>
      <c r="H100" s="2">
        <v>1</v>
      </c>
      <c r="I100" s="6">
        <v>1.3888888888888889E-3</v>
      </c>
      <c r="J100" s="2"/>
      <c r="K100" s="2"/>
      <c r="L100" s="2" t="s">
        <v>48</v>
      </c>
      <c r="M100" s="2" t="s">
        <v>77</v>
      </c>
      <c r="N100" s="2" t="s">
        <v>54</v>
      </c>
    </row>
    <row r="101" spans="1:14" x14ac:dyDescent="0.3">
      <c r="A101" s="2" t="s">
        <v>70</v>
      </c>
      <c r="B101" s="3">
        <v>3</v>
      </c>
      <c r="C101" s="4" t="s">
        <v>60</v>
      </c>
      <c r="D101" s="2" t="s">
        <v>28</v>
      </c>
      <c r="E101" s="2" t="s">
        <v>23</v>
      </c>
      <c r="F101" s="5">
        <v>0</v>
      </c>
      <c r="G101" s="1">
        <v>0</v>
      </c>
      <c r="H101" s="2">
        <v>2</v>
      </c>
      <c r="I101" s="6">
        <v>1.3888888888888889E-3</v>
      </c>
      <c r="J101" s="2"/>
      <c r="K101" s="2"/>
      <c r="L101" s="2" t="s">
        <v>48</v>
      </c>
      <c r="M101" s="2" t="s">
        <v>76</v>
      </c>
      <c r="N101" s="2" t="s">
        <v>26</v>
      </c>
    </row>
    <row r="102" spans="1:14" x14ac:dyDescent="0.3">
      <c r="A102" s="2" t="s">
        <v>14</v>
      </c>
      <c r="B102" s="3">
        <v>11</v>
      </c>
      <c r="C102" s="4" t="s">
        <v>55</v>
      </c>
      <c r="D102" s="2" t="s">
        <v>49</v>
      </c>
      <c r="E102" s="2" t="s">
        <v>17</v>
      </c>
      <c r="F102" s="5">
        <v>4</v>
      </c>
      <c r="G102" s="1">
        <v>20000000</v>
      </c>
      <c r="H102" s="2">
        <v>2</v>
      </c>
      <c r="I102" s="6">
        <v>1.3888888888888889E-3</v>
      </c>
      <c r="J102" s="2" t="s">
        <v>61</v>
      </c>
      <c r="K102" s="2" t="s">
        <v>35</v>
      </c>
      <c r="L102" s="2" t="s">
        <v>30</v>
      </c>
      <c r="M102" s="2" t="s">
        <v>66</v>
      </c>
      <c r="N102" s="2" t="s">
        <v>67</v>
      </c>
    </row>
    <row r="103" spans="1:14" x14ac:dyDescent="0.3">
      <c r="A103" s="2" t="s">
        <v>14</v>
      </c>
      <c r="B103" s="3">
        <v>14</v>
      </c>
      <c r="C103" s="4" t="s">
        <v>55</v>
      </c>
      <c r="D103" s="2" t="s">
        <v>49</v>
      </c>
      <c r="E103" s="2" t="s">
        <v>17</v>
      </c>
      <c r="F103" s="5">
        <v>3</v>
      </c>
      <c r="G103" s="1">
        <v>15000000</v>
      </c>
      <c r="H103" s="2">
        <v>2</v>
      </c>
      <c r="I103" s="6">
        <v>1.3888888888888889E-3</v>
      </c>
      <c r="J103" s="2" t="s">
        <v>18</v>
      </c>
      <c r="K103" s="2" t="s">
        <v>56</v>
      </c>
      <c r="L103" s="2" t="s">
        <v>30</v>
      </c>
      <c r="M103" s="2" t="s">
        <v>76</v>
      </c>
      <c r="N103" s="2" t="s">
        <v>52</v>
      </c>
    </row>
    <row r="104" spans="1:14" x14ac:dyDescent="0.3">
      <c r="A104" s="2" t="s">
        <v>14</v>
      </c>
      <c r="B104" s="3">
        <v>11</v>
      </c>
      <c r="C104" s="4" t="s">
        <v>57</v>
      </c>
      <c r="D104" s="2" t="s">
        <v>49</v>
      </c>
      <c r="E104" s="2" t="s">
        <v>42</v>
      </c>
      <c r="F104" s="5">
        <v>2</v>
      </c>
      <c r="G104" s="1">
        <v>10000000</v>
      </c>
      <c r="H104" s="2">
        <v>1</v>
      </c>
      <c r="I104" s="6">
        <v>1.3888888888888889E-3</v>
      </c>
      <c r="J104" s="2" t="s">
        <v>18</v>
      </c>
      <c r="K104" s="2" t="s">
        <v>39</v>
      </c>
      <c r="L104" s="2" t="s">
        <v>33</v>
      </c>
      <c r="M104" s="2" t="s">
        <v>78</v>
      </c>
      <c r="N104" s="2" t="s">
        <v>63</v>
      </c>
    </row>
    <row r="105" spans="1:14" x14ac:dyDescent="0.3">
      <c r="A105" s="2" t="s">
        <v>14</v>
      </c>
      <c r="B105" s="3">
        <v>1</v>
      </c>
      <c r="C105" s="4" t="s">
        <v>15</v>
      </c>
      <c r="D105" s="2" t="s">
        <v>28</v>
      </c>
      <c r="E105" s="2" t="s">
        <v>42</v>
      </c>
      <c r="F105" s="5">
        <v>5</v>
      </c>
      <c r="G105" s="1">
        <v>25000000</v>
      </c>
      <c r="H105" s="2">
        <v>1</v>
      </c>
      <c r="I105" s="6">
        <v>1.3888888888888889E-3</v>
      </c>
      <c r="J105" s="2" t="s">
        <v>18</v>
      </c>
      <c r="K105" s="2" t="s">
        <v>39</v>
      </c>
      <c r="L105" s="2" t="s">
        <v>40</v>
      </c>
      <c r="M105" s="2" t="s">
        <v>78</v>
      </c>
      <c r="N105" s="2" t="s">
        <v>41</v>
      </c>
    </row>
    <row r="106" spans="1:14" x14ac:dyDescent="0.3">
      <c r="A106" s="2" t="s">
        <v>14</v>
      </c>
      <c r="B106" s="3">
        <v>1</v>
      </c>
      <c r="C106" s="4" t="s">
        <v>72</v>
      </c>
      <c r="D106" s="2" t="s">
        <v>73</v>
      </c>
      <c r="E106" s="2" t="s">
        <v>23</v>
      </c>
      <c r="F106" s="5">
        <v>2</v>
      </c>
      <c r="G106" s="1">
        <v>12000000</v>
      </c>
      <c r="H106" s="2">
        <v>5</v>
      </c>
      <c r="I106" s="6">
        <v>1.3888888888888889E-3</v>
      </c>
      <c r="J106" s="2" t="s">
        <v>18</v>
      </c>
      <c r="K106" s="2" t="s">
        <v>56</v>
      </c>
      <c r="L106" s="2" t="s">
        <v>48</v>
      </c>
      <c r="M106" s="2" t="s">
        <v>77</v>
      </c>
      <c r="N106" s="2" t="s">
        <v>54</v>
      </c>
    </row>
    <row r="107" spans="1:14" x14ac:dyDescent="0.3">
      <c r="A107" s="2" t="s">
        <v>14</v>
      </c>
      <c r="B107" s="3">
        <v>30</v>
      </c>
      <c r="C107" s="4" t="s">
        <v>27</v>
      </c>
      <c r="D107" s="2" t="s">
        <v>16</v>
      </c>
      <c r="E107" s="2" t="s">
        <v>42</v>
      </c>
      <c r="F107" s="5">
        <v>2</v>
      </c>
      <c r="G107" s="1">
        <v>12000000</v>
      </c>
      <c r="H107" s="2">
        <v>1</v>
      </c>
      <c r="I107" s="6">
        <v>1.3888888888888889E-3</v>
      </c>
      <c r="J107" s="2" t="s">
        <v>18</v>
      </c>
      <c r="K107" s="2" t="s">
        <v>19</v>
      </c>
      <c r="L107" s="2" t="s">
        <v>30</v>
      </c>
      <c r="M107" s="2" t="s">
        <v>66</v>
      </c>
      <c r="N107" s="2" t="s">
        <v>67</v>
      </c>
    </row>
    <row r="108" spans="1:14" x14ac:dyDescent="0.3">
      <c r="A108" s="2" t="s">
        <v>14</v>
      </c>
      <c r="B108" s="3">
        <v>13</v>
      </c>
      <c r="C108" s="4" t="s">
        <v>27</v>
      </c>
      <c r="D108" s="2" t="s">
        <v>38</v>
      </c>
      <c r="E108" s="2" t="s">
        <v>42</v>
      </c>
      <c r="F108" s="5">
        <v>3</v>
      </c>
      <c r="G108" s="1">
        <v>12000000</v>
      </c>
      <c r="H108" s="2">
        <v>1</v>
      </c>
      <c r="I108" s="6">
        <v>1.3888888888888889E-3</v>
      </c>
      <c r="J108" s="2" t="s">
        <v>18</v>
      </c>
      <c r="K108" s="2" t="s">
        <v>47</v>
      </c>
      <c r="L108" s="2" t="s">
        <v>48</v>
      </c>
      <c r="M108" s="2" t="s">
        <v>78</v>
      </c>
      <c r="N108" s="2" t="s">
        <v>62</v>
      </c>
    </row>
    <row r="109" spans="1:14" x14ac:dyDescent="0.3">
      <c r="A109" s="2" t="s">
        <v>14</v>
      </c>
      <c r="B109" s="3">
        <v>1</v>
      </c>
      <c r="C109" s="4" t="s">
        <v>27</v>
      </c>
      <c r="D109" s="2" t="s">
        <v>16</v>
      </c>
      <c r="E109" s="2" t="s">
        <v>42</v>
      </c>
      <c r="F109" s="5">
        <v>1</v>
      </c>
      <c r="G109" s="1">
        <v>7000000</v>
      </c>
      <c r="H109" s="2">
        <v>4</v>
      </c>
      <c r="I109" s="6">
        <v>1.3888888888888889E-3</v>
      </c>
      <c r="J109" s="2" t="s">
        <v>18</v>
      </c>
      <c r="K109" s="2" t="s">
        <v>35</v>
      </c>
      <c r="L109" s="2" t="s">
        <v>51</v>
      </c>
      <c r="M109" s="2" t="s">
        <v>78</v>
      </c>
      <c r="N109" s="2" t="s">
        <v>62</v>
      </c>
    </row>
    <row r="110" spans="1:14" x14ac:dyDescent="0.3">
      <c r="A110" s="2" t="s">
        <v>14</v>
      </c>
      <c r="B110" s="3">
        <v>21</v>
      </c>
      <c r="C110" s="4" t="s">
        <v>37</v>
      </c>
      <c r="D110" s="2" t="s">
        <v>32</v>
      </c>
      <c r="E110" s="2" t="s">
        <v>42</v>
      </c>
      <c r="F110" s="5">
        <v>1</v>
      </c>
      <c r="G110" s="1">
        <v>19000000</v>
      </c>
      <c r="H110" s="2">
        <v>1</v>
      </c>
      <c r="I110" s="6">
        <v>1.3888888888888889E-3</v>
      </c>
      <c r="J110" s="2" t="s">
        <v>46</v>
      </c>
      <c r="K110" s="2" t="s">
        <v>39</v>
      </c>
      <c r="L110" s="2" t="s">
        <v>30</v>
      </c>
      <c r="M110" s="2" t="s">
        <v>78</v>
      </c>
      <c r="N110" s="2" t="s">
        <v>63</v>
      </c>
    </row>
    <row r="111" spans="1:14" x14ac:dyDescent="0.3">
      <c r="A111" s="2" t="s">
        <v>14</v>
      </c>
      <c r="B111" s="3">
        <v>3</v>
      </c>
      <c r="C111" s="4" t="s">
        <v>37</v>
      </c>
      <c r="D111" s="2" t="s">
        <v>32</v>
      </c>
      <c r="E111" s="2" t="s">
        <v>42</v>
      </c>
      <c r="F111" s="5">
        <v>2</v>
      </c>
      <c r="G111" s="1">
        <v>38000000</v>
      </c>
      <c r="H111" s="2">
        <v>2</v>
      </c>
      <c r="I111" s="6">
        <v>1.3888888888888889E-3</v>
      </c>
      <c r="J111" s="2" t="s">
        <v>46</v>
      </c>
      <c r="K111" s="2" t="s">
        <v>19</v>
      </c>
      <c r="L111" s="2" t="s">
        <v>51</v>
      </c>
      <c r="M111" s="2" t="s">
        <v>76</v>
      </c>
      <c r="N111" s="2" t="s">
        <v>31</v>
      </c>
    </row>
    <row r="112" spans="1:14" x14ac:dyDescent="0.3">
      <c r="A112" s="2" t="s">
        <v>14</v>
      </c>
      <c r="B112" s="3">
        <v>8</v>
      </c>
      <c r="C112" s="4" t="s">
        <v>37</v>
      </c>
      <c r="D112" s="2" t="s">
        <v>49</v>
      </c>
      <c r="E112" s="2" t="s">
        <v>42</v>
      </c>
      <c r="F112" s="5">
        <v>4</v>
      </c>
      <c r="G112" s="1">
        <v>20000000</v>
      </c>
      <c r="H112" s="2">
        <v>2</v>
      </c>
      <c r="I112" s="6">
        <v>1.3888888888888889E-3</v>
      </c>
      <c r="J112" s="2" t="s">
        <v>61</v>
      </c>
      <c r="K112" s="2" t="s">
        <v>39</v>
      </c>
      <c r="L112" s="2" t="s">
        <v>30</v>
      </c>
      <c r="M112" s="2" t="s">
        <v>76</v>
      </c>
      <c r="N112" s="2" t="s">
        <v>26</v>
      </c>
    </row>
    <row r="113" spans="1:14" x14ac:dyDescent="0.3">
      <c r="A113" s="2" t="s">
        <v>14</v>
      </c>
      <c r="B113" s="3">
        <v>14</v>
      </c>
      <c r="C113" s="4" t="s">
        <v>37</v>
      </c>
      <c r="D113" s="2" t="s">
        <v>16</v>
      </c>
      <c r="E113" s="2" t="s">
        <v>23</v>
      </c>
      <c r="F113" s="5">
        <v>1</v>
      </c>
      <c r="G113" s="1">
        <v>7000000</v>
      </c>
      <c r="H113" s="2">
        <v>5</v>
      </c>
      <c r="I113" s="6">
        <v>1.3888888888888889E-3</v>
      </c>
      <c r="J113" s="2" t="s">
        <v>18</v>
      </c>
      <c r="K113" s="2" t="s">
        <v>35</v>
      </c>
      <c r="L113" s="2" t="s">
        <v>43</v>
      </c>
      <c r="M113" s="2" t="s">
        <v>66</v>
      </c>
      <c r="N113" s="2" t="s">
        <v>67</v>
      </c>
    </row>
    <row r="114" spans="1:14" x14ac:dyDescent="0.3">
      <c r="A114" s="2" t="s">
        <v>14</v>
      </c>
      <c r="B114" s="3">
        <v>31</v>
      </c>
      <c r="C114" s="4" t="s">
        <v>37</v>
      </c>
      <c r="D114" s="2" t="s">
        <v>28</v>
      </c>
      <c r="E114" s="2" t="s">
        <v>23</v>
      </c>
      <c r="F114" s="5">
        <v>3</v>
      </c>
      <c r="G114" s="1">
        <v>15000000</v>
      </c>
      <c r="H114" s="2">
        <v>3</v>
      </c>
      <c r="I114" s="6">
        <v>1.3888888888888889E-3</v>
      </c>
      <c r="J114" s="2" t="s">
        <v>18</v>
      </c>
      <c r="K114" s="2" t="s">
        <v>29</v>
      </c>
      <c r="L114" s="2" t="s">
        <v>25</v>
      </c>
      <c r="M114" s="2" t="s">
        <v>77</v>
      </c>
      <c r="N114" s="2" t="s">
        <v>65</v>
      </c>
    </row>
    <row r="115" spans="1:14" x14ac:dyDescent="0.3">
      <c r="A115" s="2" t="s">
        <v>14</v>
      </c>
      <c r="B115" s="3">
        <v>20</v>
      </c>
      <c r="C115" s="4" t="s">
        <v>37</v>
      </c>
      <c r="D115" s="2" t="s">
        <v>32</v>
      </c>
      <c r="E115" s="2" t="s">
        <v>45</v>
      </c>
      <c r="F115" s="5">
        <v>3</v>
      </c>
      <c r="G115" s="1">
        <v>15000000</v>
      </c>
      <c r="H115" s="2">
        <v>1</v>
      </c>
      <c r="I115" s="6">
        <v>1.3888888888888889E-3</v>
      </c>
      <c r="J115" s="2" t="s">
        <v>18</v>
      </c>
      <c r="K115" s="2" t="s">
        <v>64</v>
      </c>
      <c r="L115" s="2" t="s">
        <v>48</v>
      </c>
      <c r="M115" s="2" t="s">
        <v>77</v>
      </c>
      <c r="N115" s="2" t="s">
        <v>54</v>
      </c>
    </row>
    <row r="116" spans="1:14" x14ac:dyDescent="0.3">
      <c r="A116" s="2" t="s">
        <v>14</v>
      </c>
      <c r="B116" s="3">
        <v>25</v>
      </c>
      <c r="C116" s="4" t="s">
        <v>44</v>
      </c>
      <c r="D116" s="2" t="s">
        <v>16</v>
      </c>
      <c r="E116" s="2" t="s">
        <v>23</v>
      </c>
      <c r="F116" s="5">
        <v>2</v>
      </c>
      <c r="G116" s="1">
        <v>38000000</v>
      </c>
      <c r="H116" s="2">
        <v>1</v>
      </c>
      <c r="I116" s="6">
        <v>1.3888888888888889E-3</v>
      </c>
      <c r="J116" s="2" t="s">
        <v>46</v>
      </c>
      <c r="K116" s="2" t="s">
        <v>47</v>
      </c>
      <c r="L116" s="2" t="s">
        <v>30</v>
      </c>
      <c r="M116" s="2" t="s">
        <v>78</v>
      </c>
      <c r="N116" s="2" t="s">
        <v>53</v>
      </c>
    </row>
    <row r="117" spans="1:14" x14ac:dyDescent="0.3">
      <c r="A117" s="2" t="s">
        <v>14</v>
      </c>
      <c r="B117" s="3">
        <v>5</v>
      </c>
      <c r="C117" s="4" t="s">
        <v>44</v>
      </c>
      <c r="D117" s="2" t="s">
        <v>32</v>
      </c>
      <c r="E117" s="2" t="s">
        <v>45</v>
      </c>
      <c r="F117" s="5">
        <v>3</v>
      </c>
      <c r="G117" s="1">
        <v>12000000</v>
      </c>
      <c r="H117" s="2">
        <v>2</v>
      </c>
      <c r="I117" s="6">
        <v>1.3888888888888889E-3</v>
      </c>
      <c r="J117" s="2" t="s">
        <v>18</v>
      </c>
      <c r="K117" s="2" t="s">
        <v>24</v>
      </c>
      <c r="L117" s="2" t="s">
        <v>43</v>
      </c>
      <c r="M117" s="2" t="s">
        <v>76</v>
      </c>
      <c r="N117" s="2" t="s">
        <v>52</v>
      </c>
    </row>
    <row r="118" spans="1:14" x14ac:dyDescent="0.3">
      <c r="A118" s="2" t="s">
        <v>14</v>
      </c>
      <c r="B118" s="3">
        <v>16</v>
      </c>
      <c r="C118" s="4" t="s">
        <v>44</v>
      </c>
      <c r="D118" s="2" t="s">
        <v>28</v>
      </c>
      <c r="E118" s="2" t="s">
        <v>42</v>
      </c>
      <c r="F118" s="5">
        <v>2</v>
      </c>
      <c r="G118" s="1">
        <v>12000000</v>
      </c>
      <c r="H118" s="2">
        <v>3</v>
      </c>
      <c r="I118" s="6">
        <v>1.3888888888888889E-3</v>
      </c>
      <c r="J118" s="2" t="s">
        <v>18</v>
      </c>
      <c r="K118" s="2" t="s">
        <v>19</v>
      </c>
      <c r="L118" s="2" t="s">
        <v>51</v>
      </c>
      <c r="M118" s="2" t="s">
        <v>76</v>
      </c>
      <c r="N118" s="2" t="s">
        <v>26</v>
      </c>
    </row>
    <row r="119" spans="1:14" x14ac:dyDescent="0.3">
      <c r="A119" s="2" t="s">
        <v>14</v>
      </c>
      <c r="B119" s="3">
        <v>26</v>
      </c>
      <c r="C119" s="4" t="s">
        <v>69</v>
      </c>
      <c r="D119" s="2" t="s">
        <v>38</v>
      </c>
      <c r="E119" s="2" t="s">
        <v>23</v>
      </c>
      <c r="F119" s="5">
        <v>5</v>
      </c>
      <c r="G119" s="1">
        <v>25000000</v>
      </c>
      <c r="H119" s="2">
        <v>5</v>
      </c>
      <c r="I119" s="6">
        <v>1.3888888888888889E-3</v>
      </c>
      <c r="J119" s="2" t="s">
        <v>18</v>
      </c>
      <c r="K119" s="2" t="s">
        <v>64</v>
      </c>
      <c r="L119" s="2" t="s">
        <v>40</v>
      </c>
      <c r="M119" s="2" t="s">
        <v>77</v>
      </c>
      <c r="N119" s="2" t="s">
        <v>54</v>
      </c>
    </row>
    <row r="120" spans="1:14" x14ac:dyDescent="0.3">
      <c r="A120" s="2" t="s">
        <v>14</v>
      </c>
      <c r="B120" s="3">
        <v>11</v>
      </c>
      <c r="C120" s="4" t="s">
        <v>55</v>
      </c>
      <c r="D120" s="2" t="s">
        <v>49</v>
      </c>
      <c r="E120" s="2" t="s">
        <v>17</v>
      </c>
      <c r="F120" s="5">
        <v>4</v>
      </c>
      <c r="G120" s="1">
        <v>20000000</v>
      </c>
      <c r="H120" s="2">
        <v>2</v>
      </c>
      <c r="I120" s="6">
        <v>1.3888888888888889E-3</v>
      </c>
      <c r="J120" s="2" t="s">
        <v>61</v>
      </c>
      <c r="K120" s="2" t="s">
        <v>35</v>
      </c>
      <c r="L120" s="2" t="s">
        <v>30</v>
      </c>
      <c r="M120" s="2" t="s">
        <v>66</v>
      </c>
      <c r="N120" s="2" t="s">
        <v>67</v>
      </c>
    </row>
    <row r="121" spans="1:14" x14ac:dyDescent="0.3">
      <c r="A121" s="2" t="s">
        <v>14</v>
      </c>
      <c r="B121" s="3">
        <v>14</v>
      </c>
      <c r="C121" s="4" t="s">
        <v>55</v>
      </c>
      <c r="D121" s="2" t="s">
        <v>49</v>
      </c>
      <c r="E121" s="2" t="s">
        <v>17</v>
      </c>
      <c r="F121" s="5">
        <v>3</v>
      </c>
      <c r="G121" s="1">
        <v>15000000</v>
      </c>
      <c r="H121" s="2">
        <v>2</v>
      </c>
      <c r="I121" s="6">
        <v>1.3888888888888889E-3</v>
      </c>
      <c r="J121" s="2" t="s">
        <v>18</v>
      </c>
      <c r="K121" s="2" t="s">
        <v>56</v>
      </c>
      <c r="L121" s="2" t="s">
        <v>30</v>
      </c>
      <c r="M121" s="2" t="s">
        <v>76</v>
      </c>
      <c r="N121" s="2" t="s">
        <v>52</v>
      </c>
    </row>
    <row r="122" spans="1:14" x14ac:dyDescent="0.3">
      <c r="A122" s="2" t="s">
        <v>14</v>
      </c>
      <c r="B122" s="3">
        <v>11</v>
      </c>
      <c r="C122" s="4" t="s">
        <v>57</v>
      </c>
      <c r="D122" s="2" t="s">
        <v>49</v>
      </c>
      <c r="E122" s="2" t="s">
        <v>42</v>
      </c>
      <c r="F122" s="5">
        <v>2</v>
      </c>
      <c r="G122" s="1">
        <v>10000000</v>
      </c>
      <c r="H122" s="2">
        <v>1</v>
      </c>
      <c r="I122" s="6">
        <v>1.3888888888888889E-3</v>
      </c>
      <c r="J122" s="2" t="s">
        <v>18</v>
      </c>
      <c r="K122" s="2" t="s">
        <v>39</v>
      </c>
      <c r="L122" s="2" t="s">
        <v>33</v>
      </c>
      <c r="M122" s="2" t="s">
        <v>78</v>
      </c>
      <c r="N122" s="2" t="s">
        <v>63</v>
      </c>
    </row>
    <row r="123" spans="1:14" x14ac:dyDescent="0.3">
      <c r="A123" s="2" t="s">
        <v>14</v>
      </c>
      <c r="B123" s="3">
        <v>1</v>
      </c>
      <c r="C123" s="4" t="s">
        <v>15</v>
      </c>
      <c r="D123" s="2" t="s">
        <v>28</v>
      </c>
      <c r="E123" s="2" t="s">
        <v>42</v>
      </c>
      <c r="F123" s="5">
        <v>5</v>
      </c>
      <c r="G123" s="1">
        <v>25000000</v>
      </c>
      <c r="H123" s="2">
        <v>1</v>
      </c>
      <c r="I123" s="6">
        <v>1.3888888888888889E-3</v>
      </c>
      <c r="J123" s="2" t="s">
        <v>18</v>
      </c>
      <c r="K123" s="2" t="s">
        <v>39</v>
      </c>
      <c r="L123" s="2" t="s">
        <v>40</v>
      </c>
      <c r="M123" s="2" t="s">
        <v>78</v>
      </c>
      <c r="N123" s="2" t="s">
        <v>41</v>
      </c>
    </row>
    <row r="124" spans="1:14" x14ac:dyDescent="0.3">
      <c r="A124" s="2" t="s">
        <v>14</v>
      </c>
      <c r="B124" s="3">
        <v>1</v>
      </c>
      <c r="C124" s="4" t="s">
        <v>72</v>
      </c>
      <c r="D124" s="2" t="s">
        <v>73</v>
      </c>
      <c r="E124" s="2" t="s">
        <v>23</v>
      </c>
      <c r="F124" s="5">
        <v>2</v>
      </c>
      <c r="G124" s="1">
        <v>12000000</v>
      </c>
      <c r="H124" s="2">
        <v>5</v>
      </c>
      <c r="I124" s="6">
        <v>1.3888888888888889E-3</v>
      </c>
      <c r="J124" s="2" t="s">
        <v>18</v>
      </c>
      <c r="K124" s="2" t="s">
        <v>56</v>
      </c>
      <c r="L124" s="2" t="s">
        <v>48</v>
      </c>
      <c r="M124" s="2" t="s">
        <v>77</v>
      </c>
      <c r="N124" s="2" t="s">
        <v>54</v>
      </c>
    </row>
    <row r="125" spans="1:14" x14ac:dyDescent="0.3">
      <c r="A125" s="2" t="s">
        <v>70</v>
      </c>
      <c r="B125" s="3">
        <v>13</v>
      </c>
      <c r="C125" s="4" t="s">
        <v>60</v>
      </c>
      <c r="D125" s="2" t="s">
        <v>16</v>
      </c>
      <c r="E125" s="2" t="s">
        <v>68</v>
      </c>
      <c r="F125" s="5">
        <v>0</v>
      </c>
      <c r="G125" s="1">
        <v>0</v>
      </c>
      <c r="H125" s="2">
        <v>3</v>
      </c>
      <c r="I125" s="6">
        <v>1.3888888888888889E-3</v>
      </c>
      <c r="J125" s="2"/>
      <c r="K125" s="2"/>
      <c r="L125" s="2" t="s">
        <v>25</v>
      </c>
      <c r="M125" s="2" t="s">
        <v>76</v>
      </c>
      <c r="N125" s="2" t="s">
        <v>26</v>
      </c>
    </row>
    <row r="126" spans="1:14" x14ac:dyDescent="0.3">
      <c r="A126" s="2" t="s">
        <v>70</v>
      </c>
      <c r="B126" s="3">
        <v>15</v>
      </c>
      <c r="C126" s="4" t="s">
        <v>27</v>
      </c>
      <c r="D126" s="2" t="s">
        <v>38</v>
      </c>
      <c r="E126" s="2" t="s">
        <v>23</v>
      </c>
      <c r="F126" s="5">
        <v>0</v>
      </c>
      <c r="G126" s="1">
        <v>0</v>
      </c>
      <c r="H126" s="2">
        <v>4</v>
      </c>
      <c r="I126" s="6">
        <v>1.3888888888888889E-3</v>
      </c>
      <c r="J126" s="2"/>
      <c r="K126" s="2"/>
      <c r="L126" s="2" t="s">
        <v>20</v>
      </c>
      <c r="M126" s="2" t="s">
        <v>78</v>
      </c>
      <c r="N126" s="2" t="s">
        <v>66</v>
      </c>
    </row>
    <row r="127" spans="1:14" x14ac:dyDescent="0.3">
      <c r="A127" s="2" t="s">
        <v>70</v>
      </c>
      <c r="B127" s="3">
        <v>28</v>
      </c>
      <c r="C127" s="4" t="s">
        <v>37</v>
      </c>
      <c r="D127" s="2" t="s">
        <v>32</v>
      </c>
      <c r="E127" s="2" t="s">
        <v>23</v>
      </c>
      <c r="F127" s="5">
        <v>0</v>
      </c>
      <c r="G127" s="1">
        <v>0</v>
      </c>
      <c r="H127" s="2">
        <v>3</v>
      </c>
      <c r="I127" s="6">
        <v>1.3888888888888889E-3</v>
      </c>
      <c r="J127" s="2"/>
      <c r="K127" s="2"/>
      <c r="L127" s="2" t="s">
        <v>33</v>
      </c>
      <c r="M127" s="2" t="s">
        <v>76</v>
      </c>
      <c r="N127" s="2" t="s">
        <v>31</v>
      </c>
    </row>
    <row r="128" spans="1:14" x14ac:dyDescent="0.3">
      <c r="A128" s="2" t="s">
        <v>70</v>
      </c>
      <c r="B128" s="3">
        <v>20</v>
      </c>
      <c r="C128" s="4" t="s">
        <v>37</v>
      </c>
      <c r="D128" s="2" t="s">
        <v>16</v>
      </c>
      <c r="E128" s="2" t="s">
        <v>42</v>
      </c>
      <c r="F128" s="5">
        <v>0</v>
      </c>
      <c r="G128" s="1">
        <v>0</v>
      </c>
      <c r="H128" s="2">
        <v>2</v>
      </c>
      <c r="I128" s="6">
        <v>1.3888888888888889E-3</v>
      </c>
      <c r="J128" s="2"/>
      <c r="K128" s="2"/>
      <c r="L128" s="2" t="s">
        <v>20</v>
      </c>
      <c r="M128" s="2" t="s">
        <v>78</v>
      </c>
      <c r="N128" s="2" t="s">
        <v>62</v>
      </c>
    </row>
    <row r="129" spans="1:14" x14ac:dyDescent="0.3">
      <c r="A129" s="2" t="s">
        <v>70</v>
      </c>
      <c r="B129" s="3">
        <v>14</v>
      </c>
      <c r="C129" s="4" t="s">
        <v>37</v>
      </c>
      <c r="D129" s="2" t="s">
        <v>16</v>
      </c>
      <c r="E129" s="2" t="s">
        <v>42</v>
      </c>
      <c r="F129" s="5">
        <v>0</v>
      </c>
      <c r="G129" s="1">
        <v>0</v>
      </c>
      <c r="H129" s="2">
        <v>1</v>
      </c>
      <c r="I129" s="6">
        <v>1.3888888888888889E-3</v>
      </c>
      <c r="J129" s="2"/>
      <c r="K129" s="2"/>
      <c r="L129" s="2" t="s">
        <v>48</v>
      </c>
      <c r="M129" s="2" t="s">
        <v>66</v>
      </c>
      <c r="N129" s="2" t="s">
        <v>67</v>
      </c>
    </row>
    <row r="130" spans="1:14" x14ac:dyDescent="0.3">
      <c r="A130" s="2" t="s">
        <v>70</v>
      </c>
      <c r="B130" s="3">
        <v>13</v>
      </c>
      <c r="C130" s="4" t="s">
        <v>44</v>
      </c>
      <c r="D130" s="2" t="s">
        <v>16</v>
      </c>
      <c r="E130" s="2" t="s">
        <v>23</v>
      </c>
      <c r="F130" s="5">
        <v>0</v>
      </c>
      <c r="G130" s="1">
        <v>0</v>
      </c>
      <c r="H130" s="2">
        <v>1</v>
      </c>
      <c r="I130" s="6">
        <v>1.3888888888888889E-3</v>
      </c>
      <c r="J130" s="2"/>
      <c r="K130" s="2"/>
      <c r="L130" s="2" t="s">
        <v>33</v>
      </c>
      <c r="M130" s="2" t="s">
        <v>78</v>
      </c>
      <c r="N130" s="2" t="s">
        <v>41</v>
      </c>
    </row>
    <row r="131" spans="1:14" x14ac:dyDescent="0.3">
      <c r="A131" s="2" t="s">
        <v>70</v>
      </c>
      <c r="B131" s="3">
        <v>15</v>
      </c>
      <c r="C131" s="4" t="s">
        <v>44</v>
      </c>
      <c r="D131" s="2" t="s">
        <v>49</v>
      </c>
      <c r="E131" s="2" t="s">
        <v>23</v>
      </c>
      <c r="F131" s="5">
        <v>0</v>
      </c>
      <c r="G131" s="1">
        <v>0</v>
      </c>
      <c r="H131" s="2">
        <v>4</v>
      </c>
      <c r="I131" s="6">
        <v>1.3888888888888889E-3</v>
      </c>
      <c r="J131" s="2"/>
      <c r="K131" s="2"/>
      <c r="L131" s="2" t="s">
        <v>33</v>
      </c>
      <c r="M131" s="2" t="s">
        <v>77</v>
      </c>
      <c r="N131" s="2" t="s">
        <v>54</v>
      </c>
    </row>
    <row r="132" spans="1:14" x14ac:dyDescent="0.3">
      <c r="A132" s="2" t="s">
        <v>70</v>
      </c>
      <c r="B132" s="3">
        <v>26</v>
      </c>
      <c r="C132" s="4" t="s">
        <v>44</v>
      </c>
      <c r="D132" s="2" t="s">
        <v>16</v>
      </c>
      <c r="E132" s="2" t="s">
        <v>42</v>
      </c>
      <c r="F132" s="5">
        <v>0</v>
      </c>
      <c r="G132" s="1">
        <v>0</v>
      </c>
      <c r="H132" s="2">
        <v>2</v>
      </c>
      <c r="I132" s="6">
        <v>1.3888888888888889E-3</v>
      </c>
      <c r="J132" s="2"/>
      <c r="K132" s="2"/>
      <c r="L132" s="2" t="s">
        <v>51</v>
      </c>
      <c r="M132" s="2" t="s">
        <v>76</v>
      </c>
      <c r="N132" s="2" t="s">
        <v>31</v>
      </c>
    </row>
    <row r="133" spans="1:14" x14ac:dyDescent="0.3">
      <c r="A133" s="2" t="s">
        <v>70</v>
      </c>
      <c r="B133" s="3">
        <v>13</v>
      </c>
      <c r="C133" s="4" t="s">
        <v>60</v>
      </c>
      <c r="D133" s="2" t="s">
        <v>16</v>
      </c>
      <c r="E133" s="2" t="s">
        <v>68</v>
      </c>
      <c r="F133" s="5">
        <v>0</v>
      </c>
      <c r="G133" s="1">
        <v>0</v>
      </c>
      <c r="H133" s="2">
        <v>3</v>
      </c>
      <c r="I133" s="6">
        <v>1.3888888888888889E-3</v>
      </c>
      <c r="J133" s="2"/>
      <c r="K133" s="2"/>
      <c r="L133" s="2" t="s">
        <v>25</v>
      </c>
      <c r="M133" s="2" t="s">
        <v>76</v>
      </c>
      <c r="N133" s="2" t="s">
        <v>26</v>
      </c>
    </row>
    <row r="134" spans="1:14" x14ac:dyDescent="0.3">
      <c r="A134" s="2" t="s">
        <v>14</v>
      </c>
      <c r="B134" s="3">
        <v>16</v>
      </c>
      <c r="C134" s="4" t="s">
        <v>55</v>
      </c>
      <c r="D134" s="2" t="s">
        <v>38</v>
      </c>
      <c r="E134" s="2" t="s">
        <v>23</v>
      </c>
      <c r="F134" s="5">
        <v>5</v>
      </c>
      <c r="G134" s="1">
        <v>25000000</v>
      </c>
      <c r="H134" s="2">
        <v>1</v>
      </c>
      <c r="I134" s="6">
        <v>1.3888888888888889E-3</v>
      </c>
      <c r="J134" s="2" t="s">
        <v>18</v>
      </c>
      <c r="K134" s="2" t="s">
        <v>47</v>
      </c>
      <c r="L134" s="2" t="s">
        <v>48</v>
      </c>
      <c r="M134" s="2" t="s">
        <v>76</v>
      </c>
      <c r="N134" s="2" t="s">
        <v>31</v>
      </c>
    </row>
    <row r="135" spans="1:14" x14ac:dyDescent="0.3">
      <c r="A135" s="2" t="s">
        <v>14</v>
      </c>
      <c r="B135" s="3">
        <v>1</v>
      </c>
      <c r="C135" s="4" t="s">
        <v>57</v>
      </c>
      <c r="D135" s="2" t="s">
        <v>32</v>
      </c>
      <c r="E135" s="2" t="s">
        <v>23</v>
      </c>
      <c r="F135" s="5">
        <v>1</v>
      </c>
      <c r="G135" s="1">
        <v>7000000</v>
      </c>
      <c r="H135" s="2">
        <v>2</v>
      </c>
      <c r="I135" s="6">
        <v>1.3888888888888889E-3</v>
      </c>
      <c r="J135" s="2" t="s">
        <v>18</v>
      </c>
      <c r="K135" s="2" t="s">
        <v>24</v>
      </c>
      <c r="L135" s="2" t="s">
        <v>33</v>
      </c>
      <c r="M135" s="2" t="s">
        <v>76</v>
      </c>
      <c r="N135" s="2" t="s">
        <v>31</v>
      </c>
    </row>
    <row r="136" spans="1:14" x14ac:dyDescent="0.3">
      <c r="A136" s="2" t="s">
        <v>14</v>
      </c>
      <c r="B136" s="3">
        <v>11</v>
      </c>
      <c r="C136" s="4" t="s">
        <v>57</v>
      </c>
      <c r="D136" s="2" t="s">
        <v>32</v>
      </c>
      <c r="E136" s="2" t="s">
        <v>45</v>
      </c>
      <c r="F136" s="5">
        <v>2</v>
      </c>
      <c r="G136" s="1">
        <v>12000000</v>
      </c>
      <c r="H136" s="2">
        <v>2</v>
      </c>
      <c r="I136" s="6">
        <v>1.3888888888888889E-3</v>
      </c>
      <c r="J136" s="2" t="s">
        <v>18</v>
      </c>
      <c r="K136" s="2" t="s">
        <v>24</v>
      </c>
      <c r="L136" s="2" t="s">
        <v>40</v>
      </c>
      <c r="M136" s="2" t="s">
        <v>78</v>
      </c>
      <c r="N136" s="2" t="s">
        <v>63</v>
      </c>
    </row>
    <row r="137" spans="1:14" x14ac:dyDescent="0.3">
      <c r="A137" s="2" t="s">
        <v>14</v>
      </c>
      <c r="B137" s="3">
        <v>11</v>
      </c>
      <c r="C137" s="4" t="s">
        <v>57</v>
      </c>
      <c r="D137" s="2" t="s">
        <v>16</v>
      </c>
      <c r="E137" s="2" t="s">
        <v>23</v>
      </c>
      <c r="F137" s="5">
        <v>3</v>
      </c>
      <c r="G137" s="1">
        <v>15000000</v>
      </c>
      <c r="H137" s="2">
        <v>1</v>
      </c>
      <c r="I137" s="6">
        <v>1.3888888888888889E-3</v>
      </c>
      <c r="J137" s="2" t="s">
        <v>18</v>
      </c>
      <c r="K137" s="2" t="s">
        <v>39</v>
      </c>
      <c r="L137" s="2" t="s">
        <v>48</v>
      </c>
      <c r="M137" s="2" t="s">
        <v>66</v>
      </c>
      <c r="N137" s="2" t="s">
        <v>36</v>
      </c>
    </row>
    <row r="138" spans="1:14" x14ac:dyDescent="0.3">
      <c r="A138" s="2" t="s">
        <v>14</v>
      </c>
      <c r="B138" s="3">
        <v>1</v>
      </c>
      <c r="C138" s="4" t="s">
        <v>15</v>
      </c>
      <c r="D138" s="2" t="s">
        <v>16</v>
      </c>
      <c r="E138" s="2" t="s">
        <v>17</v>
      </c>
      <c r="F138" s="5">
        <v>1</v>
      </c>
      <c r="G138" s="1">
        <v>19000000</v>
      </c>
      <c r="H138" s="2">
        <v>1</v>
      </c>
      <c r="I138" s="6">
        <v>1.3888888888888889E-3</v>
      </c>
      <c r="J138" s="2" t="s">
        <v>46</v>
      </c>
      <c r="K138" s="2" t="s">
        <v>39</v>
      </c>
      <c r="L138" s="2" t="s">
        <v>43</v>
      </c>
      <c r="M138" s="2" t="s">
        <v>78</v>
      </c>
      <c r="N138" s="2" t="s">
        <v>66</v>
      </c>
    </row>
    <row r="139" spans="1:14" x14ac:dyDescent="0.3">
      <c r="A139" s="2" t="s">
        <v>14</v>
      </c>
      <c r="B139" s="3">
        <v>1</v>
      </c>
      <c r="C139" s="4" t="s">
        <v>15</v>
      </c>
      <c r="D139" s="2" t="s">
        <v>38</v>
      </c>
      <c r="E139" s="2" t="s">
        <v>23</v>
      </c>
      <c r="F139" s="5">
        <v>4</v>
      </c>
      <c r="G139" s="1">
        <v>20000000</v>
      </c>
      <c r="H139" s="2">
        <v>3</v>
      </c>
      <c r="I139" s="6">
        <v>1.3888888888888889E-3</v>
      </c>
      <c r="J139" s="2" t="s">
        <v>61</v>
      </c>
      <c r="K139" s="2" t="s">
        <v>39</v>
      </c>
      <c r="L139" s="2" t="s">
        <v>48</v>
      </c>
      <c r="M139" s="2" t="s">
        <v>66</v>
      </c>
      <c r="N139" s="2" t="s">
        <v>67</v>
      </c>
    </row>
    <row r="140" spans="1:14" x14ac:dyDescent="0.3">
      <c r="A140" s="2" t="s">
        <v>14</v>
      </c>
      <c r="B140" s="3">
        <v>1</v>
      </c>
      <c r="C140" s="4" t="s">
        <v>15</v>
      </c>
      <c r="D140" s="2" t="s">
        <v>16</v>
      </c>
      <c r="E140" s="2" t="s">
        <v>42</v>
      </c>
      <c r="F140" s="5">
        <v>3</v>
      </c>
      <c r="G140" s="1">
        <v>15000000</v>
      </c>
      <c r="H140" s="2">
        <v>1</v>
      </c>
      <c r="I140" s="6">
        <v>1.3888888888888889E-3</v>
      </c>
      <c r="J140" s="2" t="s">
        <v>18</v>
      </c>
      <c r="K140" s="2" t="s">
        <v>56</v>
      </c>
      <c r="L140" s="2" t="s">
        <v>51</v>
      </c>
      <c r="M140" s="2" t="s">
        <v>77</v>
      </c>
      <c r="N140" s="2" t="s">
        <v>34</v>
      </c>
    </row>
    <row r="141" spans="1:14" x14ac:dyDescent="0.3">
      <c r="A141" s="2" t="s">
        <v>14</v>
      </c>
      <c r="B141" s="3">
        <v>1</v>
      </c>
      <c r="C141" s="4" t="s">
        <v>59</v>
      </c>
      <c r="D141" s="2" t="s">
        <v>16</v>
      </c>
      <c r="E141" s="2" t="s">
        <v>17</v>
      </c>
      <c r="F141" s="5">
        <v>4</v>
      </c>
      <c r="G141" s="1">
        <v>20000000</v>
      </c>
      <c r="H141" s="2">
        <v>4</v>
      </c>
      <c r="I141" s="6">
        <v>1.3888888888888889E-3</v>
      </c>
      <c r="J141" s="2" t="s">
        <v>61</v>
      </c>
      <c r="K141" s="2" t="s">
        <v>39</v>
      </c>
      <c r="L141" s="2" t="s">
        <v>25</v>
      </c>
      <c r="M141" s="2" t="s">
        <v>78</v>
      </c>
      <c r="N141" s="2" t="s">
        <v>62</v>
      </c>
    </row>
    <row r="142" spans="1:14" x14ac:dyDescent="0.3">
      <c r="A142" s="2" t="s">
        <v>14</v>
      </c>
      <c r="B142" s="3">
        <v>4</v>
      </c>
      <c r="C142" s="4" t="s">
        <v>59</v>
      </c>
      <c r="D142" s="2" t="s">
        <v>73</v>
      </c>
      <c r="E142" s="2" t="s">
        <v>17</v>
      </c>
      <c r="F142" s="5">
        <v>3</v>
      </c>
      <c r="G142" s="1">
        <v>15000000</v>
      </c>
      <c r="H142" s="2">
        <v>1</v>
      </c>
      <c r="I142" s="6">
        <v>1.3888888888888889E-3</v>
      </c>
      <c r="J142" s="2" t="s">
        <v>18</v>
      </c>
      <c r="K142" s="2" t="s">
        <v>35</v>
      </c>
      <c r="L142" s="2" t="s">
        <v>43</v>
      </c>
      <c r="M142" s="2" t="s">
        <v>76</v>
      </c>
      <c r="N142" s="2" t="s">
        <v>31</v>
      </c>
    </row>
    <row r="143" spans="1:14" x14ac:dyDescent="0.3">
      <c r="A143" s="2" t="s">
        <v>14</v>
      </c>
      <c r="B143" s="3">
        <v>11</v>
      </c>
      <c r="C143" s="4" t="s">
        <v>59</v>
      </c>
      <c r="D143" s="2" t="s">
        <v>38</v>
      </c>
      <c r="E143" s="2" t="s">
        <v>23</v>
      </c>
      <c r="F143" s="5">
        <v>5</v>
      </c>
      <c r="G143" s="1">
        <v>25000000</v>
      </c>
      <c r="H143" s="2">
        <v>4</v>
      </c>
      <c r="I143" s="6">
        <v>1.3888888888888889E-3</v>
      </c>
      <c r="J143" s="2" t="s">
        <v>18</v>
      </c>
      <c r="K143" s="2" t="s">
        <v>29</v>
      </c>
      <c r="L143" s="2" t="s">
        <v>43</v>
      </c>
      <c r="M143" s="2" t="s">
        <v>76</v>
      </c>
      <c r="N143" s="2" t="s">
        <v>52</v>
      </c>
    </row>
    <row r="144" spans="1:14" x14ac:dyDescent="0.3">
      <c r="A144" s="2" t="s">
        <v>14</v>
      </c>
      <c r="B144" s="3">
        <v>12</v>
      </c>
      <c r="C144" s="4" t="s">
        <v>72</v>
      </c>
      <c r="D144" s="2" t="s">
        <v>38</v>
      </c>
      <c r="E144" s="2" t="s">
        <v>23</v>
      </c>
      <c r="F144" s="5">
        <v>2</v>
      </c>
      <c r="G144" s="1">
        <v>12000000</v>
      </c>
      <c r="H144" s="2">
        <v>4</v>
      </c>
      <c r="I144" s="6">
        <v>1.3888888888888889E-3</v>
      </c>
      <c r="J144" s="2" t="s">
        <v>18</v>
      </c>
      <c r="K144" s="2" t="s">
        <v>35</v>
      </c>
      <c r="L144" s="2" t="s">
        <v>25</v>
      </c>
      <c r="M144" s="2" t="s">
        <v>77</v>
      </c>
      <c r="N144" s="2" t="s">
        <v>54</v>
      </c>
    </row>
    <row r="145" spans="1:14" x14ac:dyDescent="0.3">
      <c r="A145" s="2" t="s">
        <v>14</v>
      </c>
      <c r="B145" s="3">
        <v>31</v>
      </c>
      <c r="C145" s="4" t="s">
        <v>22</v>
      </c>
      <c r="D145" s="2" t="s">
        <v>16</v>
      </c>
      <c r="E145" s="2" t="s">
        <v>23</v>
      </c>
      <c r="F145" s="5">
        <v>1</v>
      </c>
      <c r="G145" s="1">
        <v>19000000</v>
      </c>
      <c r="H145" s="2">
        <v>3</v>
      </c>
      <c r="I145" s="6">
        <v>1.3888888888888889E-3</v>
      </c>
      <c r="J145" s="2" t="s">
        <v>46</v>
      </c>
      <c r="K145" s="2" t="s">
        <v>56</v>
      </c>
      <c r="L145" s="2" t="s">
        <v>25</v>
      </c>
      <c r="M145" s="2" t="s">
        <v>76</v>
      </c>
      <c r="N145" s="2" t="s">
        <v>52</v>
      </c>
    </row>
    <row r="146" spans="1:14" x14ac:dyDescent="0.3">
      <c r="A146" s="2" t="s">
        <v>14</v>
      </c>
      <c r="B146" s="3">
        <v>2</v>
      </c>
      <c r="C146" s="4" t="s">
        <v>22</v>
      </c>
      <c r="D146" s="2" t="s">
        <v>28</v>
      </c>
      <c r="E146" s="2" t="s">
        <v>45</v>
      </c>
      <c r="F146" s="5">
        <v>2</v>
      </c>
      <c r="G146" s="1">
        <v>12000000</v>
      </c>
      <c r="H146" s="2">
        <v>2</v>
      </c>
      <c r="I146" s="6">
        <v>1.3888888888888889E-3</v>
      </c>
      <c r="J146" s="2" t="s">
        <v>18</v>
      </c>
      <c r="K146" s="2" t="s">
        <v>56</v>
      </c>
      <c r="L146" s="2" t="s">
        <v>30</v>
      </c>
      <c r="M146" s="2" t="s">
        <v>78</v>
      </c>
      <c r="N146" s="2" t="s">
        <v>66</v>
      </c>
    </row>
    <row r="147" spans="1:14" x14ac:dyDescent="0.3">
      <c r="A147" s="2" t="s">
        <v>14</v>
      </c>
      <c r="B147" s="3">
        <v>9</v>
      </c>
      <c r="C147" s="4" t="s">
        <v>22</v>
      </c>
      <c r="D147" s="2" t="s">
        <v>16</v>
      </c>
      <c r="E147" s="2" t="s">
        <v>42</v>
      </c>
      <c r="F147" s="5">
        <v>3</v>
      </c>
      <c r="G147" s="1">
        <v>12000000</v>
      </c>
      <c r="H147" s="2">
        <v>5</v>
      </c>
      <c r="I147" s="6">
        <v>1.3888888888888889E-3</v>
      </c>
      <c r="J147" s="2" t="s">
        <v>18</v>
      </c>
      <c r="K147" s="2" t="s">
        <v>64</v>
      </c>
      <c r="L147" s="2" t="s">
        <v>40</v>
      </c>
      <c r="M147" s="2" t="s">
        <v>76</v>
      </c>
      <c r="N147" s="2" t="s">
        <v>52</v>
      </c>
    </row>
    <row r="148" spans="1:14" x14ac:dyDescent="0.3">
      <c r="A148" s="2" t="s">
        <v>14</v>
      </c>
      <c r="B148" s="3">
        <v>25</v>
      </c>
      <c r="C148" s="4" t="s">
        <v>22</v>
      </c>
      <c r="D148" s="2" t="s">
        <v>32</v>
      </c>
      <c r="E148" s="2" t="s">
        <v>42</v>
      </c>
      <c r="F148" s="5">
        <v>2</v>
      </c>
      <c r="G148" s="1">
        <v>10000000</v>
      </c>
      <c r="H148" s="2">
        <v>4</v>
      </c>
      <c r="I148" s="6">
        <v>1.3888888888888889E-3</v>
      </c>
      <c r="J148" s="2" t="s">
        <v>18</v>
      </c>
      <c r="K148" s="2" t="s">
        <v>64</v>
      </c>
      <c r="L148" s="2" t="s">
        <v>33</v>
      </c>
      <c r="M148" s="2" t="s">
        <v>76</v>
      </c>
      <c r="N148" s="2" t="s">
        <v>31</v>
      </c>
    </row>
    <row r="149" spans="1:14" x14ac:dyDescent="0.3">
      <c r="A149" s="2" t="s">
        <v>14</v>
      </c>
      <c r="B149" s="3">
        <v>9</v>
      </c>
      <c r="C149" s="4" t="s">
        <v>22</v>
      </c>
      <c r="D149" s="2" t="s">
        <v>16</v>
      </c>
      <c r="E149" s="2" t="s">
        <v>42</v>
      </c>
      <c r="F149" s="5">
        <v>2</v>
      </c>
      <c r="G149" s="1">
        <v>12000000</v>
      </c>
      <c r="H149" s="2">
        <v>1</v>
      </c>
      <c r="I149" s="6">
        <v>1.3888888888888889E-3</v>
      </c>
      <c r="J149" s="2" t="s">
        <v>18</v>
      </c>
      <c r="K149" s="2" t="s">
        <v>47</v>
      </c>
      <c r="L149" s="2" t="s">
        <v>40</v>
      </c>
      <c r="M149" s="2" t="s">
        <v>78</v>
      </c>
      <c r="N149" s="2" t="s">
        <v>63</v>
      </c>
    </row>
    <row r="150" spans="1:14" x14ac:dyDescent="0.3">
      <c r="A150" s="2" t="s">
        <v>14</v>
      </c>
      <c r="B150" s="3">
        <v>10</v>
      </c>
      <c r="C150" s="4" t="s">
        <v>22</v>
      </c>
      <c r="D150" s="2" t="s">
        <v>32</v>
      </c>
      <c r="E150" s="2" t="s">
        <v>42</v>
      </c>
      <c r="F150" s="5">
        <v>3</v>
      </c>
      <c r="G150" s="1">
        <v>15000000</v>
      </c>
      <c r="H150" s="2">
        <v>1</v>
      </c>
      <c r="I150" s="6">
        <v>1.3888888888888889E-3</v>
      </c>
      <c r="J150" s="2" t="s">
        <v>18</v>
      </c>
      <c r="K150" s="2" t="s">
        <v>56</v>
      </c>
      <c r="L150" s="2" t="s">
        <v>40</v>
      </c>
      <c r="M150" s="2" t="s">
        <v>76</v>
      </c>
      <c r="N150" s="2" t="s">
        <v>52</v>
      </c>
    </row>
    <row r="151" spans="1:14" x14ac:dyDescent="0.3">
      <c r="A151" s="2" t="s">
        <v>14</v>
      </c>
      <c r="B151" s="3">
        <v>14</v>
      </c>
      <c r="C151" s="4" t="s">
        <v>22</v>
      </c>
      <c r="D151" s="2" t="s">
        <v>49</v>
      </c>
      <c r="E151" s="2" t="s">
        <v>23</v>
      </c>
      <c r="F151" s="5">
        <v>4</v>
      </c>
      <c r="G151" s="1">
        <v>20000000</v>
      </c>
      <c r="H151" s="2">
        <v>3</v>
      </c>
      <c r="I151" s="6">
        <v>1.3888888888888889E-3</v>
      </c>
      <c r="J151" s="2" t="s">
        <v>18</v>
      </c>
      <c r="K151" s="2" t="s">
        <v>29</v>
      </c>
      <c r="L151" s="2" t="s">
        <v>20</v>
      </c>
      <c r="M151" s="2" t="s">
        <v>78</v>
      </c>
      <c r="N151" s="2" t="s">
        <v>63</v>
      </c>
    </row>
    <row r="152" spans="1:14" x14ac:dyDescent="0.3">
      <c r="A152" s="2" t="s">
        <v>14</v>
      </c>
      <c r="B152" s="3">
        <v>10</v>
      </c>
      <c r="C152" s="4" t="s">
        <v>27</v>
      </c>
      <c r="D152" s="2" t="s">
        <v>28</v>
      </c>
      <c r="E152" s="2" t="s">
        <v>45</v>
      </c>
      <c r="F152" s="5">
        <v>4</v>
      </c>
      <c r="G152" s="1">
        <v>11000000</v>
      </c>
      <c r="H152" s="2">
        <v>1</v>
      </c>
      <c r="I152" s="6">
        <v>1.3888888888888889E-3</v>
      </c>
      <c r="J152" s="2" t="s">
        <v>61</v>
      </c>
      <c r="K152" s="2" t="s">
        <v>19</v>
      </c>
      <c r="L152" s="2" t="s">
        <v>43</v>
      </c>
      <c r="M152" s="2" t="s">
        <v>77</v>
      </c>
      <c r="N152" s="2" t="s">
        <v>34</v>
      </c>
    </row>
    <row r="153" spans="1:14" x14ac:dyDescent="0.3">
      <c r="A153" s="2" t="s">
        <v>14</v>
      </c>
      <c r="B153" s="3">
        <v>27</v>
      </c>
      <c r="C153" s="4" t="s">
        <v>27</v>
      </c>
      <c r="D153" s="2" t="s">
        <v>32</v>
      </c>
      <c r="E153" s="2" t="s">
        <v>17</v>
      </c>
      <c r="F153" s="5">
        <v>3</v>
      </c>
      <c r="G153" s="1">
        <v>12000000</v>
      </c>
      <c r="H153" s="2">
        <v>3</v>
      </c>
      <c r="I153" s="6">
        <v>1.3888888888888889E-3</v>
      </c>
      <c r="J153" s="2" t="s">
        <v>18</v>
      </c>
      <c r="K153" s="2" t="s">
        <v>29</v>
      </c>
      <c r="L153" s="2" t="s">
        <v>30</v>
      </c>
      <c r="M153" s="2" t="s">
        <v>78</v>
      </c>
      <c r="N153" s="2" t="s">
        <v>62</v>
      </c>
    </row>
    <row r="154" spans="1:14" x14ac:dyDescent="0.3">
      <c r="A154" s="2" t="s">
        <v>14</v>
      </c>
      <c r="B154" s="3">
        <v>28</v>
      </c>
      <c r="C154" s="4" t="s">
        <v>27</v>
      </c>
      <c r="D154" s="2" t="s">
        <v>16</v>
      </c>
      <c r="E154" s="2" t="s">
        <v>42</v>
      </c>
      <c r="F154" s="5">
        <v>3</v>
      </c>
      <c r="G154" s="1">
        <v>15000000</v>
      </c>
      <c r="H154" s="2">
        <v>1</v>
      </c>
      <c r="I154" s="6">
        <v>1.3888888888888889E-3</v>
      </c>
      <c r="J154" s="2" t="s">
        <v>18</v>
      </c>
      <c r="K154" s="2" t="s">
        <v>29</v>
      </c>
      <c r="L154" s="2" t="s">
        <v>48</v>
      </c>
      <c r="M154" s="2" t="s">
        <v>76</v>
      </c>
      <c r="N154" s="2" t="s">
        <v>31</v>
      </c>
    </row>
    <row r="155" spans="1:14" x14ac:dyDescent="0.3">
      <c r="A155" s="2" t="s">
        <v>14</v>
      </c>
      <c r="B155" s="3">
        <v>28</v>
      </c>
      <c r="C155" s="4" t="s">
        <v>27</v>
      </c>
      <c r="D155" s="2" t="s">
        <v>16</v>
      </c>
      <c r="E155" s="2" t="s">
        <v>42</v>
      </c>
      <c r="F155" s="5">
        <v>5</v>
      </c>
      <c r="G155" s="1">
        <v>25000000</v>
      </c>
      <c r="H155" s="2">
        <v>2</v>
      </c>
      <c r="I155" s="6">
        <v>1.3888888888888889E-3</v>
      </c>
      <c r="J155" s="2" t="s">
        <v>18</v>
      </c>
      <c r="K155" s="2" t="s">
        <v>35</v>
      </c>
      <c r="L155" s="2" t="s">
        <v>30</v>
      </c>
      <c r="M155" s="2" t="s">
        <v>76</v>
      </c>
      <c r="N155" s="2" t="s">
        <v>26</v>
      </c>
    </row>
    <row r="156" spans="1:14" x14ac:dyDescent="0.3">
      <c r="A156" s="2" t="s">
        <v>14</v>
      </c>
      <c r="B156" s="3">
        <v>29</v>
      </c>
      <c r="C156" s="4" t="s">
        <v>27</v>
      </c>
      <c r="D156" s="2" t="s">
        <v>32</v>
      </c>
      <c r="E156" s="2" t="s">
        <v>23</v>
      </c>
      <c r="F156" s="5">
        <v>1</v>
      </c>
      <c r="G156" s="1">
        <v>7000000</v>
      </c>
      <c r="H156" s="2">
        <v>3</v>
      </c>
      <c r="I156" s="6">
        <v>1.3888888888888889E-3</v>
      </c>
      <c r="J156" s="2" t="s">
        <v>18</v>
      </c>
      <c r="K156" s="2" t="s">
        <v>39</v>
      </c>
      <c r="L156" s="2" t="s">
        <v>33</v>
      </c>
      <c r="M156" s="2" t="s">
        <v>66</v>
      </c>
      <c r="N156" s="2" t="s">
        <v>67</v>
      </c>
    </row>
    <row r="157" spans="1:14" x14ac:dyDescent="0.3">
      <c r="A157" s="2" t="s">
        <v>14</v>
      </c>
      <c r="B157" s="3">
        <v>30</v>
      </c>
      <c r="C157" s="4" t="s">
        <v>27</v>
      </c>
      <c r="D157" s="2" t="s">
        <v>73</v>
      </c>
      <c r="E157" s="2" t="s">
        <v>23</v>
      </c>
      <c r="F157" s="5">
        <v>2</v>
      </c>
      <c r="G157" s="1">
        <v>12000000</v>
      </c>
      <c r="H157" s="2">
        <v>4</v>
      </c>
      <c r="I157" s="6">
        <v>1.3888888888888889E-3</v>
      </c>
      <c r="J157" s="2" t="s">
        <v>18</v>
      </c>
      <c r="K157" s="2" t="s">
        <v>29</v>
      </c>
      <c r="L157" s="2" t="s">
        <v>30</v>
      </c>
      <c r="M157" s="2" t="s">
        <v>78</v>
      </c>
      <c r="N157" s="2" t="s">
        <v>53</v>
      </c>
    </row>
    <row r="158" spans="1:14" x14ac:dyDescent="0.3">
      <c r="A158" s="2" t="s">
        <v>14</v>
      </c>
      <c r="B158" s="3">
        <v>11</v>
      </c>
      <c r="C158" s="4" t="s">
        <v>27</v>
      </c>
      <c r="D158" s="2" t="s">
        <v>38</v>
      </c>
      <c r="E158" s="2" t="s">
        <v>42</v>
      </c>
      <c r="F158" s="5">
        <v>3</v>
      </c>
      <c r="G158" s="1">
        <v>15000000</v>
      </c>
      <c r="H158" s="2">
        <v>1</v>
      </c>
      <c r="I158" s="6">
        <v>1.3888888888888889E-3</v>
      </c>
      <c r="J158" s="2" t="s">
        <v>18</v>
      </c>
      <c r="K158" s="2" t="s">
        <v>19</v>
      </c>
      <c r="L158" s="2" t="s">
        <v>33</v>
      </c>
      <c r="M158" s="2" t="s">
        <v>66</v>
      </c>
      <c r="N158" s="2" t="s">
        <v>67</v>
      </c>
    </row>
    <row r="159" spans="1:14" x14ac:dyDescent="0.3">
      <c r="A159" s="2" t="s">
        <v>14</v>
      </c>
      <c r="B159" s="3">
        <v>15</v>
      </c>
      <c r="C159" s="4" t="s">
        <v>27</v>
      </c>
      <c r="D159" s="2" t="s">
        <v>28</v>
      </c>
      <c r="E159" s="2" t="s">
        <v>23</v>
      </c>
      <c r="F159" s="5">
        <v>4</v>
      </c>
      <c r="G159" s="1">
        <v>15000000</v>
      </c>
      <c r="H159" s="2">
        <v>3</v>
      </c>
      <c r="I159" s="6">
        <v>1.3888888888888889E-3</v>
      </c>
      <c r="J159" s="2" t="s">
        <v>18</v>
      </c>
      <c r="K159" s="2" t="s">
        <v>29</v>
      </c>
      <c r="L159" s="2" t="s">
        <v>43</v>
      </c>
      <c r="M159" s="2" t="s">
        <v>78</v>
      </c>
      <c r="N159" s="2" t="s">
        <v>62</v>
      </c>
    </row>
    <row r="160" spans="1:14" x14ac:dyDescent="0.3">
      <c r="A160" s="2" t="s">
        <v>14</v>
      </c>
      <c r="B160" s="3">
        <v>20</v>
      </c>
      <c r="C160" s="4" t="s">
        <v>37</v>
      </c>
      <c r="D160" s="2" t="s">
        <v>32</v>
      </c>
      <c r="E160" s="2" t="s">
        <v>23</v>
      </c>
      <c r="F160" s="5">
        <v>2</v>
      </c>
      <c r="G160" s="1">
        <v>38000000</v>
      </c>
      <c r="H160" s="2">
        <v>1</v>
      </c>
      <c r="I160" s="6">
        <v>1.3888888888888889E-3</v>
      </c>
      <c r="J160" s="2" t="s">
        <v>74</v>
      </c>
      <c r="K160" s="2" t="s">
        <v>19</v>
      </c>
      <c r="L160" s="2" t="s">
        <v>43</v>
      </c>
      <c r="M160" s="2" t="s">
        <v>66</v>
      </c>
      <c r="N160" s="2" t="s">
        <v>67</v>
      </c>
    </row>
    <row r="161" spans="1:14" x14ac:dyDescent="0.3">
      <c r="A161" s="2" t="s">
        <v>14</v>
      </c>
      <c r="B161" s="3">
        <v>8</v>
      </c>
      <c r="C161" s="4" t="s">
        <v>37</v>
      </c>
      <c r="D161" s="2" t="s">
        <v>38</v>
      </c>
      <c r="E161" s="2" t="s">
        <v>45</v>
      </c>
      <c r="F161" s="5">
        <v>2</v>
      </c>
      <c r="G161" s="1">
        <v>38000000</v>
      </c>
      <c r="H161" s="2">
        <v>4</v>
      </c>
      <c r="I161" s="6">
        <v>1.3888888888888889E-3</v>
      </c>
      <c r="J161" s="2" t="s">
        <v>46</v>
      </c>
      <c r="K161" s="2" t="s">
        <v>19</v>
      </c>
      <c r="L161" s="2" t="s">
        <v>33</v>
      </c>
      <c r="M161" s="2" t="s">
        <v>66</v>
      </c>
      <c r="N161" s="2" t="s">
        <v>67</v>
      </c>
    </row>
    <row r="162" spans="1:14" x14ac:dyDescent="0.3">
      <c r="A162" s="2" t="s">
        <v>14</v>
      </c>
      <c r="B162" s="3">
        <v>27</v>
      </c>
      <c r="C162" s="4" t="s">
        <v>37</v>
      </c>
      <c r="D162" s="2" t="s">
        <v>16</v>
      </c>
      <c r="E162" s="2" t="s">
        <v>68</v>
      </c>
      <c r="F162" s="5">
        <v>2</v>
      </c>
      <c r="G162" s="1">
        <v>38000000</v>
      </c>
      <c r="H162" s="2">
        <v>1</v>
      </c>
      <c r="I162" s="6">
        <v>1.3888888888888889E-3</v>
      </c>
      <c r="J162" s="2" t="s">
        <v>46</v>
      </c>
      <c r="K162" s="2" t="s">
        <v>35</v>
      </c>
      <c r="L162" s="2" t="s">
        <v>48</v>
      </c>
      <c r="M162" s="2" t="s">
        <v>66</v>
      </c>
      <c r="N162" s="2" t="s">
        <v>67</v>
      </c>
    </row>
    <row r="163" spans="1:14" x14ac:dyDescent="0.3">
      <c r="A163" s="2" t="s">
        <v>14</v>
      </c>
      <c r="B163" s="3">
        <v>5</v>
      </c>
      <c r="C163" s="4" t="s">
        <v>37</v>
      </c>
      <c r="D163" s="2" t="s">
        <v>49</v>
      </c>
      <c r="E163" s="2" t="s">
        <v>23</v>
      </c>
      <c r="F163" s="5">
        <v>4</v>
      </c>
      <c r="G163" s="1">
        <v>15000000</v>
      </c>
      <c r="H163" s="2">
        <v>1</v>
      </c>
      <c r="I163" s="6">
        <v>1.3888888888888889E-3</v>
      </c>
      <c r="J163" s="2" t="s">
        <v>18</v>
      </c>
      <c r="K163" s="2" t="s">
        <v>19</v>
      </c>
      <c r="L163" s="2" t="s">
        <v>33</v>
      </c>
      <c r="M163" s="2" t="s">
        <v>66</v>
      </c>
      <c r="N163" s="2" t="s">
        <v>36</v>
      </c>
    </row>
    <row r="164" spans="1:14" x14ac:dyDescent="0.3">
      <c r="A164" s="2" t="s">
        <v>14</v>
      </c>
      <c r="B164" s="3">
        <v>27</v>
      </c>
      <c r="C164" s="4" t="s">
        <v>37</v>
      </c>
      <c r="D164" s="2" t="s">
        <v>28</v>
      </c>
      <c r="E164" s="2" t="s">
        <v>23</v>
      </c>
      <c r="F164" s="5">
        <v>4</v>
      </c>
      <c r="G164" s="1">
        <v>15000000</v>
      </c>
      <c r="H164" s="2">
        <v>1</v>
      </c>
      <c r="I164" s="6">
        <v>1.3888888888888889E-3</v>
      </c>
      <c r="J164" s="2" t="s">
        <v>18</v>
      </c>
      <c r="K164" s="2" t="s">
        <v>19</v>
      </c>
      <c r="L164" s="2" t="s">
        <v>20</v>
      </c>
      <c r="M164" s="2" t="s">
        <v>77</v>
      </c>
      <c r="N164" s="2" t="s">
        <v>54</v>
      </c>
    </row>
    <row r="165" spans="1:14" x14ac:dyDescent="0.3">
      <c r="A165" s="2" t="s">
        <v>14</v>
      </c>
      <c r="B165" s="3">
        <v>30</v>
      </c>
      <c r="C165" s="4" t="s">
        <v>37</v>
      </c>
      <c r="D165" s="2" t="s">
        <v>38</v>
      </c>
      <c r="E165" s="2" t="s">
        <v>23</v>
      </c>
      <c r="F165" s="5">
        <v>3</v>
      </c>
      <c r="G165" s="1">
        <v>15000000</v>
      </c>
      <c r="H165" s="2">
        <v>1</v>
      </c>
      <c r="I165" s="6">
        <v>1.3888888888888889E-3</v>
      </c>
      <c r="J165" s="2" t="s">
        <v>18</v>
      </c>
      <c r="K165" s="2" t="s">
        <v>47</v>
      </c>
      <c r="L165" s="2" t="s">
        <v>20</v>
      </c>
      <c r="M165" s="2" t="s">
        <v>77</v>
      </c>
      <c r="N165" s="2" t="s">
        <v>54</v>
      </c>
    </row>
    <row r="166" spans="1:14" x14ac:dyDescent="0.3">
      <c r="A166" s="2" t="s">
        <v>14</v>
      </c>
      <c r="B166" s="3">
        <v>1</v>
      </c>
      <c r="C166" s="4" t="s">
        <v>37</v>
      </c>
      <c r="D166" s="2" t="s">
        <v>38</v>
      </c>
      <c r="E166" s="2" t="s">
        <v>42</v>
      </c>
      <c r="F166" s="5">
        <v>2</v>
      </c>
      <c r="G166" s="1">
        <v>10000000</v>
      </c>
      <c r="H166" s="2">
        <v>1</v>
      </c>
      <c r="I166" s="6">
        <v>1.3888888888888889E-3</v>
      </c>
      <c r="J166" s="2" t="s">
        <v>18</v>
      </c>
      <c r="K166" s="2" t="s">
        <v>39</v>
      </c>
      <c r="L166" s="2" t="s">
        <v>43</v>
      </c>
      <c r="M166" s="2" t="s">
        <v>78</v>
      </c>
      <c r="N166" s="2" t="s">
        <v>66</v>
      </c>
    </row>
    <row r="167" spans="1:14" x14ac:dyDescent="0.3">
      <c r="A167" s="2" t="s">
        <v>14</v>
      </c>
      <c r="B167" s="3">
        <v>2</v>
      </c>
      <c r="C167" s="4" t="s">
        <v>37</v>
      </c>
      <c r="D167" s="2" t="s">
        <v>16</v>
      </c>
      <c r="E167" s="2" t="s">
        <v>42</v>
      </c>
      <c r="F167" s="5">
        <v>3</v>
      </c>
      <c r="G167" s="1">
        <v>11000000</v>
      </c>
      <c r="H167" s="2">
        <v>1</v>
      </c>
      <c r="I167" s="6">
        <v>1.3888888888888889E-3</v>
      </c>
      <c r="J167" s="2" t="s">
        <v>18</v>
      </c>
      <c r="K167" s="2" t="s">
        <v>47</v>
      </c>
      <c r="L167" s="2" t="s">
        <v>51</v>
      </c>
      <c r="M167" s="2" t="s">
        <v>77</v>
      </c>
      <c r="N167" s="2" t="s">
        <v>54</v>
      </c>
    </row>
    <row r="168" spans="1:14" x14ac:dyDescent="0.3">
      <c r="A168" s="2" t="s">
        <v>14</v>
      </c>
      <c r="B168" s="3">
        <v>6</v>
      </c>
      <c r="C168" s="4" t="s">
        <v>37</v>
      </c>
      <c r="D168" s="2" t="s">
        <v>16</v>
      </c>
      <c r="E168" s="2" t="s">
        <v>23</v>
      </c>
      <c r="F168" s="5">
        <v>5</v>
      </c>
      <c r="G168" s="1">
        <v>20000000</v>
      </c>
      <c r="H168" s="2">
        <v>1</v>
      </c>
      <c r="I168" s="6">
        <v>1.3888888888888889E-3</v>
      </c>
      <c r="J168" s="2" t="s">
        <v>18</v>
      </c>
      <c r="K168" s="2" t="s">
        <v>29</v>
      </c>
      <c r="L168" s="2" t="s">
        <v>51</v>
      </c>
      <c r="M168" s="2" t="s">
        <v>66</v>
      </c>
      <c r="N168" s="2" t="s">
        <v>36</v>
      </c>
    </row>
    <row r="169" spans="1:14" x14ac:dyDescent="0.3">
      <c r="A169" s="2" t="s">
        <v>14</v>
      </c>
      <c r="B169" s="3">
        <v>29</v>
      </c>
      <c r="C169" s="4" t="s">
        <v>37</v>
      </c>
      <c r="D169" s="2" t="s">
        <v>38</v>
      </c>
      <c r="E169" s="2" t="s">
        <v>17</v>
      </c>
      <c r="F169" s="5">
        <v>5</v>
      </c>
      <c r="G169" s="1">
        <v>25000000</v>
      </c>
      <c r="H169" s="2">
        <v>6</v>
      </c>
      <c r="I169" s="6">
        <v>1.3888888888888889E-3</v>
      </c>
      <c r="J169" s="2" t="s">
        <v>18</v>
      </c>
      <c r="K169" s="2" t="s">
        <v>19</v>
      </c>
      <c r="L169" s="2" t="s">
        <v>51</v>
      </c>
      <c r="M169" s="2" t="s">
        <v>78</v>
      </c>
      <c r="N169" s="2" t="s">
        <v>21</v>
      </c>
    </row>
    <row r="170" spans="1:14" x14ac:dyDescent="0.3">
      <c r="A170" s="2" t="s">
        <v>14</v>
      </c>
      <c r="B170" s="3">
        <v>22</v>
      </c>
      <c r="C170" s="4" t="s">
        <v>44</v>
      </c>
      <c r="D170" s="2" t="s">
        <v>32</v>
      </c>
      <c r="E170" s="2" t="s">
        <v>42</v>
      </c>
      <c r="F170" s="5">
        <v>1</v>
      </c>
      <c r="G170" s="1">
        <v>19000000</v>
      </c>
      <c r="H170" s="2">
        <v>5</v>
      </c>
      <c r="I170" s="6">
        <v>1.3888888888888889E-3</v>
      </c>
      <c r="J170" s="2" t="s">
        <v>46</v>
      </c>
      <c r="K170" s="2" t="s">
        <v>29</v>
      </c>
      <c r="L170" s="2" t="s">
        <v>20</v>
      </c>
      <c r="M170" s="2" t="s">
        <v>78</v>
      </c>
      <c r="N170" s="2" t="s">
        <v>53</v>
      </c>
    </row>
    <row r="171" spans="1:14" x14ac:dyDescent="0.3">
      <c r="A171" s="2" t="s">
        <v>14</v>
      </c>
      <c r="B171" s="3">
        <v>22</v>
      </c>
      <c r="C171" s="4" t="s">
        <v>44</v>
      </c>
      <c r="D171" s="2" t="s">
        <v>16</v>
      </c>
      <c r="E171" s="2" t="s">
        <v>23</v>
      </c>
      <c r="F171" s="5">
        <v>4</v>
      </c>
      <c r="G171" s="1">
        <v>20000000</v>
      </c>
      <c r="H171" s="2">
        <v>4</v>
      </c>
      <c r="I171" s="6">
        <v>1.3888888888888889E-3</v>
      </c>
      <c r="J171" s="2" t="s">
        <v>61</v>
      </c>
      <c r="K171" s="2" t="s">
        <v>56</v>
      </c>
      <c r="L171" s="2" t="s">
        <v>20</v>
      </c>
      <c r="M171" s="2" t="s">
        <v>76</v>
      </c>
      <c r="N171" s="2" t="s">
        <v>52</v>
      </c>
    </row>
    <row r="172" spans="1:14" x14ac:dyDescent="0.3">
      <c r="A172" s="2" t="s">
        <v>14</v>
      </c>
      <c r="B172" s="3">
        <v>15</v>
      </c>
      <c r="C172" s="4" t="s">
        <v>44</v>
      </c>
      <c r="D172" s="2" t="s">
        <v>28</v>
      </c>
      <c r="E172" s="2" t="s">
        <v>42</v>
      </c>
      <c r="F172" s="5">
        <v>2</v>
      </c>
      <c r="G172" s="1">
        <v>12000000</v>
      </c>
      <c r="H172" s="2">
        <v>2</v>
      </c>
      <c r="I172" s="6">
        <v>1.3888888888888889E-3</v>
      </c>
      <c r="J172" s="2" t="s">
        <v>18</v>
      </c>
      <c r="K172" s="2" t="s">
        <v>29</v>
      </c>
      <c r="L172" s="2" t="s">
        <v>30</v>
      </c>
      <c r="M172" s="2" t="s">
        <v>78</v>
      </c>
      <c r="N172" s="2" t="s">
        <v>21</v>
      </c>
    </row>
    <row r="173" spans="1:14" x14ac:dyDescent="0.3">
      <c r="A173" s="2" t="s">
        <v>14</v>
      </c>
      <c r="B173" s="3">
        <v>19</v>
      </c>
      <c r="C173" s="4" t="s">
        <v>44</v>
      </c>
      <c r="D173" s="2" t="s">
        <v>16</v>
      </c>
      <c r="E173" s="2" t="s">
        <v>17</v>
      </c>
      <c r="F173" s="5">
        <v>3</v>
      </c>
      <c r="G173" s="1">
        <v>15000000</v>
      </c>
      <c r="H173" s="2">
        <v>3</v>
      </c>
      <c r="I173" s="6">
        <v>1.3888888888888889E-3</v>
      </c>
      <c r="J173" s="2" t="s">
        <v>18</v>
      </c>
      <c r="K173" s="2" t="s">
        <v>39</v>
      </c>
      <c r="L173" s="2" t="s">
        <v>30</v>
      </c>
      <c r="M173" s="2" t="s">
        <v>76</v>
      </c>
      <c r="N173" s="2" t="s">
        <v>26</v>
      </c>
    </row>
    <row r="174" spans="1:14" x14ac:dyDescent="0.3">
      <c r="A174" s="2" t="s">
        <v>14</v>
      </c>
      <c r="B174" s="3">
        <v>17</v>
      </c>
      <c r="C174" s="4" t="s">
        <v>44</v>
      </c>
      <c r="D174" s="2" t="s">
        <v>28</v>
      </c>
      <c r="E174" s="2" t="s">
        <v>42</v>
      </c>
      <c r="F174" s="5">
        <v>1</v>
      </c>
      <c r="G174" s="1">
        <v>7000000</v>
      </c>
      <c r="H174" s="2">
        <v>3</v>
      </c>
      <c r="I174" s="6">
        <v>1.3888888888888889E-3</v>
      </c>
      <c r="J174" s="2" t="s">
        <v>18</v>
      </c>
      <c r="K174" s="2" t="s">
        <v>19</v>
      </c>
      <c r="L174" s="2" t="s">
        <v>43</v>
      </c>
      <c r="M174" s="2" t="s">
        <v>78</v>
      </c>
      <c r="N174" s="2" t="s">
        <v>41</v>
      </c>
    </row>
    <row r="175" spans="1:14" x14ac:dyDescent="0.3">
      <c r="A175" s="2" t="s">
        <v>14</v>
      </c>
      <c r="B175" s="3">
        <v>19</v>
      </c>
      <c r="C175" s="4" t="s">
        <v>44</v>
      </c>
      <c r="D175" s="2" t="s">
        <v>73</v>
      </c>
      <c r="E175" s="2" t="s">
        <v>42</v>
      </c>
      <c r="F175" s="5">
        <v>2</v>
      </c>
      <c r="G175" s="1">
        <v>12000000</v>
      </c>
      <c r="H175" s="2">
        <v>1</v>
      </c>
      <c r="I175" s="6">
        <v>1.3888888888888889E-3</v>
      </c>
      <c r="J175" s="2" t="s">
        <v>18</v>
      </c>
      <c r="K175" s="2" t="s">
        <v>24</v>
      </c>
      <c r="L175" s="2" t="s">
        <v>48</v>
      </c>
      <c r="M175" s="2" t="s">
        <v>76</v>
      </c>
      <c r="N175" s="2" t="s">
        <v>31</v>
      </c>
    </row>
    <row r="176" spans="1:14" x14ac:dyDescent="0.3">
      <c r="A176" s="2" t="s">
        <v>14</v>
      </c>
      <c r="B176" s="3">
        <v>14</v>
      </c>
      <c r="C176" s="4" t="s">
        <v>44</v>
      </c>
      <c r="D176" s="2" t="s">
        <v>38</v>
      </c>
      <c r="E176" s="2" t="s">
        <v>17</v>
      </c>
      <c r="F176" s="5">
        <v>5</v>
      </c>
      <c r="G176" s="1">
        <v>25000000</v>
      </c>
      <c r="H176" s="2">
        <v>1</v>
      </c>
      <c r="I176" s="6">
        <v>1.3888888888888889E-3</v>
      </c>
      <c r="J176" s="2" t="s">
        <v>18</v>
      </c>
      <c r="K176" s="2" t="s">
        <v>39</v>
      </c>
      <c r="L176" s="2" t="s">
        <v>51</v>
      </c>
      <c r="M176" s="2" t="s">
        <v>77</v>
      </c>
      <c r="N176" s="2" t="s">
        <v>65</v>
      </c>
    </row>
    <row r="177" spans="1:14" x14ac:dyDescent="0.3">
      <c r="A177" s="2" t="s">
        <v>14</v>
      </c>
      <c r="B177" s="3">
        <v>29</v>
      </c>
      <c r="C177" s="4" t="s">
        <v>69</v>
      </c>
      <c r="D177" s="2" t="s">
        <v>28</v>
      </c>
      <c r="E177" s="2" t="s">
        <v>42</v>
      </c>
      <c r="F177" s="5">
        <v>1</v>
      </c>
      <c r="G177" s="1">
        <v>19000000</v>
      </c>
      <c r="H177" s="2">
        <v>1</v>
      </c>
      <c r="I177" s="6">
        <v>1.3888888888888889E-3</v>
      </c>
      <c r="J177" s="2" t="s">
        <v>46</v>
      </c>
      <c r="K177" s="2" t="s">
        <v>50</v>
      </c>
      <c r="L177" s="2" t="s">
        <v>20</v>
      </c>
      <c r="M177" s="2" t="s">
        <v>76</v>
      </c>
      <c r="N177" s="2" t="s">
        <v>75</v>
      </c>
    </row>
    <row r="178" spans="1:14" x14ac:dyDescent="0.3">
      <c r="A178" s="2" t="s">
        <v>14</v>
      </c>
      <c r="B178" s="3">
        <v>13</v>
      </c>
      <c r="C178" s="4" t="s">
        <v>69</v>
      </c>
      <c r="D178" s="2" t="s">
        <v>49</v>
      </c>
      <c r="E178" s="2" t="s">
        <v>42</v>
      </c>
      <c r="F178" s="5">
        <v>2</v>
      </c>
      <c r="G178" s="1">
        <v>12000000</v>
      </c>
      <c r="H178" s="2">
        <v>5</v>
      </c>
      <c r="I178" s="6">
        <v>1.3888888888888889E-3</v>
      </c>
      <c r="J178" s="2" t="s">
        <v>18</v>
      </c>
      <c r="K178" s="2" t="s">
        <v>19</v>
      </c>
      <c r="L178" s="2" t="s">
        <v>30</v>
      </c>
      <c r="M178" s="2" t="s">
        <v>78</v>
      </c>
      <c r="N178" s="2" t="s">
        <v>62</v>
      </c>
    </row>
    <row r="179" spans="1:14" x14ac:dyDescent="0.3">
      <c r="A179" s="2" t="s">
        <v>14</v>
      </c>
      <c r="B179" s="3">
        <v>26</v>
      </c>
      <c r="C179" s="4" t="s">
        <v>69</v>
      </c>
      <c r="D179" s="2" t="s">
        <v>32</v>
      </c>
      <c r="E179" s="2" t="s">
        <v>23</v>
      </c>
      <c r="F179" s="5">
        <v>5</v>
      </c>
      <c r="G179" s="1">
        <v>25000000</v>
      </c>
      <c r="H179" s="2">
        <v>2</v>
      </c>
      <c r="I179" s="6">
        <v>1.3888888888888889E-3</v>
      </c>
      <c r="J179" s="2" t="s">
        <v>18</v>
      </c>
      <c r="K179" s="2" t="s">
        <v>29</v>
      </c>
      <c r="L179" s="2" t="s">
        <v>30</v>
      </c>
      <c r="M179" s="2" t="s">
        <v>66</v>
      </c>
      <c r="N179" s="2" t="s">
        <v>36</v>
      </c>
    </row>
    <row r="180" spans="1:14" x14ac:dyDescent="0.3">
      <c r="A180" s="2" t="s">
        <v>14</v>
      </c>
      <c r="B180" s="3">
        <v>16</v>
      </c>
      <c r="C180" s="4" t="s">
        <v>69</v>
      </c>
      <c r="D180" s="2" t="s">
        <v>16</v>
      </c>
      <c r="E180" s="2" t="s">
        <v>23</v>
      </c>
      <c r="F180" s="5">
        <v>3</v>
      </c>
      <c r="G180" s="1">
        <v>15000000</v>
      </c>
      <c r="H180" s="2">
        <v>3</v>
      </c>
      <c r="I180" s="6">
        <v>1.3888888888888889E-3</v>
      </c>
      <c r="J180" s="2" t="s">
        <v>18</v>
      </c>
      <c r="K180" s="2" t="s">
        <v>24</v>
      </c>
      <c r="L180" s="2" t="s">
        <v>33</v>
      </c>
      <c r="M180" s="2" t="s">
        <v>76</v>
      </c>
      <c r="N180" s="2" t="s">
        <v>31</v>
      </c>
    </row>
    <row r="181" spans="1:14" x14ac:dyDescent="0.3">
      <c r="A181" s="2" t="s">
        <v>14</v>
      </c>
      <c r="B181" s="3">
        <v>14</v>
      </c>
      <c r="C181" s="4" t="s">
        <v>69</v>
      </c>
      <c r="D181" s="2" t="s">
        <v>32</v>
      </c>
      <c r="E181" s="2" t="s">
        <v>17</v>
      </c>
      <c r="F181" s="5">
        <v>1</v>
      </c>
      <c r="G181" s="1">
        <v>7000000</v>
      </c>
      <c r="H181" s="2">
        <v>1</v>
      </c>
      <c r="I181" s="6">
        <v>1.3888888888888889E-3</v>
      </c>
      <c r="J181" s="2" t="s">
        <v>18</v>
      </c>
      <c r="K181" s="2" t="s">
        <v>39</v>
      </c>
      <c r="L181" s="2" t="s">
        <v>48</v>
      </c>
      <c r="M181" s="2" t="s">
        <v>78</v>
      </c>
      <c r="N181" s="2" t="s">
        <v>53</v>
      </c>
    </row>
    <row r="182" spans="1:14" x14ac:dyDescent="0.3">
      <c r="A182" s="2" t="s">
        <v>14</v>
      </c>
      <c r="B182" s="3">
        <v>16</v>
      </c>
      <c r="C182" s="4" t="s">
        <v>55</v>
      </c>
      <c r="D182" s="2" t="s">
        <v>38</v>
      </c>
      <c r="E182" s="2" t="s">
        <v>23</v>
      </c>
      <c r="F182" s="5">
        <v>5</v>
      </c>
      <c r="G182" s="1">
        <v>25000000</v>
      </c>
      <c r="H182" s="2">
        <v>1</v>
      </c>
      <c r="I182" s="6">
        <v>1.3888888888888889E-3</v>
      </c>
      <c r="J182" s="2" t="s">
        <v>18</v>
      </c>
      <c r="K182" s="2" t="s">
        <v>47</v>
      </c>
      <c r="L182" s="2" t="s">
        <v>48</v>
      </c>
      <c r="M182" s="2" t="s">
        <v>76</v>
      </c>
      <c r="N182" s="2" t="s">
        <v>31</v>
      </c>
    </row>
    <row r="183" spans="1:14" x14ac:dyDescent="0.3">
      <c r="A183" s="2" t="s">
        <v>14</v>
      </c>
      <c r="B183" s="3">
        <v>1</v>
      </c>
      <c r="C183" s="4" t="s">
        <v>57</v>
      </c>
      <c r="D183" s="2" t="s">
        <v>32</v>
      </c>
      <c r="E183" s="2" t="s">
        <v>23</v>
      </c>
      <c r="F183" s="5">
        <v>1</v>
      </c>
      <c r="G183" s="1">
        <v>7000000</v>
      </c>
      <c r="H183" s="2">
        <v>2</v>
      </c>
      <c r="I183" s="6">
        <v>1.3888888888888889E-3</v>
      </c>
      <c r="J183" s="2" t="s">
        <v>18</v>
      </c>
      <c r="K183" s="2" t="s">
        <v>24</v>
      </c>
      <c r="L183" s="2" t="s">
        <v>33</v>
      </c>
      <c r="M183" s="2" t="s">
        <v>76</v>
      </c>
      <c r="N183" s="2" t="s">
        <v>31</v>
      </c>
    </row>
    <row r="184" spans="1:14" x14ac:dyDescent="0.3">
      <c r="A184" s="2" t="s">
        <v>14</v>
      </c>
      <c r="B184" s="3">
        <v>11</v>
      </c>
      <c r="C184" s="4" t="s">
        <v>57</v>
      </c>
      <c r="D184" s="2" t="s">
        <v>32</v>
      </c>
      <c r="E184" s="2" t="s">
        <v>45</v>
      </c>
      <c r="F184" s="5">
        <v>2</v>
      </c>
      <c r="G184" s="1">
        <v>12000000</v>
      </c>
      <c r="H184" s="2">
        <v>2</v>
      </c>
      <c r="I184" s="6">
        <v>1.3888888888888889E-3</v>
      </c>
      <c r="J184" s="2" t="s">
        <v>18</v>
      </c>
      <c r="K184" s="2" t="s">
        <v>24</v>
      </c>
      <c r="L184" s="2" t="s">
        <v>40</v>
      </c>
      <c r="M184" s="2" t="s">
        <v>78</v>
      </c>
      <c r="N184" s="2" t="s">
        <v>63</v>
      </c>
    </row>
    <row r="185" spans="1:14" x14ac:dyDescent="0.3">
      <c r="A185" s="2" t="s">
        <v>14</v>
      </c>
      <c r="B185" s="3">
        <v>11</v>
      </c>
      <c r="C185" s="4" t="s">
        <v>57</v>
      </c>
      <c r="D185" s="2" t="s">
        <v>16</v>
      </c>
      <c r="E185" s="2" t="s">
        <v>23</v>
      </c>
      <c r="F185" s="5">
        <v>3</v>
      </c>
      <c r="G185" s="1">
        <v>15000000</v>
      </c>
      <c r="H185" s="2">
        <v>1</v>
      </c>
      <c r="I185" s="6">
        <v>1.3888888888888889E-3</v>
      </c>
      <c r="J185" s="2" t="s">
        <v>18</v>
      </c>
      <c r="K185" s="2" t="s">
        <v>39</v>
      </c>
      <c r="L185" s="2" t="s">
        <v>48</v>
      </c>
      <c r="M185" s="2" t="s">
        <v>66</v>
      </c>
      <c r="N185" s="2" t="s">
        <v>36</v>
      </c>
    </row>
    <row r="186" spans="1:14" x14ac:dyDescent="0.3">
      <c r="A186" s="2" t="s">
        <v>14</v>
      </c>
      <c r="B186" s="3">
        <v>1</v>
      </c>
      <c r="C186" s="4" t="s">
        <v>15</v>
      </c>
      <c r="D186" s="2" t="s">
        <v>16</v>
      </c>
      <c r="E186" s="2" t="s">
        <v>17</v>
      </c>
      <c r="F186" s="5">
        <v>1</v>
      </c>
      <c r="G186" s="1">
        <v>19000000</v>
      </c>
      <c r="H186" s="2">
        <v>1</v>
      </c>
      <c r="I186" s="6">
        <v>1.3888888888888889E-3</v>
      </c>
      <c r="J186" s="2" t="s">
        <v>46</v>
      </c>
      <c r="K186" s="2" t="s">
        <v>39</v>
      </c>
      <c r="L186" s="2" t="s">
        <v>43</v>
      </c>
      <c r="M186" s="2" t="s">
        <v>78</v>
      </c>
      <c r="N186" s="2" t="s">
        <v>66</v>
      </c>
    </row>
    <row r="187" spans="1:14" x14ac:dyDescent="0.3">
      <c r="A187" s="2" t="s">
        <v>14</v>
      </c>
      <c r="B187" s="3">
        <v>1</v>
      </c>
      <c r="C187" s="4" t="s">
        <v>15</v>
      </c>
      <c r="D187" s="2" t="s">
        <v>38</v>
      </c>
      <c r="E187" s="2" t="s">
        <v>23</v>
      </c>
      <c r="F187" s="5">
        <v>4</v>
      </c>
      <c r="G187" s="1">
        <v>20000000</v>
      </c>
      <c r="H187" s="2">
        <v>3</v>
      </c>
      <c r="I187" s="6">
        <v>1.3888888888888889E-3</v>
      </c>
      <c r="J187" s="2" t="s">
        <v>61</v>
      </c>
      <c r="K187" s="2" t="s">
        <v>39</v>
      </c>
      <c r="L187" s="2" t="s">
        <v>48</v>
      </c>
      <c r="M187" s="2" t="s">
        <v>66</v>
      </c>
      <c r="N187" s="2" t="s">
        <v>67</v>
      </c>
    </row>
    <row r="188" spans="1:14" x14ac:dyDescent="0.3">
      <c r="A188" s="2" t="s">
        <v>14</v>
      </c>
      <c r="B188" s="3">
        <v>1</v>
      </c>
      <c r="C188" s="4" t="s">
        <v>15</v>
      </c>
      <c r="D188" s="2" t="s">
        <v>16</v>
      </c>
      <c r="E188" s="2" t="s">
        <v>42</v>
      </c>
      <c r="F188" s="5">
        <v>3</v>
      </c>
      <c r="G188" s="1">
        <v>15000000</v>
      </c>
      <c r="H188" s="2">
        <v>1</v>
      </c>
      <c r="I188" s="6">
        <v>1.3888888888888889E-3</v>
      </c>
      <c r="J188" s="2" t="s">
        <v>18</v>
      </c>
      <c r="K188" s="2" t="s">
        <v>56</v>
      </c>
      <c r="L188" s="2" t="s">
        <v>51</v>
      </c>
      <c r="M188" s="2" t="s">
        <v>77</v>
      </c>
      <c r="N188" s="2" t="s">
        <v>34</v>
      </c>
    </row>
    <row r="189" spans="1:14" x14ac:dyDescent="0.3">
      <c r="A189" s="2" t="s">
        <v>14</v>
      </c>
      <c r="B189" s="3">
        <v>1</v>
      </c>
      <c r="C189" s="4" t="s">
        <v>59</v>
      </c>
      <c r="D189" s="2" t="s">
        <v>16</v>
      </c>
      <c r="E189" s="2" t="s">
        <v>17</v>
      </c>
      <c r="F189" s="5">
        <v>4</v>
      </c>
      <c r="G189" s="1">
        <v>20000000</v>
      </c>
      <c r="H189" s="2">
        <v>4</v>
      </c>
      <c r="I189" s="6">
        <v>1.3888888888888889E-3</v>
      </c>
      <c r="J189" s="2" t="s">
        <v>61</v>
      </c>
      <c r="K189" s="2" t="s">
        <v>39</v>
      </c>
      <c r="L189" s="2" t="s">
        <v>25</v>
      </c>
      <c r="M189" s="2" t="s">
        <v>78</v>
      </c>
      <c r="N189" s="2" t="s">
        <v>62</v>
      </c>
    </row>
    <row r="190" spans="1:14" x14ac:dyDescent="0.3">
      <c r="A190" s="2" t="s">
        <v>14</v>
      </c>
      <c r="B190" s="3">
        <v>4</v>
      </c>
      <c r="C190" s="4" t="s">
        <v>59</v>
      </c>
      <c r="D190" s="2" t="s">
        <v>73</v>
      </c>
      <c r="E190" s="2" t="s">
        <v>17</v>
      </c>
      <c r="F190" s="5">
        <v>3</v>
      </c>
      <c r="G190" s="1">
        <v>15000000</v>
      </c>
      <c r="H190" s="2">
        <v>1</v>
      </c>
      <c r="I190" s="6">
        <v>1.3888888888888889E-3</v>
      </c>
      <c r="J190" s="2" t="s">
        <v>18</v>
      </c>
      <c r="K190" s="2" t="s">
        <v>35</v>
      </c>
      <c r="L190" s="2" t="s">
        <v>43</v>
      </c>
      <c r="M190" s="2" t="s">
        <v>76</v>
      </c>
      <c r="N190" s="2" t="s">
        <v>31</v>
      </c>
    </row>
    <row r="191" spans="1:14" x14ac:dyDescent="0.3">
      <c r="A191" s="2" t="s">
        <v>14</v>
      </c>
      <c r="B191" s="3">
        <v>11</v>
      </c>
      <c r="C191" s="4" t="s">
        <v>59</v>
      </c>
      <c r="D191" s="2" t="s">
        <v>38</v>
      </c>
      <c r="E191" s="2" t="s">
        <v>23</v>
      </c>
      <c r="F191" s="5">
        <v>5</v>
      </c>
      <c r="G191" s="1">
        <v>25000000</v>
      </c>
      <c r="H191" s="2">
        <v>4</v>
      </c>
      <c r="I191" s="6">
        <v>1.3888888888888889E-3</v>
      </c>
      <c r="J191" s="2" t="s">
        <v>18</v>
      </c>
      <c r="K191" s="2" t="s">
        <v>29</v>
      </c>
      <c r="L191" s="2" t="s">
        <v>43</v>
      </c>
      <c r="M191" s="2" t="s">
        <v>76</v>
      </c>
      <c r="N191" s="2" t="s">
        <v>52</v>
      </c>
    </row>
    <row r="192" spans="1:14" x14ac:dyDescent="0.3">
      <c r="A192" s="2" t="s">
        <v>14</v>
      </c>
      <c r="B192" s="3">
        <v>12</v>
      </c>
      <c r="C192" s="4" t="s">
        <v>72</v>
      </c>
      <c r="D192" s="2" t="s">
        <v>38</v>
      </c>
      <c r="E192" s="2" t="s">
        <v>23</v>
      </c>
      <c r="F192" s="5">
        <v>2</v>
      </c>
      <c r="G192" s="1">
        <v>12000000</v>
      </c>
      <c r="H192" s="2">
        <v>4</v>
      </c>
      <c r="I192" s="6">
        <v>1.3888888888888889E-3</v>
      </c>
      <c r="J192" s="2" t="s">
        <v>18</v>
      </c>
      <c r="K192" s="2" t="s">
        <v>35</v>
      </c>
      <c r="L192" s="2" t="s">
        <v>25</v>
      </c>
      <c r="M192" s="2" t="s">
        <v>77</v>
      </c>
      <c r="N192" s="2" t="s">
        <v>54</v>
      </c>
    </row>
    <row r="193" spans="1:14" x14ac:dyDescent="0.3">
      <c r="A193" s="2" t="s">
        <v>14</v>
      </c>
      <c r="B193" s="3">
        <v>31</v>
      </c>
      <c r="C193" s="4" t="s">
        <v>22</v>
      </c>
      <c r="D193" s="2" t="s">
        <v>16</v>
      </c>
      <c r="E193" s="2" t="s">
        <v>23</v>
      </c>
      <c r="F193" s="5">
        <v>1</v>
      </c>
      <c r="G193" s="1">
        <v>19000000</v>
      </c>
      <c r="H193" s="2">
        <v>3</v>
      </c>
      <c r="I193" s="6">
        <v>1.3888888888888889E-3</v>
      </c>
      <c r="J193" s="2" t="s">
        <v>46</v>
      </c>
      <c r="K193" s="2" t="s">
        <v>56</v>
      </c>
      <c r="L193" s="2" t="s">
        <v>25</v>
      </c>
      <c r="M193" s="2" t="s">
        <v>76</v>
      </c>
      <c r="N193" s="2" t="s">
        <v>52</v>
      </c>
    </row>
    <row r="194" spans="1:14" x14ac:dyDescent="0.3">
      <c r="A194" s="2" t="s">
        <v>14</v>
      </c>
      <c r="B194" s="3">
        <v>2</v>
      </c>
      <c r="C194" s="4" t="s">
        <v>22</v>
      </c>
      <c r="D194" s="2" t="s">
        <v>28</v>
      </c>
      <c r="E194" s="2" t="s">
        <v>45</v>
      </c>
      <c r="F194" s="5">
        <v>2</v>
      </c>
      <c r="G194" s="1">
        <v>12000000</v>
      </c>
      <c r="H194" s="2">
        <v>2</v>
      </c>
      <c r="I194" s="6">
        <v>1.3888888888888889E-3</v>
      </c>
      <c r="J194" s="2" t="s">
        <v>18</v>
      </c>
      <c r="K194" s="2" t="s">
        <v>56</v>
      </c>
      <c r="L194" s="2" t="s">
        <v>30</v>
      </c>
      <c r="M194" s="2" t="s">
        <v>78</v>
      </c>
      <c r="N194" s="2" t="s">
        <v>66</v>
      </c>
    </row>
    <row r="195" spans="1:14" x14ac:dyDescent="0.3">
      <c r="A195" s="2" t="s">
        <v>14</v>
      </c>
      <c r="B195" s="3">
        <v>9</v>
      </c>
      <c r="C195" s="4" t="s">
        <v>22</v>
      </c>
      <c r="D195" s="2" t="s">
        <v>16</v>
      </c>
      <c r="E195" s="2" t="s">
        <v>42</v>
      </c>
      <c r="F195" s="5">
        <v>3</v>
      </c>
      <c r="G195" s="1">
        <v>12000000</v>
      </c>
      <c r="H195" s="2">
        <v>5</v>
      </c>
      <c r="I195" s="6">
        <v>1.3888888888888889E-3</v>
      </c>
      <c r="J195" s="2" t="s">
        <v>18</v>
      </c>
      <c r="K195" s="2" t="s">
        <v>64</v>
      </c>
      <c r="L195" s="2" t="s">
        <v>40</v>
      </c>
      <c r="M195" s="2" t="s">
        <v>76</v>
      </c>
      <c r="N195" s="2" t="s">
        <v>52</v>
      </c>
    </row>
    <row r="196" spans="1:14" x14ac:dyDescent="0.3">
      <c r="A196" s="2" t="s">
        <v>14</v>
      </c>
      <c r="B196" s="3">
        <v>25</v>
      </c>
      <c r="C196" s="4" t="s">
        <v>22</v>
      </c>
      <c r="D196" s="2" t="s">
        <v>32</v>
      </c>
      <c r="E196" s="2" t="s">
        <v>42</v>
      </c>
      <c r="F196" s="5">
        <v>2</v>
      </c>
      <c r="G196" s="1">
        <v>10000000</v>
      </c>
      <c r="H196" s="2">
        <v>4</v>
      </c>
      <c r="I196" s="6">
        <v>1.3888888888888889E-3</v>
      </c>
      <c r="J196" s="2" t="s">
        <v>18</v>
      </c>
      <c r="K196" s="2" t="s">
        <v>64</v>
      </c>
      <c r="L196" s="2" t="s">
        <v>33</v>
      </c>
      <c r="M196" s="2" t="s">
        <v>76</v>
      </c>
      <c r="N196" s="2" t="s">
        <v>31</v>
      </c>
    </row>
    <row r="197" spans="1:14" x14ac:dyDescent="0.3">
      <c r="A197" s="2" t="s">
        <v>70</v>
      </c>
      <c r="B197" s="3">
        <v>8</v>
      </c>
      <c r="C197" s="4" t="s">
        <v>72</v>
      </c>
      <c r="D197" s="2" t="s">
        <v>28</v>
      </c>
      <c r="E197" s="2" t="s">
        <v>17</v>
      </c>
      <c r="F197" s="5">
        <v>0</v>
      </c>
      <c r="G197" s="1">
        <v>0</v>
      </c>
      <c r="H197" s="2">
        <v>3</v>
      </c>
      <c r="I197" s="6">
        <v>1.3888888888888889E-3</v>
      </c>
      <c r="J197" s="2"/>
      <c r="K197" s="2"/>
      <c r="L197" s="2" t="s">
        <v>30</v>
      </c>
      <c r="M197" s="2" t="s">
        <v>76</v>
      </c>
      <c r="N197" s="2" t="s">
        <v>52</v>
      </c>
    </row>
    <row r="198" spans="1:14" x14ac:dyDescent="0.3">
      <c r="A198" s="2" t="s">
        <v>70</v>
      </c>
      <c r="B198" s="3">
        <v>5</v>
      </c>
      <c r="C198" s="4" t="s">
        <v>72</v>
      </c>
      <c r="D198" s="2" t="s">
        <v>38</v>
      </c>
      <c r="E198" s="2" t="s">
        <v>42</v>
      </c>
      <c r="F198" s="5">
        <v>0</v>
      </c>
      <c r="G198" s="1">
        <v>0</v>
      </c>
      <c r="H198" s="2">
        <v>1</v>
      </c>
      <c r="I198" s="6">
        <v>1.3888888888888889E-3</v>
      </c>
      <c r="J198" s="2"/>
      <c r="K198" s="2"/>
      <c r="L198" s="2" t="s">
        <v>33</v>
      </c>
      <c r="M198" s="2" t="s">
        <v>78</v>
      </c>
      <c r="N198" s="2" t="s">
        <v>41</v>
      </c>
    </row>
    <row r="199" spans="1:14" x14ac:dyDescent="0.3">
      <c r="A199" s="2" t="s">
        <v>70</v>
      </c>
      <c r="B199" s="3">
        <v>2</v>
      </c>
      <c r="C199" s="4" t="s">
        <v>27</v>
      </c>
      <c r="D199" s="2" t="s">
        <v>49</v>
      </c>
      <c r="E199" s="2" t="s">
        <v>42</v>
      </c>
      <c r="F199" s="5">
        <v>0</v>
      </c>
      <c r="G199" s="1">
        <v>0</v>
      </c>
      <c r="H199" s="2">
        <v>2</v>
      </c>
      <c r="I199" s="6">
        <v>1.3888888888888889E-3</v>
      </c>
      <c r="J199" s="2"/>
      <c r="K199" s="2"/>
      <c r="L199" s="2" t="s">
        <v>30</v>
      </c>
      <c r="M199" s="2" t="s">
        <v>77</v>
      </c>
      <c r="N199" s="2" t="s">
        <v>65</v>
      </c>
    </row>
    <row r="200" spans="1:14" x14ac:dyDescent="0.3">
      <c r="A200" s="2" t="s">
        <v>70</v>
      </c>
      <c r="B200" s="3">
        <v>20</v>
      </c>
      <c r="C200" s="4" t="s">
        <v>27</v>
      </c>
      <c r="D200" s="2" t="s">
        <v>38</v>
      </c>
      <c r="E200" s="2" t="s">
        <v>42</v>
      </c>
      <c r="F200" s="5">
        <v>0</v>
      </c>
      <c r="G200" s="1">
        <v>0</v>
      </c>
      <c r="H200" s="2">
        <v>1</v>
      </c>
      <c r="I200" s="6">
        <v>1.3888888888888889E-3</v>
      </c>
      <c r="J200" s="2"/>
      <c r="K200" s="2"/>
      <c r="L200" s="2" t="s">
        <v>40</v>
      </c>
      <c r="M200" s="2" t="s">
        <v>76</v>
      </c>
      <c r="N200" s="2" t="s">
        <v>31</v>
      </c>
    </row>
    <row r="201" spans="1:14" x14ac:dyDescent="0.3">
      <c r="A201" s="2" t="s">
        <v>70</v>
      </c>
      <c r="B201" s="3">
        <v>22</v>
      </c>
      <c r="C201" s="4" t="s">
        <v>27</v>
      </c>
      <c r="D201" s="2" t="s">
        <v>16</v>
      </c>
      <c r="E201" s="2" t="s">
        <v>23</v>
      </c>
      <c r="F201" s="5">
        <v>0</v>
      </c>
      <c r="G201" s="1">
        <v>0</v>
      </c>
      <c r="H201" s="2">
        <v>3</v>
      </c>
      <c r="I201" s="6">
        <v>1.3888888888888889E-3</v>
      </c>
      <c r="J201" s="2"/>
      <c r="K201" s="2"/>
      <c r="L201" s="2" t="s">
        <v>43</v>
      </c>
      <c r="M201" s="2" t="s">
        <v>76</v>
      </c>
      <c r="N201" s="2" t="s">
        <v>31</v>
      </c>
    </row>
    <row r="202" spans="1:14" x14ac:dyDescent="0.3">
      <c r="A202" s="2" t="s">
        <v>70</v>
      </c>
      <c r="B202" s="3">
        <v>15</v>
      </c>
      <c r="C202" s="4" t="s">
        <v>27</v>
      </c>
      <c r="D202" s="2" t="s">
        <v>16</v>
      </c>
      <c r="E202" s="2" t="s">
        <v>23</v>
      </c>
      <c r="F202" s="5">
        <v>0</v>
      </c>
      <c r="G202" s="1">
        <v>0</v>
      </c>
      <c r="H202" s="2">
        <v>3</v>
      </c>
      <c r="I202" s="6">
        <v>1.3888888888888889E-3</v>
      </c>
      <c r="J202" s="2"/>
      <c r="K202" s="2"/>
      <c r="L202" s="2" t="s">
        <v>51</v>
      </c>
      <c r="M202" s="2" t="s">
        <v>66</v>
      </c>
      <c r="N202" s="2" t="s">
        <v>67</v>
      </c>
    </row>
    <row r="203" spans="1:14" x14ac:dyDescent="0.3">
      <c r="A203" s="2" t="s">
        <v>70</v>
      </c>
      <c r="B203" s="3">
        <v>21</v>
      </c>
      <c r="C203" s="4" t="s">
        <v>27</v>
      </c>
      <c r="D203" s="2" t="s">
        <v>38</v>
      </c>
      <c r="E203" s="2" t="s">
        <v>42</v>
      </c>
      <c r="F203" s="5">
        <v>0</v>
      </c>
      <c r="G203" s="1">
        <v>0</v>
      </c>
      <c r="H203" s="2">
        <v>2</v>
      </c>
      <c r="I203" s="6">
        <v>1.3888888888888889E-3</v>
      </c>
      <c r="J203" s="2"/>
      <c r="K203" s="2"/>
      <c r="L203" s="2" t="s">
        <v>51</v>
      </c>
      <c r="M203" s="2" t="s">
        <v>77</v>
      </c>
      <c r="N203" s="2" t="s">
        <v>34</v>
      </c>
    </row>
    <row r="204" spans="1:14" x14ac:dyDescent="0.3">
      <c r="A204" s="2" t="s">
        <v>70</v>
      </c>
      <c r="B204" s="3">
        <v>24</v>
      </c>
      <c r="C204" s="4" t="s">
        <v>37</v>
      </c>
      <c r="D204" s="2" t="s">
        <v>38</v>
      </c>
      <c r="E204" s="2" t="s">
        <v>23</v>
      </c>
      <c r="F204" s="5">
        <v>0</v>
      </c>
      <c r="G204" s="1">
        <v>0</v>
      </c>
      <c r="H204" s="2">
        <v>1</v>
      </c>
      <c r="I204" s="6">
        <v>1.3888888888888889E-3</v>
      </c>
      <c r="J204" s="2"/>
      <c r="K204" s="2"/>
      <c r="L204" s="2" t="s">
        <v>33</v>
      </c>
      <c r="M204" s="2" t="s">
        <v>66</v>
      </c>
      <c r="N204" s="2" t="s">
        <v>67</v>
      </c>
    </row>
    <row r="205" spans="1:14" x14ac:dyDescent="0.3">
      <c r="A205" s="2" t="s">
        <v>70</v>
      </c>
      <c r="B205" s="3">
        <v>5</v>
      </c>
      <c r="C205" s="4" t="s">
        <v>37</v>
      </c>
      <c r="D205" s="2" t="s">
        <v>32</v>
      </c>
      <c r="E205" s="2" t="s">
        <v>17</v>
      </c>
      <c r="F205" s="5">
        <v>0</v>
      </c>
      <c r="G205" s="1">
        <v>0</v>
      </c>
      <c r="H205" s="2">
        <v>5</v>
      </c>
      <c r="I205" s="6">
        <v>1.3888888888888889E-3</v>
      </c>
      <c r="J205" s="2"/>
      <c r="K205" s="2"/>
      <c r="L205" s="2" t="s">
        <v>48</v>
      </c>
      <c r="M205" s="2" t="s">
        <v>78</v>
      </c>
      <c r="N205" s="2" t="s">
        <v>66</v>
      </c>
    </row>
    <row r="206" spans="1:14" x14ac:dyDescent="0.3">
      <c r="A206" s="2" t="s">
        <v>70</v>
      </c>
      <c r="B206" s="3">
        <v>15</v>
      </c>
      <c r="C206" s="4" t="s">
        <v>44</v>
      </c>
      <c r="D206" s="2" t="s">
        <v>16</v>
      </c>
      <c r="E206" s="2" t="s">
        <v>23</v>
      </c>
      <c r="F206" s="5">
        <v>0</v>
      </c>
      <c r="G206" s="1">
        <v>0</v>
      </c>
      <c r="H206" s="2">
        <v>1</v>
      </c>
      <c r="I206" s="6">
        <v>1.3888888888888889E-3</v>
      </c>
      <c r="J206" s="2"/>
      <c r="K206" s="2"/>
      <c r="L206" s="2" t="s">
        <v>30</v>
      </c>
      <c r="M206" s="2" t="s">
        <v>76</v>
      </c>
      <c r="N206" s="2" t="s">
        <v>31</v>
      </c>
    </row>
    <row r="207" spans="1:14" x14ac:dyDescent="0.3">
      <c r="A207" s="2" t="s">
        <v>70</v>
      </c>
      <c r="B207" s="3">
        <v>29</v>
      </c>
      <c r="C207" s="4" t="s">
        <v>44</v>
      </c>
      <c r="D207" s="2" t="s">
        <v>32</v>
      </c>
      <c r="E207" s="2" t="s">
        <v>17</v>
      </c>
      <c r="F207" s="5">
        <v>0</v>
      </c>
      <c r="G207" s="1">
        <v>0</v>
      </c>
      <c r="H207" s="2">
        <v>4</v>
      </c>
      <c r="I207" s="6">
        <v>1.3888888888888889E-3</v>
      </c>
      <c r="J207" s="2"/>
      <c r="K207" s="2"/>
      <c r="L207" s="2" t="s">
        <v>40</v>
      </c>
      <c r="M207" s="2" t="s">
        <v>78</v>
      </c>
      <c r="N207" s="2" t="s">
        <v>63</v>
      </c>
    </row>
    <row r="208" spans="1:14" x14ac:dyDescent="0.3">
      <c r="A208" s="2" t="s">
        <v>70</v>
      </c>
      <c r="B208" s="3">
        <v>11</v>
      </c>
      <c r="C208" s="4" t="s">
        <v>44</v>
      </c>
      <c r="D208" s="2" t="s">
        <v>32</v>
      </c>
      <c r="E208" s="2" t="s">
        <v>23</v>
      </c>
      <c r="F208" s="5">
        <v>0</v>
      </c>
      <c r="G208" s="1">
        <v>0</v>
      </c>
      <c r="H208" s="2">
        <v>3</v>
      </c>
      <c r="I208" s="6">
        <v>1.3888888888888889E-3</v>
      </c>
      <c r="J208" s="2"/>
      <c r="K208" s="2"/>
      <c r="L208" s="2" t="s">
        <v>33</v>
      </c>
      <c r="M208" s="2" t="s">
        <v>78</v>
      </c>
      <c r="N208" s="2" t="s">
        <v>53</v>
      </c>
    </row>
    <row r="209" spans="1:14" x14ac:dyDescent="0.3">
      <c r="A209" s="2" t="s">
        <v>70</v>
      </c>
      <c r="B209" s="3">
        <v>26</v>
      </c>
      <c r="C209" s="4" t="s">
        <v>44</v>
      </c>
      <c r="D209" s="2" t="s">
        <v>28</v>
      </c>
      <c r="E209" s="2" t="s">
        <v>23</v>
      </c>
      <c r="F209" s="5">
        <v>0</v>
      </c>
      <c r="G209" s="1">
        <v>0</v>
      </c>
      <c r="H209" s="2">
        <v>6</v>
      </c>
      <c r="I209" s="6">
        <v>1.3888888888888889E-3</v>
      </c>
      <c r="J209" s="2"/>
      <c r="K209" s="2"/>
      <c r="L209" s="2" t="s">
        <v>51</v>
      </c>
      <c r="M209" s="2" t="s">
        <v>76</v>
      </c>
      <c r="N209" s="2" t="s">
        <v>31</v>
      </c>
    </row>
    <row r="210" spans="1:14" x14ac:dyDescent="0.3">
      <c r="A210" s="2" t="s">
        <v>70</v>
      </c>
      <c r="B210" s="3">
        <v>31</v>
      </c>
      <c r="C210" s="4" t="s">
        <v>69</v>
      </c>
      <c r="D210" s="2" t="s">
        <v>38</v>
      </c>
      <c r="E210" s="2" t="s">
        <v>17</v>
      </c>
      <c r="F210" s="5">
        <v>0</v>
      </c>
      <c r="G210" s="1">
        <v>0</v>
      </c>
      <c r="H210" s="2">
        <v>1</v>
      </c>
      <c r="I210" s="6">
        <v>1.3888888888888889E-3</v>
      </c>
      <c r="J210" s="2"/>
      <c r="K210" s="2"/>
      <c r="L210" s="2" t="s">
        <v>30</v>
      </c>
      <c r="M210" s="2" t="s">
        <v>78</v>
      </c>
      <c r="N210" s="2" t="s">
        <v>63</v>
      </c>
    </row>
    <row r="211" spans="1:14" x14ac:dyDescent="0.3">
      <c r="A211" s="2" t="s">
        <v>70</v>
      </c>
      <c r="B211" s="3">
        <v>30</v>
      </c>
      <c r="C211" s="4" t="s">
        <v>69</v>
      </c>
      <c r="D211" s="2" t="s">
        <v>49</v>
      </c>
      <c r="E211" s="2" t="s">
        <v>42</v>
      </c>
      <c r="F211" s="5">
        <v>0</v>
      </c>
      <c r="G211" s="1">
        <v>0</v>
      </c>
      <c r="H211" s="2">
        <v>4</v>
      </c>
      <c r="I211" s="6">
        <v>1.3888888888888889E-3</v>
      </c>
      <c r="J211" s="2"/>
      <c r="K211" s="2"/>
      <c r="L211" s="2" t="s">
        <v>40</v>
      </c>
      <c r="M211" s="2" t="s">
        <v>66</v>
      </c>
      <c r="N211" s="2" t="s">
        <v>36</v>
      </c>
    </row>
    <row r="212" spans="1:14" x14ac:dyDescent="0.3">
      <c r="A212" s="2" t="s">
        <v>70</v>
      </c>
      <c r="B212" s="3">
        <v>14</v>
      </c>
      <c r="C212" s="4" t="s">
        <v>69</v>
      </c>
      <c r="D212" s="2" t="s">
        <v>32</v>
      </c>
      <c r="E212" s="2" t="s">
        <v>42</v>
      </c>
      <c r="F212" s="5">
        <v>0</v>
      </c>
      <c r="G212" s="1">
        <v>0</v>
      </c>
      <c r="H212" s="2">
        <v>1</v>
      </c>
      <c r="I212" s="6">
        <v>1.3888888888888889E-3</v>
      </c>
      <c r="J212" s="2"/>
      <c r="K212" s="2"/>
      <c r="L212" s="2" t="s">
        <v>25</v>
      </c>
      <c r="M212" s="2" t="s">
        <v>78</v>
      </c>
      <c r="N212" s="2" t="s">
        <v>41</v>
      </c>
    </row>
    <row r="213" spans="1:14" x14ac:dyDescent="0.3">
      <c r="A213" s="2" t="s">
        <v>70</v>
      </c>
      <c r="B213" s="3">
        <v>30</v>
      </c>
      <c r="C213" s="4" t="s">
        <v>69</v>
      </c>
      <c r="D213" s="2" t="s">
        <v>32</v>
      </c>
      <c r="E213" s="2" t="s">
        <v>17</v>
      </c>
      <c r="F213" s="5">
        <v>0</v>
      </c>
      <c r="G213" s="1">
        <v>0</v>
      </c>
      <c r="H213" s="2">
        <v>4</v>
      </c>
      <c r="I213" s="6">
        <v>1.3888888888888889E-3</v>
      </c>
      <c r="J213" s="2"/>
      <c r="K213" s="2"/>
      <c r="L213" s="2" t="s">
        <v>48</v>
      </c>
      <c r="M213" s="2" t="s">
        <v>76</v>
      </c>
      <c r="N213" s="2" t="s">
        <v>52</v>
      </c>
    </row>
    <row r="214" spans="1:14" x14ac:dyDescent="0.3">
      <c r="A214" s="2" t="s">
        <v>70</v>
      </c>
      <c r="B214" s="3">
        <v>8</v>
      </c>
      <c r="C214" s="4" t="s">
        <v>72</v>
      </c>
      <c r="D214" s="2" t="s">
        <v>28</v>
      </c>
      <c r="E214" s="2" t="s">
        <v>17</v>
      </c>
      <c r="F214" s="5">
        <v>0</v>
      </c>
      <c r="G214" s="1">
        <v>0</v>
      </c>
      <c r="H214" s="2">
        <v>3</v>
      </c>
      <c r="I214" s="6">
        <v>1.3888888888888889E-3</v>
      </c>
      <c r="J214" s="2"/>
      <c r="K214" s="2"/>
      <c r="L214" s="2" t="s">
        <v>30</v>
      </c>
      <c r="M214" s="2" t="s">
        <v>76</v>
      </c>
      <c r="N214" s="2" t="s">
        <v>52</v>
      </c>
    </row>
    <row r="215" spans="1:14" x14ac:dyDescent="0.3">
      <c r="A215" s="2" t="s">
        <v>70</v>
      </c>
      <c r="B215" s="3">
        <v>5</v>
      </c>
      <c r="C215" s="4" t="s">
        <v>72</v>
      </c>
      <c r="D215" s="2" t="s">
        <v>38</v>
      </c>
      <c r="E215" s="2" t="s">
        <v>42</v>
      </c>
      <c r="F215" s="5">
        <v>0</v>
      </c>
      <c r="G215" s="1">
        <v>0</v>
      </c>
      <c r="H215" s="2">
        <v>1</v>
      </c>
      <c r="I215" s="6">
        <v>1.3888888888888889E-3</v>
      </c>
      <c r="J215" s="2"/>
      <c r="K215" s="2"/>
      <c r="L215" s="2" t="s">
        <v>33</v>
      </c>
      <c r="M215" s="2" t="s">
        <v>78</v>
      </c>
      <c r="N215" s="2" t="s">
        <v>41</v>
      </c>
    </row>
    <row r="216" spans="1:14" x14ac:dyDescent="0.3">
      <c r="A216" s="2" t="s">
        <v>14</v>
      </c>
      <c r="B216" s="3">
        <v>11</v>
      </c>
      <c r="C216" s="4" t="s">
        <v>57</v>
      </c>
      <c r="D216" s="2" t="s">
        <v>73</v>
      </c>
      <c r="E216" s="2" t="s">
        <v>17</v>
      </c>
      <c r="F216" s="5">
        <v>2</v>
      </c>
      <c r="G216" s="1">
        <v>38000000</v>
      </c>
      <c r="H216" s="2">
        <v>3</v>
      </c>
      <c r="I216" s="6">
        <v>1.3888888888888889E-3</v>
      </c>
      <c r="J216" s="2" t="s">
        <v>46</v>
      </c>
      <c r="K216" s="2" t="s">
        <v>39</v>
      </c>
      <c r="L216" s="2" t="s">
        <v>33</v>
      </c>
      <c r="M216" s="2" t="s">
        <v>78</v>
      </c>
      <c r="N216" s="2" t="s">
        <v>53</v>
      </c>
    </row>
    <row r="217" spans="1:14" x14ac:dyDescent="0.3">
      <c r="A217" s="2" t="s">
        <v>14</v>
      </c>
      <c r="B217" s="3">
        <v>13</v>
      </c>
      <c r="C217" s="4" t="s">
        <v>27</v>
      </c>
      <c r="D217" s="2" t="s">
        <v>32</v>
      </c>
      <c r="E217" s="2" t="s">
        <v>68</v>
      </c>
      <c r="F217" s="5">
        <v>1</v>
      </c>
      <c r="G217" s="1">
        <v>19000000</v>
      </c>
      <c r="H217" s="2">
        <v>6</v>
      </c>
      <c r="I217" s="6">
        <v>1.3888888888888889E-3</v>
      </c>
      <c r="J217" s="2" t="s">
        <v>46</v>
      </c>
      <c r="K217" s="2" t="s">
        <v>35</v>
      </c>
      <c r="L217" s="2" t="s">
        <v>20</v>
      </c>
      <c r="M217" s="2" t="s">
        <v>78</v>
      </c>
      <c r="N217" s="2" t="s">
        <v>62</v>
      </c>
    </row>
    <row r="218" spans="1:14" x14ac:dyDescent="0.3">
      <c r="A218" s="2" t="s">
        <v>14</v>
      </c>
      <c r="B218" s="3">
        <v>25</v>
      </c>
      <c r="C218" s="4" t="s">
        <v>27</v>
      </c>
      <c r="D218" s="2" t="s">
        <v>32</v>
      </c>
      <c r="E218" s="2" t="s">
        <v>42</v>
      </c>
      <c r="F218" s="5">
        <v>3</v>
      </c>
      <c r="G218" s="1">
        <v>15000000</v>
      </c>
      <c r="H218" s="2">
        <v>4</v>
      </c>
      <c r="I218" s="6">
        <v>1.3888888888888889E-3</v>
      </c>
      <c r="J218" s="2" t="s">
        <v>18</v>
      </c>
      <c r="K218" s="2" t="s">
        <v>19</v>
      </c>
      <c r="L218" s="2" t="s">
        <v>30</v>
      </c>
      <c r="M218" s="2" t="s">
        <v>66</v>
      </c>
      <c r="N218" s="2" t="s">
        <v>67</v>
      </c>
    </row>
    <row r="219" spans="1:14" x14ac:dyDescent="0.3">
      <c r="A219" s="2" t="s">
        <v>14</v>
      </c>
      <c r="B219" s="3">
        <v>30</v>
      </c>
      <c r="C219" s="4" t="s">
        <v>27</v>
      </c>
      <c r="D219" s="2" t="s">
        <v>73</v>
      </c>
      <c r="E219" s="2" t="s">
        <v>23</v>
      </c>
      <c r="F219" s="5">
        <v>2</v>
      </c>
      <c r="G219" s="1">
        <v>12000000</v>
      </c>
      <c r="H219" s="2">
        <v>4</v>
      </c>
      <c r="I219" s="6">
        <v>1.3888888888888889E-3</v>
      </c>
      <c r="J219" s="2" t="s">
        <v>18</v>
      </c>
      <c r="K219" s="2" t="s">
        <v>19</v>
      </c>
      <c r="L219" s="2" t="s">
        <v>30</v>
      </c>
      <c r="M219" s="2" t="s">
        <v>76</v>
      </c>
      <c r="N219" s="2" t="s">
        <v>26</v>
      </c>
    </row>
    <row r="220" spans="1:14" x14ac:dyDescent="0.3">
      <c r="A220" s="2" t="s">
        <v>14</v>
      </c>
      <c r="B220" s="3">
        <v>26</v>
      </c>
      <c r="C220" s="4" t="s">
        <v>37</v>
      </c>
      <c r="D220" s="2" t="s">
        <v>16</v>
      </c>
      <c r="E220" s="2" t="s">
        <v>45</v>
      </c>
      <c r="F220" s="5">
        <v>4</v>
      </c>
      <c r="G220" s="1">
        <v>11000000</v>
      </c>
      <c r="H220" s="2">
        <v>1</v>
      </c>
      <c r="I220" s="6">
        <v>1.3888888888888889E-3</v>
      </c>
      <c r="J220" s="2" t="s">
        <v>61</v>
      </c>
      <c r="K220" s="2" t="s">
        <v>24</v>
      </c>
      <c r="L220" s="2" t="s">
        <v>25</v>
      </c>
      <c r="M220" s="2" t="s">
        <v>66</v>
      </c>
      <c r="N220" s="2" t="s">
        <v>67</v>
      </c>
    </row>
    <row r="221" spans="1:14" x14ac:dyDescent="0.3">
      <c r="A221" s="2" t="s">
        <v>14</v>
      </c>
      <c r="B221" s="3">
        <v>28</v>
      </c>
      <c r="C221" s="4" t="s">
        <v>37</v>
      </c>
      <c r="D221" s="2" t="s">
        <v>28</v>
      </c>
      <c r="E221" s="2" t="s">
        <v>23</v>
      </c>
      <c r="F221" s="5">
        <v>2</v>
      </c>
      <c r="G221" s="1">
        <v>12000000</v>
      </c>
      <c r="H221" s="2">
        <v>1</v>
      </c>
      <c r="I221" s="6">
        <v>1.3888888888888889E-3</v>
      </c>
      <c r="J221" s="2" t="s">
        <v>18</v>
      </c>
      <c r="K221" s="2" t="s">
        <v>64</v>
      </c>
      <c r="L221" s="2" t="s">
        <v>30</v>
      </c>
      <c r="M221" s="2" t="s">
        <v>66</v>
      </c>
      <c r="N221" s="2" t="s">
        <v>36</v>
      </c>
    </row>
    <row r="222" spans="1:14" x14ac:dyDescent="0.3">
      <c r="A222" s="2" t="s">
        <v>14</v>
      </c>
      <c r="B222" s="3">
        <v>28</v>
      </c>
      <c r="C222" s="4" t="s">
        <v>37</v>
      </c>
      <c r="D222" s="2" t="s">
        <v>49</v>
      </c>
      <c r="E222" s="2" t="s">
        <v>23</v>
      </c>
      <c r="F222" s="5">
        <v>1</v>
      </c>
      <c r="G222" s="1">
        <v>7000000</v>
      </c>
      <c r="H222" s="2">
        <v>3</v>
      </c>
      <c r="I222" s="6">
        <v>1.3888888888888889E-3</v>
      </c>
      <c r="J222" s="2" t="s">
        <v>18</v>
      </c>
      <c r="K222" s="2" t="s">
        <v>39</v>
      </c>
      <c r="L222" s="2" t="s">
        <v>51</v>
      </c>
      <c r="M222" s="2" t="s">
        <v>78</v>
      </c>
      <c r="N222" s="2" t="s">
        <v>53</v>
      </c>
    </row>
    <row r="223" spans="1:14" x14ac:dyDescent="0.3">
      <c r="A223" s="2" t="s">
        <v>14</v>
      </c>
      <c r="B223" s="3">
        <v>24</v>
      </c>
      <c r="C223" s="4" t="s">
        <v>44</v>
      </c>
      <c r="D223" s="2" t="s">
        <v>28</v>
      </c>
      <c r="E223" s="2" t="s">
        <v>45</v>
      </c>
      <c r="F223" s="5">
        <v>4</v>
      </c>
      <c r="G223" s="1">
        <v>20000000</v>
      </c>
      <c r="H223" s="2">
        <v>7</v>
      </c>
      <c r="I223" s="6">
        <v>1.3888888888888889E-3</v>
      </c>
      <c r="J223" s="2" t="s">
        <v>18</v>
      </c>
      <c r="K223" s="2" t="s">
        <v>29</v>
      </c>
      <c r="L223" s="2" t="s">
        <v>30</v>
      </c>
      <c r="M223" s="2" t="s">
        <v>76</v>
      </c>
      <c r="N223" s="2" t="s">
        <v>75</v>
      </c>
    </row>
    <row r="224" spans="1:14" x14ac:dyDescent="0.3">
      <c r="A224" s="2" t="s">
        <v>14</v>
      </c>
      <c r="B224" s="3">
        <v>26</v>
      </c>
      <c r="C224" s="4" t="s">
        <v>44</v>
      </c>
      <c r="D224" s="2" t="s">
        <v>16</v>
      </c>
      <c r="E224" s="2" t="s">
        <v>42</v>
      </c>
      <c r="F224" s="5">
        <v>5</v>
      </c>
      <c r="G224" s="1">
        <v>25000000</v>
      </c>
      <c r="H224" s="2">
        <v>3</v>
      </c>
      <c r="I224" s="6">
        <v>1.3888888888888889E-3</v>
      </c>
      <c r="J224" s="2" t="s">
        <v>18</v>
      </c>
      <c r="K224" s="2" t="s">
        <v>56</v>
      </c>
      <c r="L224" s="2" t="s">
        <v>40</v>
      </c>
      <c r="M224" s="2" t="s">
        <v>78</v>
      </c>
      <c r="N224" s="2" t="s">
        <v>66</v>
      </c>
    </row>
    <row r="225" spans="1:14" x14ac:dyDescent="0.3">
      <c r="A225" s="2" t="s">
        <v>14</v>
      </c>
      <c r="B225" s="3">
        <v>1</v>
      </c>
      <c r="C225" s="4" t="s">
        <v>44</v>
      </c>
      <c r="D225" s="2" t="s">
        <v>16</v>
      </c>
      <c r="E225" s="2" t="s">
        <v>42</v>
      </c>
      <c r="F225" s="5">
        <v>3</v>
      </c>
      <c r="G225" s="1">
        <v>15000000</v>
      </c>
      <c r="H225" s="2">
        <v>2</v>
      </c>
      <c r="I225" s="6">
        <v>1.3888888888888889E-3</v>
      </c>
      <c r="J225" s="2" t="s">
        <v>18</v>
      </c>
      <c r="K225" s="2" t="s">
        <v>35</v>
      </c>
      <c r="L225" s="2" t="s">
        <v>43</v>
      </c>
      <c r="M225" s="2" t="s">
        <v>76</v>
      </c>
      <c r="N225" s="2" t="s">
        <v>26</v>
      </c>
    </row>
    <row r="226" spans="1:14" x14ac:dyDescent="0.3">
      <c r="A226" s="2" t="s">
        <v>14</v>
      </c>
      <c r="B226" s="3">
        <v>30</v>
      </c>
      <c r="C226" s="4" t="s">
        <v>44</v>
      </c>
      <c r="D226" s="2" t="s">
        <v>38</v>
      </c>
      <c r="E226" s="2" t="s">
        <v>23</v>
      </c>
      <c r="F226" s="5">
        <v>5</v>
      </c>
      <c r="G226" s="1">
        <v>21000000</v>
      </c>
      <c r="H226" s="2">
        <v>3</v>
      </c>
      <c r="I226" s="6">
        <v>1.3888888888888889E-3</v>
      </c>
      <c r="J226" s="2" t="s">
        <v>18</v>
      </c>
      <c r="K226" s="2" t="s">
        <v>56</v>
      </c>
      <c r="L226" s="2" t="s">
        <v>48</v>
      </c>
      <c r="M226" s="2" t="s">
        <v>76</v>
      </c>
      <c r="N226" s="2" t="s">
        <v>52</v>
      </c>
    </row>
    <row r="227" spans="1:14" x14ac:dyDescent="0.3">
      <c r="A227" s="2" t="s">
        <v>14</v>
      </c>
      <c r="B227" s="3">
        <v>11</v>
      </c>
      <c r="C227" s="4" t="s">
        <v>57</v>
      </c>
      <c r="D227" s="2" t="s">
        <v>73</v>
      </c>
      <c r="E227" s="2" t="s">
        <v>17</v>
      </c>
      <c r="F227" s="5">
        <v>2</v>
      </c>
      <c r="G227" s="1">
        <v>38000000</v>
      </c>
      <c r="H227" s="2">
        <v>3</v>
      </c>
      <c r="I227" s="6">
        <v>1.3888888888888889E-3</v>
      </c>
      <c r="J227" s="2" t="s">
        <v>46</v>
      </c>
      <c r="K227" s="2" t="s">
        <v>39</v>
      </c>
      <c r="L227" s="2" t="s">
        <v>33</v>
      </c>
      <c r="M227" s="2" t="s">
        <v>78</v>
      </c>
      <c r="N227" s="2" t="s">
        <v>53</v>
      </c>
    </row>
    <row r="228" spans="1:14" x14ac:dyDescent="0.3">
      <c r="A228" s="2" t="s">
        <v>70</v>
      </c>
      <c r="B228" s="3">
        <v>11</v>
      </c>
      <c r="C228" s="4" t="s">
        <v>44</v>
      </c>
      <c r="D228" s="2" t="s">
        <v>49</v>
      </c>
      <c r="E228" s="2" t="s">
        <v>42</v>
      </c>
      <c r="F228" s="5">
        <v>0</v>
      </c>
      <c r="G228" s="1">
        <v>0</v>
      </c>
      <c r="H228" s="2">
        <v>2</v>
      </c>
      <c r="I228" s="6">
        <v>1.3888888888888889E-3</v>
      </c>
      <c r="J228" s="2"/>
      <c r="K228" s="2"/>
      <c r="L228" s="2" t="s">
        <v>25</v>
      </c>
      <c r="M228" s="2" t="s">
        <v>77</v>
      </c>
      <c r="N228" s="2" t="s">
        <v>34</v>
      </c>
    </row>
    <row r="229" spans="1:14" x14ac:dyDescent="0.3">
      <c r="A229" s="2" t="s">
        <v>70</v>
      </c>
      <c r="B229" s="3">
        <v>29</v>
      </c>
      <c r="C229" s="4" t="s">
        <v>44</v>
      </c>
      <c r="D229" s="2" t="s">
        <v>16</v>
      </c>
      <c r="E229" s="2" t="s">
        <v>42</v>
      </c>
      <c r="F229" s="5">
        <v>0</v>
      </c>
      <c r="G229" s="1">
        <v>0</v>
      </c>
      <c r="H229" s="2">
        <v>3</v>
      </c>
      <c r="I229" s="6">
        <v>1.3888888888888889E-3</v>
      </c>
      <c r="J229" s="2"/>
      <c r="K229" s="2"/>
      <c r="L229" s="2" t="s">
        <v>48</v>
      </c>
      <c r="M229" s="2" t="s">
        <v>76</v>
      </c>
      <c r="N229" s="2" t="s">
        <v>52</v>
      </c>
    </row>
    <row r="230" spans="1:14" x14ac:dyDescent="0.3">
      <c r="A230" s="2" t="s">
        <v>14</v>
      </c>
      <c r="B230" s="3">
        <v>12</v>
      </c>
      <c r="C230" s="4" t="s">
        <v>57</v>
      </c>
      <c r="D230" s="2" t="s">
        <v>32</v>
      </c>
      <c r="E230" s="2" t="s">
        <v>17</v>
      </c>
      <c r="F230" s="5">
        <v>1</v>
      </c>
      <c r="G230" s="1">
        <v>19000000</v>
      </c>
      <c r="H230" s="2">
        <v>5</v>
      </c>
      <c r="I230" s="6">
        <v>1.3888888888888889E-3</v>
      </c>
      <c r="J230" s="2" t="s">
        <v>46</v>
      </c>
      <c r="K230" s="2" t="s">
        <v>35</v>
      </c>
      <c r="L230" s="2" t="s">
        <v>48</v>
      </c>
      <c r="M230" s="2" t="s">
        <v>66</v>
      </c>
      <c r="N230" s="2" t="s">
        <v>67</v>
      </c>
    </row>
    <row r="231" spans="1:14" x14ac:dyDescent="0.3">
      <c r="A231" s="2" t="s">
        <v>14</v>
      </c>
      <c r="B231" s="3">
        <v>11</v>
      </c>
      <c r="C231" s="4" t="s">
        <v>58</v>
      </c>
      <c r="D231" s="2" t="s">
        <v>16</v>
      </c>
      <c r="E231" s="2" t="s">
        <v>42</v>
      </c>
      <c r="F231" s="5">
        <v>4</v>
      </c>
      <c r="G231" s="1">
        <v>20000000</v>
      </c>
      <c r="H231" s="2">
        <v>1</v>
      </c>
      <c r="I231" s="6">
        <v>1.3888888888888889E-3</v>
      </c>
      <c r="J231" s="2" t="s">
        <v>18</v>
      </c>
      <c r="K231" s="2" t="s">
        <v>29</v>
      </c>
      <c r="L231" s="2" t="s">
        <v>30</v>
      </c>
      <c r="M231" s="2" t="s">
        <v>76</v>
      </c>
      <c r="N231" s="2" t="s">
        <v>31</v>
      </c>
    </row>
    <row r="232" spans="1:14" x14ac:dyDescent="0.3">
      <c r="A232" s="2" t="s">
        <v>14</v>
      </c>
      <c r="B232" s="3">
        <v>19</v>
      </c>
      <c r="C232" s="4" t="s">
        <v>37</v>
      </c>
      <c r="D232" s="2" t="s">
        <v>49</v>
      </c>
      <c r="E232" s="2" t="s">
        <v>23</v>
      </c>
      <c r="F232" s="5">
        <v>4</v>
      </c>
      <c r="G232" s="1">
        <v>11000000</v>
      </c>
      <c r="H232" s="2">
        <v>1</v>
      </c>
      <c r="I232" s="6">
        <v>1.3888888888888889E-3</v>
      </c>
      <c r="J232" s="2" t="s">
        <v>61</v>
      </c>
      <c r="K232" s="2" t="s">
        <v>56</v>
      </c>
      <c r="L232" s="2" t="s">
        <v>33</v>
      </c>
      <c r="M232" s="2" t="s">
        <v>78</v>
      </c>
      <c r="N232" s="2" t="s">
        <v>21</v>
      </c>
    </row>
    <row r="233" spans="1:14" x14ac:dyDescent="0.3">
      <c r="A233" s="2" t="s">
        <v>14</v>
      </c>
      <c r="B233" s="3">
        <v>5</v>
      </c>
      <c r="C233" s="4" t="s">
        <v>37</v>
      </c>
      <c r="D233" s="2" t="s">
        <v>49</v>
      </c>
      <c r="E233" s="2" t="s">
        <v>23</v>
      </c>
      <c r="F233" s="5">
        <v>5</v>
      </c>
      <c r="G233" s="1">
        <v>25000000</v>
      </c>
      <c r="H233" s="2">
        <v>2</v>
      </c>
      <c r="I233" s="6">
        <v>1.3888888888888889E-3</v>
      </c>
      <c r="J233" s="2" t="s">
        <v>18</v>
      </c>
      <c r="K233" s="2" t="s">
        <v>56</v>
      </c>
      <c r="L233" s="2" t="s">
        <v>30</v>
      </c>
      <c r="M233" s="2" t="s">
        <v>77</v>
      </c>
      <c r="N233" s="2" t="s">
        <v>54</v>
      </c>
    </row>
    <row r="234" spans="1:14" x14ac:dyDescent="0.3">
      <c r="A234" s="2" t="s">
        <v>14</v>
      </c>
      <c r="B234" s="3">
        <v>22</v>
      </c>
      <c r="C234" s="4" t="s">
        <v>37</v>
      </c>
      <c r="D234" s="2" t="s">
        <v>73</v>
      </c>
      <c r="E234" s="2" t="s">
        <v>23</v>
      </c>
      <c r="F234" s="5">
        <v>2</v>
      </c>
      <c r="G234" s="1">
        <v>12000000</v>
      </c>
      <c r="H234" s="2">
        <v>2</v>
      </c>
      <c r="I234" s="6">
        <v>1.3888888888888889E-3</v>
      </c>
      <c r="J234" s="2" t="s">
        <v>18</v>
      </c>
      <c r="K234" s="2" t="s">
        <v>56</v>
      </c>
      <c r="L234" s="2" t="s">
        <v>40</v>
      </c>
      <c r="M234" s="2" t="s">
        <v>78</v>
      </c>
      <c r="N234" s="2" t="s">
        <v>41</v>
      </c>
    </row>
    <row r="235" spans="1:14" x14ac:dyDescent="0.3">
      <c r="A235" s="2" t="s">
        <v>14</v>
      </c>
      <c r="B235" s="3">
        <v>8</v>
      </c>
      <c r="C235" s="4" t="s">
        <v>37</v>
      </c>
      <c r="D235" s="2" t="s">
        <v>49</v>
      </c>
      <c r="E235" s="2" t="s">
        <v>42</v>
      </c>
      <c r="F235" s="5">
        <v>2</v>
      </c>
      <c r="G235" s="1">
        <v>12000000</v>
      </c>
      <c r="H235" s="2">
        <v>3</v>
      </c>
      <c r="I235" s="6">
        <v>1.3888888888888889E-3</v>
      </c>
      <c r="J235" s="2" t="s">
        <v>18</v>
      </c>
      <c r="K235" s="2" t="s">
        <v>19</v>
      </c>
      <c r="L235" s="2" t="s">
        <v>43</v>
      </c>
      <c r="M235" s="2" t="s">
        <v>76</v>
      </c>
      <c r="N235" s="2" t="s">
        <v>31</v>
      </c>
    </row>
    <row r="236" spans="1:14" x14ac:dyDescent="0.3">
      <c r="A236" s="2" t="s">
        <v>14</v>
      </c>
      <c r="B236" s="3">
        <v>22</v>
      </c>
      <c r="C236" s="4" t="s">
        <v>44</v>
      </c>
      <c r="D236" s="2" t="s">
        <v>38</v>
      </c>
      <c r="E236" s="2" t="s">
        <v>42</v>
      </c>
      <c r="F236" s="5">
        <v>3</v>
      </c>
      <c r="G236" s="1">
        <v>15000000</v>
      </c>
      <c r="H236" s="2">
        <v>1</v>
      </c>
      <c r="I236" s="6">
        <v>1.3888888888888889E-3</v>
      </c>
      <c r="J236" s="2" t="s">
        <v>18</v>
      </c>
      <c r="K236" s="2" t="s">
        <v>50</v>
      </c>
      <c r="L236" s="2" t="s">
        <v>40</v>
      </c>
      <c r="M236" s="2" t="s">
        <v>78</v>
      </c>
      <c r="N236" s="2" t="s">
        <v>62</v>
      </c>
    </row>
    <row r="237" spans="1:14" x14ac:dyDescent="0.3">
      <c r="A237" s="2" t="s">
        <v>14</v>
      </c>
      <c r="B237" s="3">
        <v>11</v>
      </c>
      <c r="C237" s="4" t="s">
        <v>44</v>
      </c>
      <c r="D237" s="2" t="s">
        <v>28</v>
      </c>
      <c r="E237" s="2" t="s">
        <v>45</v>
      </c>
      <c r="F237" s="5">
        <v>5</v>
      </c>
      <c r="G237" s="1">
        <v>21000000</v>
      </c>
      <c r="H237" s="2">
        <v>4</v>
      </c>
      <c r="I237" s="6">
        <v>1.3888888888888889E-3</v>
      </c>
      <c r="J237" s="2" t="s">
        <v>18</v>
      </c>
      <c r="K237" s="2" t="s">
        <v>19</v>
      </c>
      <c r="L237" s="2" t="s">
        <v>20</v>
      </c>
      <c r="M237" s="2" t="s">
        <v>76</v>
      </c>
      <c r="N237" s="2" t="s">
        <v>26</v>
      </c>
    </row>
    <row r="238" spans="1:14" x14ac:dyDescent="0.3">
      <c r="A238" s="2" t="s">
        <v>14</v>
      </c>
      <c r="B238" s="3">
        <v>17</v>
      </c>
      <c r="C238" s="4" t="s">
        <v>44</v>
      </c>
      <c r="D238" s="2" t="s">
        <v>16</v>
      </c>
      <c r="E238" s="2" t="s">
        <v>42</v>
      </c>
      <c r="F238" s="5">
        <v>3</v>
      </c>
      <c r="G238" s="1">
        <v>15000000</v>
      </c>
      <c r="H238" s="2">
        <v>1</v>
      </c>
      <c r="I238" s="6">
        <v>1.3888888888888889E-3</v>
      </c>
      <c r="J238" s="2" t="s">
        <v>18</v>
      </c>
      <c r="K238" s="2" t="s">
        <v>29</v>
      </c>
      <c r="L238" s="2" t="s">
        <v>48</v>
      </c>
      <c r="M238" s="2" t="s">
        <v>76</v>
      </c>
      <c r="N238" s="2" t="s">
        <v>31</v>
      </c>
    </row>
    <row r="239" spans="1:14" x14ac:dyDescent="0.3">
      <c r="A239" s="2" t="s">
        <v>14</v>
      </c>
      <c r="B239" s="3">
        <v>12</v>
      </c>
      <c r="C239" s="4" t="s">
        <v>57</v>
      </c>
      <c r="D239" s="2" t="s">
        <v>32</v>
      </c>
      <c r="E239" s="2" t="s">
        <v>17</v>
      </c>
      <c r="F239" s="5">
        <v>1</v>
      </c>
      <c r="G239" s="1">
        <v>19000000</v>
      </c>
      <c r="H239" s="2">
        <v>5</v>
      </c>
      <c r="I239" s="6">
        <v>1.3888888888888889E-3</v>
      </c>
      <c r="J239" s="2" t="s">
        <v>46</v>
      </c>
      <c r="K239" s="2" t="s">
        <v>35</v>
      </c>
      <c r="L239" s="2" t="s">
        <v>48</v>
      </c>
      <c r="M239" s="2" t="s">
        <v>66</v>
      </c>
      <c r="N239" s="2" t="s">
        <v>67</v>
      </c>
    </row>
    <row r="240" spans="1:14" x14ac:dyDescent="0.3">
      <c r="A240" s="2" t="s">
        <v>14</v>
      </c>
      <c r="B240" s="3">
        <v>11</v>
      </c>
      <c r="C240" s="4" t="s">
        <v>58</v>
      </c>
      <c r="D240" s="2" t="s">
        <v>16</v>
      </c>
      <c r="E240" s="2" t="s">
        <v>42</v>
      </c>
      <c r="F240" s="5">
        <v>4</v>
      </c>
      <c r="G240" s="1">
        <v>20000000</v>
      </c>
      <c r="H240" s="2">
        <v>1</v>
      </c>
      <c r="I240" s="6">
        <v>1.3888888888888889E-3</v>
      </c>
      <c r="J240" s="2" t="s">
        <v>18</v>
      </c>
      <c r="K240" s="2" t="s">
        <v>29</v>
      </c>
      <c r="L240" s="2" t="s">
        <v>30</v>
      </c>
      <c r="M240" s="2" t="s">
        <v>76</v>
      </c>
      <c r="N240" s="2" t="s">
        <v>31</v>
      </c>
    </row>
    <row r="241" spans="1:14" x14ac:dyDescent="0.3">
      <c r="A241" s="2" t="s">
        <v>70</v>
      </c>
      <c r="B241" s="3">
        <v>5</v>
      </c>
      <c r="C241" s="4" t="s">
        <v>59</v>
      </c>
      <c r="D241" s="2" t="s">
        <v>16</v>
      </c>
      <c r="E241" s="2" t="s">
        <v>23</v>
      </c>
      <c r="F241" s="5">
        <v>0</v>
      </c>
      <c r="G241" s="1">
        <v>0</v>
      </c>
      <c r="H241" s="2">
        <v>1</v>
      </c>
      <c r="I241" s="6">
        <v>1.3888888888888889E-3</v>
      </c>
      <c r="J241" s="2"/>
      <c r="K241" s="2"/>
      <c r="L241" s="2" t="s">
        <v>43</v>
      </c>
      <c r="M241" s="2" t="s">
        <v>78</v>
      </c>
      <c r="N241" s="2" t="s">
        <v>63</v>
      </c>
    </row>
    <row r="242" spans="1:14" x14ac:dyDescent="0.3">
      <c r="A242" s="2" t="s">
        <v>70</v>
      </c>
      <c r="B242" s="3">
        <v>29</v>
      </c>
      <c r="C242" s="4" t="s">
        <v>27</v>
      </c>
      <c r="D242" s="2" t="s">
        <v>16</v>
      </c>
      <c r="E242" s="2" t="s">
        <v>42</v>
      </c>
      <c r="F242" s="5">
        <v>0</v>
      </c>
      <c r="G242" s="1">
        <v>0</v>
      </c>
      <c r="H242" s="2">
        <v>4</v>
      </c>
      <c r="I242" s="6">
        <v>1.3888888888888889E-3</v>
      </c>
      <c r="J242" s="2"/>
      <c r="K242" s="2"/>
      <c r="L242" s="2" t="s">
        <v>48</v>
      </c>
      <c r="M242" s="2" t="s">
        <v>78</v>
      </c>
      <c r="N242" s="2" t="s">
        <v>62</v>
      </c>
    </row>
    <row r="243" spans="1:14" x14ac:dyDescent="0.3">
      <c r="A243" s="2" t="s">
        <v>70</v>
      </c>
      <c r="B243" s="3">
        <v>11</v>
      </c>
      <c r="C243" s="4" t="s">
        <v>37</v>
      </c>
      <c r="D243" s="2" t="s">
        <v>28</v>
      </c>
      <c r="E243" s="2" t="s">
        <v>42</v>
      </c>
      <c r="F243" s="5">
        <v>0</v>
      </c>
      <c r="G243" s="1">
        <v>0</v>
      </c>
      <c r="H243" s="2">
        <v>1</v>
      </c>
      <c r="I243" s="6">
        <v>1.3888888888888889E-3</v>
      </c>
      <c r="J243" s="2"/>
      <c r="K243" s="2"/>
      <c r="L243" s="2" t="s">
        <v>51</v>
      </c>
      <c r="M243" s="2" t="s">
        <v>77</v>
      </c>
      <c r="N243" s="2" t="s">
        <v>65</v>
      </c>
    </row>
    <row r="244" spans="1:14" x14ac:dyDescent="0.3">
      <c r="A244" s="2" t="s">
        <v>70</v>
      </c>
      <c r="B244" s="3">
        <v>23</v>
      </c>
      <c r="C244" s="4" t="s">
        <v>44</v>
      </c>
      <c r="D244" s="2" t="s">
        <v>38</v>
      </c>
      <c r="E244" s="2" t="s">
        <v>23</v>
      </c>
      <c r="F244" s="5">
        <v>0</v>
      </c>
      <c r="G244" s="1">
        <v>0</v>
      </c>
      <c r="H244" s="2">
        <v>1</v>
      </c>
      <c r="I244" s="6">
        <v>1.3888888888888889E-3</v>
      </c>
      <c r="J244" s="2"/>
      <c r="K244" s="2"/>
      <c r="L244" s="2" t="s">
        <v>30</v>
      </c>
      <c r="M244" s="2" t="s">
        <v>76</v>
      </c>
      <c r="N244" s="2" t="s">
        <v>31</v>
      </c>
    </row>
    <row r="245" spans="1:14" x14ac:dyDescent="0.3">
      <c r="A245" s="2" t="s">
        <v>70</v>
      </c>
      <c r="B245" s="3">
        <v>5</v>
      </c>
      <c r="C245" s="4" t="s">
        <v>59</v>
      </c>
      <c r="D245" s="2" t="s">
        <v>16</v>
      </c>
      <c r="E245" s="2" t="s">
        <v>23</v>
      </c>
      <c r="F245" s="5">
        <v>0</v>
      </c>
      <c r="G245" s="1">
        <v>0</v>
      </c>
      <c r="H245" s="2">
        <v>1</v>
      </c>
      <c r="I245" s="6">
        <v>1.3888888888888889E-3</v>
      </c>
      <c r="J245" s="2"/>
      <c r="K245" s="2"/>
      <c r="L245" s="2" t="s">
        <v>43</v>
      </c>
      <c r="M245" s="2" t="s">
        <v>78</v>
      </c>
      <c r="N245" s="2" t="s">
        <v>63</v>
      </c>
    </row>
    <row r="246" spans="1:14" x14ac:dyDescent="0.3">
      <c r="A246" s="2" t="s">
        <v>14</v>
      </c>
      <c r="B246" s="3">
        <v>2</v>
      </c>
      <c r="C246" s="4" t="s">
        <v>55</v>
      </c>
      <c r="D246" s="2" t="s">
        <v>32</v>
      </c>
      <c r="E246" s="2" t="s">
        <v>42</v>
      </c>
      <c r="F246" s="5">
        <v>4</v>
      </c>
      <c r="G246" s="1">
        <v>15000000</v>
      </c>
      <c r="H246" s="2">
        <v>3</v>
      </c>
      <c r="I246" s="6">
        <v>1.3888888888888889E-3</v>
      </c>
      <c r="J246" s="2" t="s">
        <v>18</v>
      </c>
      <c r="K246" s="2" t="s">
        <v>24</v>
      </c>
      <c r="L246" s="2" t="s">
        <v>25</v>
      </c>
      <c r="M246" s="2" t="s">
        <v>78</v>
      </c>
      <c r="N246" s="2" t="s">
        <v>41</v>
      </c>
    </row>
    <row r="247" spans="1:14" x14ac:dyDescent="0.3">
      <c r="A247" s="2" t="s">
        <v>14</v>
      </c>
      <c r="B247" s="3">
        <v>11</v>
      </c>
      <c r="C247" s="4" t="s">
        <v>57</v>
      </c>
      <c r="D247" s="2" t="s">
        <v>38</v>
      </c>
      <c r="E247" s="2" t="s">
        <v>42</v>
      </c>
      <c r="F247" s="5">
        <v>2</v>
      </c>
      <c r="G247" s="1">
        <v>12000000</v>
      </c>
      <c r="H247" s="2">
        <v>1</v>
      </c>
      <c r="I247" s="6">
        <v>1.3888888888888889E-3</v>
      </c>
      <c r="J247" s="2" t="s">
        <v>18</v>
      </c>
      <c r="K247" s="2" t="s">
        <v>19</v>
      </c>
      <c r="L247" s="2" t="s">
        <v>25</v>
      </c>
      <c r="M247" s="2" t="s">
        <v>78</v>
      </c>
      <c r="N247" s="2" t="s">
        <v>53</v>
      </c>
    </row>
    <row r="248" spans="1:14" x14ac:dyDescent="0.3">
      <c r="A248" s="2" t="s">
        <v>14</v>
      </c>
      <c r="B248" s="3">
        <v>1</v>
      </c>
      <c r="C248" s="4" t="s">
        <v>59</v>
      </c>
      <c r="D248" s="2" t="s">
        <v>32</v>
      </c>
      <c r="E248" s="2" t="s">
        <v>45</v>
      </c>
      <c r="F248" s="5">
        <v>1</v>
      </c>
      <c r="G248" s="1">
        <v>19000000</v>
      </c>
      <c r="H248" s="2">
        <v>2</v>
      </c>
      <c r="I248" s="6">
        <v>1.3888888888888889E-3</v>
      </c>
      <c r="J248" s="2" t="s">
        <v>46</v>
      </c>
      <c r="K248" s="2" t="s">
        <v>39</v>
      </c>
      <c r="L248" s="2" t="s">
        <v>30</v>
      </c>
      <c r="M248" s="2" t="s">
        <v>77</v>
      </c>
      <c r="N248" s="2" t="s">
        <v>65</v>
      </c>
    </row>
    <row r="249" spans="1:14" x14ac:dyDescent="0.3">
      <c r="A249" s="2" t="s">
        <v>14</v>
      </c>
      <c r="B249" s="3">
        <v>1</v>
      </c>
      <c r="C249" s="4" t="s">
        <v>60</v>
      </c>
      <c r="D249" s="2" t="s">
        <v>49</v>
      </c>
      <c r="E249" s="2" t="s">
        <v>23</v>
      </c>
      <c r="F249" s="5">
        <v>3</v>
      </c>
      <c r="G249" s="1">
        <v>15000000</v>
      </c>
      <c r="H249" s="2">
        <v>2</v>
      </c>
      <c r="I249" s="6">
        <v>1.3888888888888889E-3</v>
      </c>
      <c r="J249" s="2" t="s">
        <v>18</v>
      </c>
      <c r="K249" s="2" t="s">
        <v>56</v>
      </c>
      <c r="L249" s="2" t="s">
        <v>51</v>
      </c>
      <c r="M249" s="2" t="s">
        <v>76</v>
      </c>
      <c r="N249" s="2" t="s">
        <v>31</v>
      </c>
    </row>
    <row r="250" spans="1:14" x14ac:dyDescent="0.3">
      <c r="A250" s="2" t="s">
        <v>14</v>
      </c>
      <c r="B250" s="3">
        <v>12</v>
      </c>
      <c r="C250" s="4" t="s">
        <v>27</v>
      </c>
      <c r="D250" s="2" t="s">
        <v>73</v>
      </c>
      <c r="E250" s="2" t="s">
        <v>42</v>
      </c>
      <c r="F250" s="5">
        <v>2</v>
      </c>
      <c r="G250" s="1">
        <v>38000000</v>
      </c>
      <c r="H250" s="2">
        <v>6</v>
      </c>
      <c r="I250" s="6">
        <v>1.3888888888888889E-3</v>
      </c>
      <c r="J250" s="2" t="s">
        <v>46</v>
      </c>
      <c r="K250" s="2" t="s">
        <v>35</v>
      </c>
      <c r="L250" s="2" t="s">
        <v>30</v>
      </c>
      <c r="M250" s="2" t="s">
        <v>78</v>
      </c>
      <c r="N250" s="2" t="s">
        <v>63</v>
      </c>
    </row>
    <row r="251" spans="1:14" x14ac:dyDescent="0.3">
      <c r="A251" s="2" t="s">
        <v>14</v>
      </c>
      <c r="B251" s="3">
        <v>7</v>
      </c>
      <c r="C251" s="4" t="s">
        <v>27</v>
      </c>
      <c r="D251" s="2" t="s">
        <v>16</v>
      </c>
      <c r="E251" s="2" t="s">
        <v>23</v>
      </c>
      <c r="F251" s="5">
        <v>5</v>
      </c>
      <c r="G251" s="1">
        <v>21000000</v>
      </c>
      <c r="H251" s="2">
        <v>5</v>
      </c>
      <c r="I251" s="6">
        <v>1.3888888888888889E-3</v>
      </c>
      <c r="J251" s="2" t="s">
        <v>18</v>
      </c>
      <c r="K251" s="2" t="s">
        <v>24</v>
      </c>
      <c r="L251" s="2" t="s">
        <v>43</v>
      </c>
      <c r="M251" s="2" t="s">
        <v>76</v>
      </c>
      <c r="N251" s="2" t="s">
        <v>26</v>
      </c>
    </row>
    <row r="252" spans="1:14" x14ac:dyDescent="0.3">
      <c r="A252" s="2" t="s">
        <v>14</v>
      </c>
      <c r="B252" s="3">
        <v>11</v>
      </c>
      <c r="C252" s="4" t="s">
        <v>27</v>
      </c>
      <c r="D252" s="2" t="s">
        <v>28</v>
      </c>
      <c r="E252" s="2" t="s">
        <v>42</v>
      </c>
      <c r="F252" s="5">
        <v>5</v>
      </c>
      <c r="G252" s="1">
        <v>25000000</v>
      </c>
      <c r="H252" s="2">
        <v>5</v>
      </c>
      <c r="I252" s="6">
        <v>1.3888888888888889E-3</v>
      </c>
      <c r="J252" s="2" t="s">
        <v>18</v>
      </c>
      <c r="K252" s="2" t="s">
        <v>39</v>
      </c>
      <c r="L252" s="2" t="s">
        <v>33</v>
      </c>
      <c r="M252" s="2" t="s">
        <v>76</v>
      </c>
      <c r="N252" s="2" t="s">
        <v>31</v>
      </c>
    </row>
    <row r="253" spans="1:14" x14ac:dyDescent="0.3">
      <c r="A253" s="2" t="s">
        <v>14</v>
      </c>
      <c r="B253" s="3">
        <v>29</v>
      </c>
      <c r="C253" s="4" t="s">
        <v>27</v>
      </c>
      <c r="D253" s="2" t="s">
        <v>49</v>
      </c>
      <c r="E253" s="2" t="s">
        <v>42</v>
      </c>
      <c r="F253" s="5">
        <v>1</v>
      </c>
      <c r="G253" s="1">
        <v>7000000</v>
      </c>
      <c r="H253" s="2">
        <v>2</v>
      </c>
      <c r="I253" s="6">
        <v>1.3888888888888889E-3</v>
      </c>
      <c r="J253" s="2" t="s">
        <v>18</v>
      </c>
      <c r="K253" s="2" t="s">
        <v>47</v>
      </c>
      <c r="L253" s="2" t="s">
        <v>40</v>
      </c>
      <c r="M253" s="2" t="s">
        <v>66</v>
      </c>
      <c r="N253" s="2" t="s">
        <v>67</v>
      </c>
    </row>
    <row r="254" spans="1:14" x14ac:dyDescent="0.3">
      <c r="A254" s="2" t="s">
        <v>14</v>
      </c>
      <c r="B254" s="3">
        <v>3</v>
      </c>
      <c r="C254" s="4" t="s">
        <v>37</v>
      </c>
      <c r="D254" s="2" t="s">
        <v>38</v>
      </c>
      <c r="E254" s="2" t="s">
        <v>42</v>
      </c>
      <c r="F254" s="5">
        <v>2</v>
      </c>
      <c r="G254" s="1">
        <v>38000000</v>
      </c>
      <c r="H254" s="2">
        <v>3</v>
      </c>
      <c r="I254" s="6">
        <v>1.3888888888888889E-3</v>
      </c>
      <c r="J254" s="2" t="s">
        <v>46</v>
      </c>
      <c r="K254" s="2" t="s">
        <v>29</v>
      </c>
      <c r="L254" s="2" t="s">
        <v>30</v>
      </c>
      <c r="M254" s="2" t="s">
        <v>77</v>
      </c>
      <c r="N254" s="2" t="s">
        <v>65</v>
      </c>
    </row>
    <row r="255" spans="1:14" x14ac:dyDescent="0.3">
      <c r="A255" s="2" t="s">
        <v>14</v>
      </c>
      <c r="B255" s="3">
        <v>6</v>
      </c>
      <c r="C255" s="4" t="s">
        <v>37</v>
      </c>
      <c r="D255" s="2" t="s">
        <v>38</v>
      </c>
      <c r="E255" s="2" t="s">
        <v>42</v>
      </c>
      <c r="F255" s="5">
        <v>1</v>
      </c>
      <c r="G255" s="1">
        <v>19000000</v>
      </c>
      <c r="H255" s="2">
        <v>1</v>
      </c>
      <c r="I255" s="6">
        <v>1.3888888888888889E-3</v>
      </c>
      <c r="J255" s="2" t="s">
        <v>46</v>
      </c>
      <c r="K255" s="2" t="s">
        <v>19</v>
      </c>
      <c r="L255" s="2" t="s">
        <v>40</v>
      </c>
      <c r="M255" s="2" t="s">
        <v>66</v>
      </c>
      <c r="N255" s="2" t="s">
        <v>36</v>
      </c>
    </row>
    <row r="256" spans="1:14" x14ac:dyDescent="0.3">
      <c r="A256" s="2" t="s">
        <v>14</v>
      </c>
      <c r="B256" s="3">
        <v>26</v>
      </c>
      <c r="C256" s="4" t="s">
        <v>37</v>
      </c>
      <c r="D256" s="2" t="s">
        <v>16</v>
      </c>
      <c r="E256" s="2" t="s">
        <v>23</v>
      </c>
      <c r="F256" s="5">
        <v>4</v>
      </c>
      <c r="G256" s="1">
        <v>20000000</v>
      </c>
      <c r="H256" s="2">
        <v>3</v>
      </c>
      <c r="I256" s="6">
        <v>1.3888888888888889E-3</v>
      </c>
      <c r="J256" s="2" t="s">
        <v>61</v>
      </c>
      <c r="K256" s="2" t="s">
        <v>19</v>
      </c>
      <c r="L256" s="2" t="s">
        <v>48</v>
      </c>
      <c r="M256" s="2" t="s">
        <v>78</v>
      </c>
      <c r="N256" s="2" t="s">
        <v>63</v>
      </c>
    </row>
    <row r="257" spans="1:14" x14ac:dyDescent="0.3">
      <c r="A257" s="2" t="s">
        <v>14</v>
      </c>
      <c r="B257" s="3">
        <v>1</v>
      </c>
      <c r="C257" s="4" t="s">
        <v>37</v>
      </c>
      <c r="D257" s="2" t="s">
        <v>16</v>
      </c>
      <c r="E257" s="2" t="s">
        <v>17</v>
      </c>
      <c r="F257" s="5">
        <v>1</v>
      </c>
      <c r="G257" s="1">
        <v>7000000</v>
      </c>
      <c r="H257" s="2">
        <v>4</v>
      </c>
      <c r="I257" s="6">
        <v>1.3888888888888889E-3</v>
      </c>
      <c r="J257" s="2" t="s">
        <v>18</v>
      </c>
      <c r="K257" s="2" t="s">
        <v>29</v>
      </c>
      <c r="L257" s="2" t="s">
        <v>30</v>
      </c>
      <c r="M257" s="2" t="s">
        <v>76</v>
      </c>
      <c r="N257" s="2" t="s">
        <v>31</v>
      </c>
    </row>
    <row r="258" spans="1:14" x14ac:dyDescent="0.3">
      <c r="A258" s="2" t="s">
        <v>14</v>
      </c>
      <c r="B258" s="3">
        <v>1</v>
      </c>
      <c r="C258" s="4" t="s">
        <v>37</v>
      </c>
      <c r="D258" s="2" t="s">
        <v>32</v>
      </c>
      <c r="E258" s="2" t="s">
        <v>23</v>
      </c>
      <c r="F258" s="5">
        <v>2</v>
      </c>
      <c r="G258" s="1">
        <v>12000000</v>
      </c>
      <c r="H258" s="2">
        <v>4</v>
      </c>
      <c r="I258" s="6">
        <v>1.3888888888888889E-3</v>
      </c>
      <c r="J258" s="2" t="s">
        <v>18</v>
      </c>
      <c r="K258" s="2" t="s">
        <v>56</v>
      </c>
      <c r="L258" s="2" t="s">
        <v>30</v>
      </c>
      <c r="M258" s="2" t="s">
        <v>78</v>
      </c>
      <c r="N258" s="2" t="s">
        <v>66</v>
      </c>
    </row>
    <row r="259" spans="1:14" x14ac:dyDescent="0.3">
      <c r="A259" s="2" t="s">
        <v>14</v>
      </c>
      <c r="B259" s="3">
        <v>30</v>
      </c>
      <c r="C259" s="4" t="s">
        <v>37</v>
      </c>
      <c r="D259" s="2" t="s">
        <v>38</v>
      </c>
      <c r="E259" s="2" t="s">
        <v>42</v>
      </c>
      <c r="F259" s="5">
        <v>3</v>
      </c>
      <c r="G259" s="1">
        <v>15000000</v>
      </c>
      <c r="H259" s="2">
        <v>2</v>
      </c>
      <c r="I259" s="6">
        <v>1.3888888888888889E-3</v>
      </c>
      <c r="J259" s="2" t="s">
        <v>18</v>
      </c>
      <c r="K259" s="2" t="s">
        <v>50</v>
      </c>
      <c r="L259" s="2" t="s">
        <v>48</v>
      </c>
      <c r="M259" s="2" t="s">
        <v>76</v>
      </c>
      <c r="N259" s="2" t="s">
        <v>26</v>
      </c>
    </row>
    <row r="260" spans="1:14" x14ac:dyDescent="0.3">
      <c r="A260" s="2" t="s">
        <v>14</v>
      </c>
      <c r="B260" s="3">
        <v>3</v>
      </c>
      <c r="C260" s="4" t="s">
        <v>44</v>
      </c>
      <c r="D260" s="2" t="s">
        <v>32</v>
      </c>
      <c r="E260" s="2" t="s">
        <v>23</v>
      </c>
      <c r="F260" s="5">
        <v>4</v>
      </c>
      <c r="G260" s="1">
        <v>20000000</v>
      </c>
      <c r="H260" s="2">
        <v>6</v>
      </c>
      <c r="I260" s="6">
        <v>1.3888888888888889E-3</v>
      </c>
      <c r="J260" s="2" t="s">
        <v>61</v>
      </c>
      <c r="K260" s="2" t="s">
        <v>29</v>
      </c>
      <c r="L260" s="2" t="s">
        <v>33</v>
      </c>
      <c r="M260" s="2" t="s">
        <v>77</v>
      </c>
      <c r="N260" s="2" t="s">
        <v>54</v>
      </c>
    </row>
    <row r="261" spans="1:14" x14ac:dyDescent="0.3">
      <c r="A261" s="2" t="s">
        <v>14</v>
      </c>
      <c r="B261" s="3">
        <v>3</v>
      </c>
      <c r="C261" s="4" t="s">
        <v>44</v>
      </c>
      <c r="D261" s="2" t="s">
        <v>38</v>
      </c>
      <c r="E261" s="2" t="s">
        <v>45</v>
      </c>
      <c r="F261" s="5">
        <v>5</v>
      </c>
      <c r="G261" s="1">
        <v>25000000</v>
      </c>
      <c r="H261" s="2">
        <v>2</v>
      </c>
      <c r="I261" s="6">
        <v>1.3888888888888889E-3</v>
      </c>
      <c r="J261" s="2" t="s">
        <v>18</v>
      </c>
      <c r="K261" s="2" t="s">
        <v>64</v>
      </c>
      <c r="L261" s="2" t="s">
        <v>43</v>
      </c>
      <c r="M261" s="2" t="s">
        <v>78</v>
      </c>
      <c r="N261" s="2" t="s">
        <v>53</v>
      </c>
    </row>
    <row r="262" spans="1:14" x14ac:dyDescent="0.3">
      <c r="A262" s="2" t="s">
        <v>14</v>
      </c>
      <c r="B262" s="3">
        <v>10</v>
      </c>
      <c r="C262" s="4" t="s">
        <v>44</v>
      </c>
      <c r="D262" s="2" t="s">
        <v>32</v>
      </c>
      <c r="E262" s="2" t="s">
        <v>42</v>
      </c>
      <c r="F262" s="5">
        <v>2</v>
      </c>
      <c r="G262" s="1">
        <v>12000000</v>
      </c>
      <c r="H262" s="2">
        <v>1</v>
      </c>
      <c r="I262" s="6">
        <v>1.3888888888888889E-3</v>
      </c>
      <c r="J262" s="2" t="s">
        <v>18</v>
      </c>
      <c r="K262" s="2" t="s">
        <v>47</v>
      </c>
      <c r="L262" s="2" t="s">
        <v>43</v>
      </c>
      <c r="M262" s="2" t="s">
        <v>78</v>
      </c>
      <c r="N262" s="2" t="s">
        <v>66</v>
      </c>
    </row>
    <row r="263" spans="1:14" x14ac:dyDescent="0.3">
      <c r="A263" s="2" t="s">
        <v>14</v>
      </c>
      <c r="B263" s="3">
        <v>2</v>
      </c>
      <c r="C263" s="4" t="s">
        <v>44</v>
      </c>
      <c r="D263" s="2" t="s">
        <v>28</v>
      </c>
      <c r="E263" s="2" t="s">
        <v>23</v>
      </c>
      <c r="F263" s="5">
        <v>5</v>
      </c>
      <c r="G263" s="1">
        <v>25000000</v>
      </c>
      <c r="H263" s="2">
        <v>1</v>
      </c>
      <c r="I263" s="6">
        <v>1.3888888888888889E-3</v>
      </c>
      <c r="J263" s="2" t="s">
        <v>18</v>
      </c>
      <c r="K263" s="2" t="s">
        <v>29</v>
      </c>
      <c r="L263" s="2" t="s">
        <v>48</v>
      </c>
      <c r="M263" s="2" t="s">
        <v>76</v>
      </c>
      <c r="N263" s="2" t="s">
        <v>52</v>
      </c>
    </row>
    <row r="264" spans="1:14" x14ac:dyDescent="0.3">
      <c r="A264" s="2" t="s">
        <v>14</v>
      </c>
      <c r="B264" s="3">
        <v>16</v>
      </c>
      <c r="C264" s="4" t="s">
        <v>69</v>
      </c>
      <c r="D264" s="2" t="s">
        <v>16</v>
      </c>
      <c r="E264" s="2" t="s">
        <v>23</v>
      </c>
      <c r="F264" s="5">
        <v>3</v>
      </c>
      <c r="G264" s="1">
        <v>12000000</v>
      </c>
      <c r="H264" s="2">
        <v>3</v>
      </c>
      <c r="I264" s="6">
        <v>1.3888888888888889E-3</v>
      </c>
      <c r="J264" s="2" t="s">
        <v>18</v>
      </c>
      <c r="K264" s="2" t="s">
        <v>35</v>
      </c>
      <c r="L264" s="2" t="s">
        <v>33</v>
      </c>
      <c r="M264" s="2" t="s">
        <v>66</v>
      </c>
      <c r="N264" s="2" t="s">
        <v>36</v>
      </c>
    </row>
    <row r="265" spans="1:14" x14ac:dyDescent="0.3">
      <c r="A265" s="2" t="s">
        <v>14</v>
      </c>
      <c r="B265" s="3">
        <v>1</v>
      </c>
      <c r="C265" s="4" t="s">
        <v>69</v>
      </c>
      <c r="D265" s="2" t="s">
        <v>28</v>
      </c>
      <c r="E265" s="2" t="s">
        <v>42</v>
      </c>
      <c r="F265" s="5">
        <v>2</v>
      </c>
      <c r="G265" s="1">
        <v>10000000</v>
      </c>
      <c r="H265" s="2">
        <v>2</v>
      </c>
      <c r="I265" s="6">
        <v>1.3888888888888889E-3</v>
      </c>
      <c r="J265" s="2" t="s">
        <v>18</v>
      </c>
      <c r="K265" s="2" t="s">
        <v>39</v>
      </c>
      <c r="L265" s="2" t="s">
        <v>51</v>
      </c>
      <c r="M265" s="2" t="s">
        <v>77</v>
      </c>
      <c r="N265" s="2" t="s">
        <v>65</v>
      </c>
    </row>
    <row r="266" spans="1:14" x14ac:dyDescent="0.3">
      <c r="A266" s="2" t="s">
        <v>14</v>
      </c>
      <c r="B266" s="3">
        <v>2</v>
      </c>
      <c r="C266" s="4" t="s">
        <v>55</v>
      </c>
      <c r="D266" s="2" t="s">
        <v>32</v>
      </c>
      <c r="E266" s="2" t="s">
        <v>42</v>
      </c>
      <c r="F266" s="5">
        <v>4</v>
      </c>
      <c r="G266" s="1">
        <v>15000000</v>
      </c>
      <c r="H266" s="2">
        <v>3</v>
      </c>
      <c r="I266" s="6">
        <v>1.3888888888888889E-3</v>
      </c>
      <c r="J266" s="2" t="s">
        <v>18</v>
      </c>
      <c r="K266" s="2" t="s">
        <v>24</v>
      </c>
      <c r="L266" s="2" t="s">
        <v>25</v>
      </c>
      <c r="M266" s="2" t="s">
        <v>78</v>
      </c>
      <c r="N266" s="2" t="s">
        <v>41</v>
      </c>
    </row>
    <row r="267" spans="1:14" x14ac:dyDescent="0.3">
      <c r="A267" s="2" t="s">
        <v>14</v>
      </c>
      <c r="B267" s="3">
        <v>11</v>
      </c>
      <c r="C267" s="4" t="s">
        <v>57</v>
      </c>
      <c r="D267" s="2" t="s">
        <v>38</v>
      </c>
      <c r="E267" s="2" t="s">
        <v>42</v>
      </c>
      <c r="F267" s="5">
        <v>2</v>
      </c>
      <c r="G267" s="1">
        <v>12000000</v>
      </c>
      <c r="H267" s="2">
        <v>1</v>
      </c>
      <c r="I267" s="6">
        <v>1.3888888888888889E-3</v>
      </c>
      <c r="J267" s="2" t="s">
        <v>18</v>
      </c>
      <c r="K267" s="2" t="s">
        <v>19</v>
      </c>
      <c r="L267" s="2" t="s">
        <v>25</v>
      </c>
      <c r="M267" s="2" t="s">
        <v>78</v>
      </c>
      <c r="N267" s="2" t="s">
        <v>53</v>
      </c>
    </row>
    <row r="268" spans="1:14" x14ac:dyDescent="0.3">
      <c r="A268" s="2" t="s">
        <v>14</v>
      </c>
      <c r="B268" s="3">
        <v>1</v>
      </c>
      <c r="C268" s="4" t="s">
        <v>59</v>
      </c>
      <c r="D268" s="2" t="s">
        <v>32</v>
      </c>
      <c r="E268" s="2" t="s">
        <v>45</v>
      </c>
      <c r="F268" s="5">
        <v>1</v>
      </c>
      <c r="G268" s="1">
        <v>19000000</v>
      </c>
      <c r="H268" s="2">
        <v>2</v>
      </c>
      <c r="I268" s="6">
        <v>1.3888888888888889E-3</v>
      </c>
      <c r="J268" s="2" t="s">
        <v>46</v>
      </c>
      <c r="K268" s="2" t="s">
        <v>39</v>
      </c>
      <c r="L268" s="2" t="s">
        <v>30</v>
      </c>
      <c r="M268" s="2" t="s">
        <v>77</v>
      </c>
      <c r="N268" s="2" t="s">
        <v>65</v>
      </c>
    </row>
    <row r="269" spans="1:14" x14ac:dyDescent="0.3">
      <c r="A269" s="2" t="s">
        <v>14</v>
      </c>
      <c r="B269" s="3">
        <v>1</v>
      </c>
      <c r="C269" s="4" t="s">
        <v>60</v>
      </c>
      <c r="D269" s="2" t="s">
        <v>49</v>
      </c>
      <c r="E269" s="2" t="s">
        <v>23</v>
      </c>
      <c r="F269" s="5">
        <v>3</v>
      </c>
      <c r="G269" s="1">
        <v>15000000</v>
      </c>
      <c r="H269" s="2">
        <v>2</v>
      </c>
      <c r="I269" s="6">
        <v>1.3888888888888889E-3</v>
      </c>
      <c r="J269" s="2" t="s">
        <v>18</v>
      </c>
      <c r="K269" s="2" t="s">
        <v>56</v>
      </c>
      <c r="L269" s="2" t="s">
        <v>51</v>
      </c>
      <c r="M269" s="2" t="s">
        <v>76</v>
      </c>
      <c r="N269" s="2" t="s">
        <v>31</v>
      </c>
    </row>
    <row r="270" spans="1:14" x14ac:dyDescent="0.3">
      <c r="A270" s="2" t="s">
        <v>70</v>
      </c>
      <c r="B270" s="3">
        <v>23</v>
      </c>
      <c r="C270" s="4" t="s">
        <v>27</v>
      </c>
      <c r="D270" s="2" t="s">
        <v>73</v>
      </c>
      <c r="E270" s="2" t="s">
        <v>23</v>
      </c>
      <c r="F270" s="5">
        <v>0</v>
      </c>
      <c r="G270" s="1">
        <v>0</v>
      </c>
      <c r="H270" s="2">
        <v>1</v>
      </c>
      <c r="I270" s="6">
        <v>1.3888888888888889E-3</v>
      </c>
      <c r="J270" s="2"/>
      <c r="K270" s="2"/>
      <c r="L270" s="2" t="s">
        <v>48</v>
      </c>
      <c r="M270" s="2" t="s">
        <v>77</v>
      </c>
      <c r="N270" s="2" t="s">
        <v>54</v>
      </c>
    </row>
    <row r="271" spans="1:14" x14ac:dyDescent="0.3">
      <c r="A271" s="2" t="s">
        <v>70</v>
      </c>
      <c r="B271" s="3">
        <v>9</v>
      </c>
      <c r="C271" s="4" t="s">
        <v>37</v>
      </c>
      <c r="D271" s="2" t="s">
        <v>32</v>
      </c>
      <c r="E271" s="2" t="s">
        <v>68</v>
      </c>
      <c r="F271" s="5">
        <v>0</v>
      </c>
      <c r="G271" s="1">
        <v>0</v>
      </c>
      <c r="H271" s="2">
        <v>1</v>
      </c>
      <c r="I271" s="6">
        <v>1.3888888888888889E-3</v>
      </c>
      <c r="J271" s="2"/>
      <c r="K271" s="2"/>
      <c r="L271" s="2" t="s">
        <v>33</v>
      </c>
      <c r="M271" s="2" t="s">
        <v>77</v>
      </c>
      <c r="N271" s="2" t="s">
        <v>54</v>
      </c>
    </row>
    <row r="272" spans="1:14" x14ac:dyDescent="0.3">
      <c r="A272" s="2" t="s">
        <v>70</v>
      </c>
      <c r="B272" s="3">
        <v>23</v>
      </c>
      <c r="C272" s="4" t="s">
        <v>37</v>
      </c>
      <c r="D272" s="2" t="s">
        <v>32</v>
      </c>
      <c r="E272" s="2" t="s">
        <v>45</v>
      </c>
      <c r="F272" s="5">
        <v>0</v>
      </c>
      <c r="G272" s="1">
        <v>0</v>
      </c>
      <c r="H272" s="2">
        <v>1</v>
      </c>
      <c r="I272" s="6">
        <v>1.3888888888888889E-3</v>
      </c>
      <c r="J272" s="2"/>
      <c r="K272" s="2"/>
      <c r="L272" s="2" t="s">
        <v>20</v>
      </c>
      <c r="M272" s="2" t="s">
        <v>66</v>
      </c>
      <c r="N272" s="2" t="s">
        <v>36</v>
      </c>
    </row>
    <row r="273" spans="1:14" x14ac:dyDescent="0.3">
      <c r="A273" s="2" t="s">
        <v>70</v>
      </c>
      <c r="B273" s="3">
        <v>4</v>
      </c>
      <c r="C273" s="4" t="s">
        <v>37</v>
      </c>
      <c r="D273" s="2" t="s">
        <v>16</v>
      </c>
      <c r="E273" s="2" t="s">
        <v>42</v>
      </c>
      <c r="F273" s="5">
        <v>0</v>
      </c>
      <c r="G273" s="1">
        <v>0</v>
      </c>
      <c r="H273" s="2">
        <v>2</v>
      </c>
      <c r="I273" s="6">
        <v>1.3888888888888889E-3</v>
      </c>
      <c r="J273" s="2"/>
      <c r="K273" s="2"/>
      <c r="L273" s="2" t="s">
        <v>43</v>
      </c>
      <c r="M273" s="2" t="s">
        <v>76</v>
      </c>
      <c r="N273" s="2" t="s">
        <v>52</v>
      </c>
    </row>
    <row r="274" spans="1:14" x14ac:dyDescent="0.3">
      <c r="A274" s="2" t="s">
        <v>70</v>
      </c>
      <c r="B274" s="3">
        <v>8</v>
      </c>
      <c r="C274" s="4" t="s">
        <v>69</v>
      </c>
      <c r="D274" s="2" t="s">
        <v>16</v>
      </c>
      <c r="E274" s="2" t="s">
        <v>17</v>
      </c>
      <c r="F274" s="5">
        <v>0</v>
      </c>
      <c r="G274" s="1">
        <v>0</v>
      </c>
      <c r="H274" s="2">
        <v>6</v>
      </c>
      <c r="I274" s="6">
        <v>1.3888888888888889E-3</v>
      </c>
      <c r="J274" s="2"/>
      <c r="K274" s="2"/>
      <c r="L274" s="2" t="s">
        <v>43</v>
      </c>
      <c r="M274" s="2" t="s">
        <v>76</v>
      </c>
      <c r="N274" s="2" t="s">
        <v>75</v>
      </c>
    </row>
    <row r="275" spans="1:14" x14ac:dyDescent="0.3">
      <c r="A275" s="2" t="s">
        <v>70</v>
      </c>
      <c r="B275" s="3">
        <v>10</v>
      </c>
      <c r="C275" s="4" t="s">
        <v>69</v>
      </c>
      <c r="D275" s="2" t="s">
        <v>32</v>
      </c>
      <c r="E275" s="2" t="s">
        <v>42</v>
      </c>
      <c r="F275" s="5">
        <v>0</v>
      </c>
      <c r="G275" s="1">
        <v>0</v>
      </c>
      <c r="H275" s="2">
        <v>1</v>
      </c>
      <c r="I275" s="6">
        <v>1.3888888888888889E-3</v>
      </c>
      <c r="J275" s="2"/>
      <c r="K275" s="2"/>
      <c r="L275" s="2" t="s">
        <v>51</v>
      </c>
      <c r="M275" s="2" t="s">
        <v>66</v>
      </c>
      <c r="N275" s="2" t="s">
        <v>36</v>
      </c>
    </row>
    <row r="276" spans="1:14" x14ac:dyDescent="0.3">
      <c r="A276" s="2" t="s">
        <v>14</v>
      </c>
      <c r="B276" s="3">
        <v>11</v>
      </c>
      <c r="C276" s="4" t="s">
        <v>57</v>
      </c>
      <c r="D276" s="2" t="s">
        <v>16</v>
      </c>
      <c r="E276" s="2" t="s">
        <v>23</v>
      </c>
      <c r="F276" s="5">
        <v>4</v>
      </c>
      <c r="G276" s="1">
        <v>20000000</v>
      </c>
      <c r="H276" s="2">
        <v>1</v>
      </c>
      <c r="I276" s="6">
        <v>1.3888888888888889E-3</v>
      </c>
      <c r="J276" s="2" t="s">
        <v>18</v>
      </c>
      <c r="K276" s="2" t="s">
        <v>47</v>
      </c>
      <c r="L276" s="2" t="s">
        <v>25</v>
      </c>
      <c r="M276" s="2" t="s">
        <v>66</v>
      </c>
      <c r="N276" s="2" t="s">
        <v>67</v>
      </c>
    </row>
    <row r="277" spans="1:14" x14ac:dyDescent="0.3">
      <c r="A277" s="2" t="s">
        <v>14</v>
      </c>
      <c r="B277" s="3">
        <v>1</v>
      </c>
      <c r="C277" s="4" t="s">
        <v>15</v>
      </c>
      <c r="D277" s="2" t="s">
        <v>49</v>
      </c>
      <c r="E277" s="2" t="s">
        <v>42</v>
      </c>
      <c r="F277" s="5">
        <v>2</v>
      </c>
      <c r="G277" s="1">
        <v>12000000</v>
      </c>
      <c r="H277" s="2">
        <v>1</v>
      </c>
      <c r="I277" s="6">
        <v>1.3888888888888889E-3</v>
      </c>
      <c r="J277" s="2" t="s">
        <v>18</v>
      </c>
      <c r="K277" s="2" t="s">
        <v>29</v>
      </c>
      <c r="L277" s="2" t="s">
        <v>33</v>
      </c>
      <c r="M277" s="2" t="s">
        <v>76</v>
      </c>
      <c r="N277" s="2" t="s">
        <v>71</v>
      </c>
    </row>
    <row r="278" spans="1:14" x14ac:dyDescent="0.3">
      <c r="A278" s="2" t="s">
        <v>14</v>
      </c>
      <c r="B278" s="3">
        <v>13</v>
      </c>
      <c r="C278" s="4" t="s">
        <v>60</v>
      </c>
      <c r="D278" s="2" t="s">
        <v>16</v>
      </c>
      <c r="E278" s="2" t="s">
        <v>23</v>
      </c>
      <c r="F278" s="5">
        <v>5</v>
      </c>
      <c r="G278" s="1">
        <v>21000000</v>
      </c>
      <c r="H278" s="2">
        <v>4</v>
      </c>
      <c r="I278" s="6">
        <v>1.3888888888888889E-3</v>
      </c>
      <c r="J278" s="2" t="s">
        <v>18</v>
      </c>
      <c r="K278" s="2" t="s">
        <v>50</v>
      </c>
      <c r="L278" s="2" t="s">
        <v>40</v>
      </c>
      <c r="M278" s="2" t="s">
        <v>66</v>
      </c>
      <c r="N278" s="2" t="s">
        <v>36</v>
      </c>
    </row>
    <row r="279" spans="1:14" x14ac:dyDescent="0.3">
      <c r="A279" s="2" t="s">
        <v>14</v>
      </c>
      <c r="B279" s="3">
        <v>28</v>
      </c>
      <c r="C279" s="4" t="s">
        <v>22</v>
      </c>
      <c r="D279" s="2" t="s">
        <v>38</v>
      </c>
      <c r="E279" s="2" t="s">
        <v>42</v>
      </c>
      <c r="F279" s="5">
        <v>4</v>
      </c>
      <c r="G279" s="1">
        <v>11000000</v>
      </c>
      <c r="H279" s="2">
        <v>2</v>
      </c>
      <c r="I279" s="6">
        <v>1.3888888888888889E-3</v>
      </c>
      <c r="J279" s="2" t="s">
        <v>61</v>
      </c>
      <c r="K279" s="2" t="s">
        <v>19</v>
      </c>
      <c r="L279" s="2" t="s">
        <v>40</v>
      </c>
      <c r="M279" s="2" t="s">
        <v>77</v>
      </c>
      <c r="N279" s="2" t="s">
        <v>54</v>
      </c>
    </row>
    <row r="280" spans="1:14" x14ac:dyDescent="0.3">
      <c r="A280" s="2" t="s">
        <v>14</v>
      </c>
      <c r="B280" s="3">
        <v>27</v>
      </c>
      <c r="C280" s="4" t="s">
        <v>37</v>
      </c>
      <c r="D280" s="2" t="s">
        <v>16</v>
      </c>
      <c r="E280" s="2" t="s">
        <v>42</v>
      </c>
      <c r="F280" s="5">
        <v>1</v>
      </c>
      <c r="G280" s="1">
        <v>19000000</v>
      </c>
      <c r="H280" s="2">
        <v>2</v>
      </c>
      <c r="I280" s="6">
        <v>1.3888888888888889E-3</v>
      </c>
      <c r="J280" s="2" t="s">
        <v>46</v>
      </c>
      <c r="K280" s="2" t="s">
        <v>56</v>
      </c>
      <c r="L280" s="2" t="s">
        <v>43</v>
      </c>
      <c r="M280" s="2" t="s">
        <v>78</v>
      </c>
      <c r="N280" s="2" t="s">
        <v>53</v>
      </c>
    </row>
    <row r="281" spans="1:14" x14ac:dyDescent="0.3">
      <c r="A281" s="2" t="s">
        <v>14</v>
      </c>
      <c r="B281" s="3">
        <v>9</v>
      </c>
      <c r="C281" s="4" t="s">
        <v>37</v>
      </c>
      <c r="D281" s="2" t="s">
        <v>16</v>
      </c>
      <c r="E281" s="2" t="s">
        <v>17</v>
      </c>
      <c r="F281" s="5">
        <v>3</v>
      </c>
      <c r="G281" s="1">
        <v>15000000</v>
      </c>
      <c r="H281" s="2">
        <v>1</v>
      </c>
      <c r="I281" s="6">
        <v>1.3888888888888889E-3</v>
      </c>
      <c r="J281" s="2" t="s">
        <v>18</v>
      </c>
      <c r="K281" s="2" t="s">
        <v>47</v>
      </c>
      <c r="L281" s="2" t="s">
        <v>51</v>
      </c>
      <c r="M281" s="2" t="s">
        <v>76</v>
      </c>
      <c r="N281" s="2" t="s">
        <v>26</v>
      </c>
    </row>
    <row r="282" spans="1:14" x14ac:dyDescent="0.3">
      <c r="A282" s="2" t="s">
        <v>14</v>
      </c>
      <c r="B282" s="3">
        <v>19</v>
      </c>
      <c r="C282" s="4" t="s">
        <v>37</v>
      </c>
      <c r="D282" s="2" t="s">
        <v>16</v>
      </c>
      <c r="E282" s="2" t="s">
        <v>42</v>
      </c>
      <c r="F282" s="5">
        <v>5</v>
      </c>
      <c r="G282" s="1">
        <v>25000000</v>
      </c>
      <c r="H282" s="2">
        <v>3</v>
      </c>
      <c r="I282" s="6">
        <v>1.3888888888888889E-3</v>
      </c>
      <c r="J282" s="2" t="s">
        <v>18</v>
      </c>
      <c r="K282" s="2" t="s">
        <v>19</v>
      </c>
      <c r="L282" s="2" t="s">
        <v>48</v>
      </c>
      <c r="M282" s="2" t="s">
        <v>76</v>
      </c>
      <c r="N282" s="2" t="s">
        <v>26</v>
      </c>
    </row>
    <row r="283" spans="1:14" x14ac:dyDescent="0.3">
      <c r="A283" s="2" t="s">
        <v>14</v>
      </c>
      <c r="B283" s="3">
        <v>3</v>
      </c>
      <c r="C283" s="4" t="s">
        <v>44</v>
      </c>
      <c r="D283" s="2" t="s">
        <v>16</v>
      </c>
      <c r="E283" s="2" t="s">
        <v>42</v>
      </c>
      <c r="F283" s="5">
        <v>2</v>
      </c>
      <c r="G283" s="1">
        <v>12000000</v>
      </c>
      <c r="H283" s="2">
        <v>4</v>
      </c>
      <c r="I283" s="6">
        <v>1.3888888888888889E-3</v>
      </c>
      <c r="J283" s="2" t="s">
        <v>18</v>
      </c>
      <c r="K283" s="2" t="s">
        <v>19</v>
      </c>
      <c r="L283" s="2" t="s">
        <v>20</v>
      </c>
      <c r="M283" s="2" t="s">
        <v>77</v>
      </c>
      <c r="N283" s="2" t="s">
        <v>65</v>
      </c>
    </row>
    <row r="284" spans="1:14" x14ac:dyDescent="0.3">
      <c r="A284" s="2" t="s">
        <v>14</v>
      </c>
      <c r="B284" s="3">
        <v>12</v>
      </c>
      <c r="C284" s="4" t="s">
        <v>44</v>
      </c>
      <c r="D284" s="2" t="s">
        <v>49</v>
      </c>
      <c r="E284" s="2" t="s">
        <v>17</v>
      </c>
      <c r="F284" s="5">
        <v>3</v>
      </c>
      <c r="G284" s="1">
        <v>15000000</v>
      </c>
      <c r="H284" s="2">
        <v>2</v>
      </c>
      <c r="I284" s="6">
        <v>1.3888888888888889E-3</v>
      </c>
      <c r="J284" s="2" t="s">
        <v>18</v>
      </c>
      <c r="K284" s="2" t="s">
        <v>64</v>
      </c>
      <c r="L284" s="2" t="s">
        <v>43</v>
      </c>
      <c r="M284" s="2" t="s">
        <v>77</v>
      </c>
      <c r="N284" s="2" t="s">
        <v>34</v>
      </c>
    </row>
    <row r="285" spans="1:14" x14ac:dyDescent="0.3">
      <c r="A285" s="2" t="s">
        <v>14</v>
      </c>
      <c r="B285" s="3">
        <v>15</v>
      </c>
      <c r="C285" s="4" t="s">
        <v>69</v>
      </c>
      <c r="D285" s="2" t="s">
        <v>16</v>
      </c>
      <c r="E285" s="2" t="s">
        <v>23</v>
      </c>
      <c r="F285" s="5">
        <v>2</v>
      </c>
      <c r="G285" s="1">
        <v>38000000</v>
      </c>
      <c r="H285" s="2">
        <v>1</v>
      </c>
      <c r="I285" s="6">
        <v>1.3888888888888889E-3</v>
      </c>
      <c r="J285" s="2" t="s">
        <v>46</v>
      </c>
      <c r="K285" s="2" t="s">
        <v>29</v>
      </c>
      <c r="L285" s="2" t="s">
        <v>33</v>
      </c>
      <c r="M285" s="2" t="s">
        <v>76</v>
      </c>
      <c r="N285" s="2" t="s">
        <v>71</v>
      </c>
    </row>
    <row r="286" spans="1:14" x14ac:dyDescent="0.3">
      <c r="A286" s="2" t="s">
        <v>14</v>
      </c>
      <c r="B286" s="3">
        <v>11</v>
      </c>
      <c r="C286" s="4" t="s">
        <v>57</v>
      </c>
      <c r="D286" s="2" t="s">
        <v>16</v>
      </c>
      <c r="E286" s="2" t="s">
        <v>23</v>
      </c>
      <c r="F286" s="5">
        <v>4</v>
      </c>
      <c r="G286" s="1">
        <v>20000000</v>
      </c>
      <c r="H286" s="2">
        <v>1</v>
      </c>
      <c r="I286" s="6">
        <v>1.3888888888888889E-3</v>
      </c>
      <c r="J286" s="2" t="s">
        <v>18</v>
      </c>
      <c r="K286" s="2" t="s">
        <v>47</v>
      </c>
      <c r="L286" s="2" t="s">
        <v>25</v>
      </c>
      <c r="M286" s="2" t="s">
        <v>66</v>
      </c>
      <c r="N286" s="2" t="s">
        <v>67</v>
      </c>
    </row>
    <row r="287" spans="1:14" x14ac:dyDescent="0.3">
      <c r="A287" s="2" t="s">
        <v>14</v>
      </c>
      <c r="B287" s="3">
        <v>1</v>
      </c>
      <c r="C287" s="4" t="s">
        <v>15</v>
      </c>
      <c r="D287" s="2" t="s">
        <v>49</v>
      </c>
      <c r="E287" s="2" t="s">
        <v>42</v>
      </c>
      <c r="F287" s="5">
        <v>2</v>
      </c>
      <c r="G287" s="1">
        <v>12000000</v>
      </c>
      <c r="H287" s="2">
        <v>1</v>
      </c>
      <c r="I287" s="6">
        <v>1.3888888888888889E-3</v>
      </c>
      <c r="J287" s="2" t="s">
        <v>18</v>
      </c>
      <c r="K287" s="2" t="s">
        <v>29</v>
      </c>
      <c r="L287" s="2" t="s">
        <v>33</v>
      </c>
      <c r="M287" s="2" t="s">
        <v>76</v>
      </c>
      <c r="N287" s="2" t="s">
        <v>71</v>
      </c>
    </row>
    <row r="288" spans="1:14" x14ac:dyDescent="0.3">
      <c r="A288" s="2" t="s">
        <v>14</v>
      </c>
      <c r="B288" s="3">
        <v>13</v>
      </c>
      <c r="C288" s="4" t="s">
        <v>60</v>
      </c>
      <c r="D288" s="2" t="s">
        <v>16</v>
      </c>
      <c r="E288" s="2" t="s">
        <v>23</v>
      </c>
      <c r="F288" s="5">
        <v>5</v>
      </c>
      <c r="G288" s="1">
        <v>21000000</v>
      </c>
      <c r="H288" s="2">
        <v>4</v>
      </c>
      <c r="I288" s="6">
        <v>1.3888888888888889E-3</v>
      </c>
      <c r="J288" s="2" t="s">
        <v>18</v>
      </c>
      <c r="K288" s="2" t="s">
        <v>50</v>
      </c>
      <c r="L288" s="2" t="s">
        <v>40</v>
      </c>
      <c r="M288" s="2" t="s">
        <v>66</v>
      </c>
      <c r="N288" s="2" t="s">
        <v>36</v>
      </c>
    </row>
    <row r="289" spans="1:14" x14ac:dyDescent="0.3">
      <c r="A289" s="2" t="s">
        <v>14</v>
      </c>
      <c r="B289" s="3">
        <v>28</v>
      </c>
      <c r="C289" s="4" t="s">
        <v>22</v>
      </c>
      <c r="D289" s="2" t="s">
        <v>38</v>
      </c>
      <c r="E289" s="2" t="s">
        <v>42</v>
      </c>
      <c r="F289" s="5">
        <v>4</v>
      </c>
      <c r="G289" s="1">
        <v>11000000</v>
      </c>
      <c r="H289" s="2">
        <v>2</v>
      </c>
      <c r="I289" s="6">
        <v>1.3888888888888889E-3</v>
      </c>
      <c r="J289" s="2" t="s">
        <v>61</v>
      </c>
      <c r="K289" s="2" t="s">
        <v>19</v>
      </c>
      <c r="L289" s="2" t="s">
        <v>40</v>
      </c>
      <c r="M289" s="2" t="s">
        <v>77</v>
      </c>
      <c r="N289" s="2" t="s">
        <v>54</v>
      </c>
    </row>
    <row r="290" spans="1:14" x14ac:dyDescent="0.3">
      <c r="A290" s="2" t="s">
        <v>70</v>
      </c>
      <c r="B290" s="3">
        <v>12</v>
      </c>
      <c r="C290" s="4" t="s">
        <v>55</v>
      </c>
      <c r="D290" s="2" t="s">
        <v>16</v>
      </c>
      <c r="E290" s="2" t="s">
        <v>23</v>
      </c>
      <c r="F290" s="5">
        <v>0</v>
      </c>
      <c r="G290" s="1">
        <v>0</v>
      </c>
      <c r="H290" s="2">
        <v>1</v>
      </c>
      <c r="I290" s="6">
        <v>1.3888888888888889E-3</v>
      </c>
      <c r="J290" s="2"/>
      <c r="K290" s="2"/>
      <c r="L290" s="2" t="s">
        <v>33</v>
      </c>
      <c r="M290" s="2" t="s">
        <v>76</v>
      </c>
      <c r="N290" s="2" t="s">
        <v>75</v>
      </c>
    </row>
    <row r="291" spans="1:14" x14ac:dyDescent="0.3">
      <c r="A291" s="2" t="s">
        <v>70</v>
      </c>
      <c r="B291" s="3">
        <v>30</v>
      </c>
      <c r="C291" s="4" t="s">
        <v>69</v>
      </c>
      <c r="D291" s="2" t="s">
        <v>28</v>
      </c>
      <c r="E291" s="2" t="s">
        <v>45</v>
      </c>
      <c r="F291" s="5">
        <v>0</v>
      </c>
      <c r="G291" s="1">
        <v>0</v>
      </c>
      <c r="H291" s="2">
        <v>5</v>
      </c>
      <c r="I291" s="6">
        <v>1.3888888888888889E-3</v>
      </c>
      <c r="J291" s="2"/>
      <c r="K291" s="2"/>
      <c r="L291" s="2" t="s">
        <v>30</v>
      </c>
      <c r="M291" s="2" t="s">
        <v>78</v>
      </c>
      <c r="N291" s="2" t="s">
        <v>66</v>
      </c>
    </row>
    <row r="292" spans="1:14" x14ac:dyDescent="0.3">
      <c r="A292" s="2" t="s">
        <v>70</v>
      </c>
      <c r="B292" s="3">
        <v>30</v>
      </c>
      <c r="C292" s="4" t="s">
        <v>69</v>
      </c>
      <c r="D292" s="2" t="s">
        <v>28</v>
      </c>
      <c r="E292" s="2" t="s">
        <v>42</v>
      </c>
      <c r="F292" s="5">
        <v>0</v>
      </c>
      <c r="G292" s="1">
        <v>0</v>
      </c>
      <c r="H292" s="2">
        <v>3</v>
      </c>
      <c r="I292" s="6">
        <v>1.3888888888888889E-3</v>
      </c>
      <c r="J292" s="2"/>
      <c r="K292" s="2"/>
      <c r="L292" s="2" t="s">
        <v>51</v>
      </c>
      <c r="M292" s="2" t="s">
        <v>78</v>
      </c>
      <c r="N292" s="2" t="s">
        <v>53</v>
      </c>
    </row>
    <row r="293" spans="1:14" x14ac:dyDescent="0.3">
      <c r="A293" s="2" t="s">
        <v>70</v>
      </c>
      <c r="B293" s="3">
        <v>12</v>
      </c>
      <c r="C293" s="4" t="s">
        <v>55</v>
      </c>
      <c r="D293" s="2" t="s">
        <v>16</v>
      </c>
      <c r="E293" s="2" t="s">
        <v>23</v>
      </c>
      <c r="F293" s="5">
        <v>0</v>
      </c>
      <c r="G293" s="1">
        <v>0</v>
      </c>
      <c r="H293" s="2">
        <v>1</v>
      </c>
      <c r="I293" s="6">
        <v>1.3888888888888889E-3</v>
      </c>
      <c r="J293" s="2"/>
      <c r="K293" s="2"/>
      <c r="L293" s="2" t="s">
        <v>33</v>
      </c>
      <c r="M293" s="2" t="s">
        <v>76</v>
      </c>
      <c r="N293" s="2" t="s">
        <v>75</v>
      </c>
    </row>
    <row r="294" spans="1:14" x14ac:dyDescent="0.3">
      <c r="A294" s="2" t="s">
        <v>14</v>
      </c>
      <c r="B294" s="3">
        <v>11</v>
      </c>
      <c r="C294" s="4" t="s">
        <v>57</v>
      </c>
      <c r="D294" s="2" t="s">
        <v>38</v>
      </c>
      <c r="E294" s="2" t="s">
        <v>42</v>
      </c>
      <c r="F294" s="5">
        <v>2</v>
      </c>
      <c r="G294" s="1">
        <v>38000000</v>
      </c>
      <c r="H294" s="2">
        <v>5</v>
      </c>
      <c r="I294" s="6">
        <v>1.3888888888888889E-3</v>
      </c>
      <c r="J294" s="2" t="s">
        <v>46</v>
      </c>
      <c r="K294" s="2" t="s">
        <v>50</v>
      </c>
      <c r="L294" s="2" t="s">
        <v>33</v>
      </c>
      <c r="M294" s="2" t="s">
        <v>76</v>
      </c>
      <c r="N294" s="2" t="s">
        <v>26</v>
      </c>
    </row>
    <row r="295" spans="1:14" x14ac:dyDescent="0.3">
      <c r="A295" s="2" t="s">
        <v>14</v>
      </c>
      <c r="B295" s="3">
        <v>15</v>
      </c>
      <c r="C295" s="4" t="s">
        <v>22</v>
      </c>
      <c r="D295" s="2" t="s">
        <v>16</v>
      </c>
      <c r="E295" s="2" t="s">
        <v>23</v>
      </c>
      <c r="F295" s="5">
        <v>3</v>
      </c>
      <c r="G295" s="1">
        <v>15000000</v>
      </c>
      <c r="H295" s="2">
        <v>2</v>
      </c>
      <c r="I295" s="6">
        <v>1.3888888888888889E-3</v>
      </c>
      <c r="J295" s="2" t="s">
        <v>18</v>
      </c>
      <c r="K295" s="2" t="s">
        <v>56</v>
      </c>
      <c r="L295" s="2" t="s">
        <v>43</v>
      </c>
      <c r="M295" s="2" t="s">
        <v>78</v>
      </c>
      <c r="N295" s="2" t="s">
        <v>53</v>
      </c>
    </row>
    <row r="296" spans="1:14" x14ac:dyDescent="0.3">
      <c r="A296" s="2" t="s">
        <v>14</v>
      </c>
      <c r="B296" s="3">
        <v>30</v>
      </c>
      <c r="C296" s="4" t="s">
        <v>27</v>
      </c>
      <c r="D296" s="2" t="s">
        <v>38</v>
      </c>
      <c r="E296" s="2" t="s">
        <v>23</v>
      </c>
      <c r="F296" s="5">
        <v>1</v>
      </c>
      <c r="G296" s="1">
        <v>19000000</v>
      </c>
      <c r="H296" s="2">
        <v>4</v>
      </c>
      <c r="I296" s="6">
        <v>1.3888888888888889E-3</v>
      </c>
      <c r="J296" s="2" t="s">
        <v>46</v>
      </c>
      <c r="K296" s="2" t="s">
        <v>29</v>
      </c>
      <c r="L296" s="2" t="s">
        <v>51</v>
      </c>
      <c r="M296" s="2" t="s">
        <v>78</v>
      </c>
      <c r="N296" s="2" t="s">
        <v>21</v>
      </c>
    </row>
    <row r="297" spans="1:14" x14ac:dyDescent="0.3">
      <c r="A297" s="2" t="s">
        <v>14</v>
      </c>
      <c r="B297" s="3">
        <v>23</v>
      </c>
      <c r="C297" s="4" t="s">
        <v>27</v>
      </c>
      <c r="D297" s="2" t="s">
        <v>16</v>
      </c>
      <c r="E297" s="2" t="s">
        <v>23</v>
      </c>
      <c r="F297" s="5">
        <v>2</v>
      </c>
      <c r="G297" s="1">
        <v>12000000</v>
      </c>
      <c r="H297" s="2">
        <v>2</v>
      </c>
      <c r="I297" s="6">
        <v>1.3888888888888889E-3</v>
      </c>
      <c r="J297" s="2" t="s">
        <v>18</v>
      </c>
      <c r="K297" s="2" t="s">
        <v>39</v>
      </c>
      <c r="L297" s="2" t="s">
        <v>25</v>
      </c>
      <c r="M297" s="2" t="s">
        <v>77</v>
      </c>
      <c r="N297" s="2" t="s">
        <v>54</v>
      </c>
    </row>
    <row r="298" spans="1:14" x14ac:dyDescent="0.3">
      <c r="A298" s="2" t="s">
        <v>14</v>
      </c>
      <c r="B298" s="3">
        <v>30</v>
      </c>
      <c r="C298" s="4" t="s">
        <v>27</v>
      </c>
      <c r="D298" s="2" t="s">
        <v>38</v>
      </c>
      <c r="E298" s="2" t="s">
        <v>42</v>
      </c>
      <c r="F298" s="5">
        <v>4</v>
      </c>
      <c r="G298" s="1">
        <v>20000000</v>
      </c>
      <c r="H298" s="2">
        <v>4</v>
      </c>
      <c r="I298" s="6">
        <v>1.3888888888888889E-3</v>
      </c>
      <c r="J298" s="2" t="s">
        <v>18</v>
      </c>
      <c r="K298" s="2" t="s">
        <v>19</v>
      </c>
      <c r="L298" s="2" t="s">
        <v>30</v>
      </c>
      <c r="M298" s="2" t="s">
        <v>78</v>
      </c>
      <c r="N298" s="2" t="s">
        <v>41</v>
      </c>
    </row>
    <row r="299" spans="1:14" x14ac:dyDescent="0.3">
      <c r="A299" s="2" t="s">
        <v>14</v>
      </c>
      <c r="B299" s="3">
        <v>11</v>
      </c>
      <c r="C299" s="4" t="s">
        <v>27</v>
      </c>
      <c r="D299" s="2" t="s">
        <v>38</v>
      </c>
      <c r="E299" s="2" t="s">
        <v>23</v>
      </c>
      <c r="F299" s="5">
        <v>3</v>
      </c>
      <c r="G299" s="1">
        <v>15000000</v>
      </c>
      <c r="H299" s="2">
        <v>3</v>
      </c>
      <c r="I299" s="6">
        <v>1.3888888888888889E-3</v>
      </c>
      <c r="J299" s="2" t="s">
        <v>18</v>
      </c>
      <c r="K299" s="2" t="s">
        <v>29</v>
      </c>
      <c r="L299" s="2" t="s">
        <v>40</v>
      </c>
      <c r="M299" s="2" t="s">
        <v>76</v>
      </c>
      <c r="N299" s="2" t="s">
        <v>52</v>
      </c>
    </row>
    <row r="300" spans="1:14" x14ac:dyDescent="0.3">
      <c r="A300" s="2" t="s">
        <v>14</v>
      </c>
      <c r="B300" s="3">
        <v>4</v>
      </c>
      <c r="C300" s="4" t="s">
        <v>27</v>
      </c>
      <c r="D300" s="2" t="s">
        <v>16</v>
      </c>
      <c r="E300" s="2" t="s">
        <v>17</v>
      </c>
      <c r="F300" s="5">
        <v>3</v>
      </c>
      <c r="G300" s="1">
        <v>11000000</v>
      </c>
      <c r="H300" s="2">
        <v>2</v>
      </c>
      <c r="I300" s="6">
        <v>1.3888888888888889E-3</v>
      </c>
      <c r="J300" s="2" t="s">
        <v>18</v>
      </c>
      <c r="K300" s="2" t="s">
        <v>29</v>
      </c>
      <c r="L300" s="2" t="s">
        <v>48</v>
      </c>
      <c r="M300" s="2" t="s">
        <v>66</v>
      </c>
      <c r="N300" s="2" t="s">
        <v>67</v>
      </c>
    </row>
    <row r="301" spans="1:14" x14ac:dyDescent="0.3">
      <c r="A301" s="2" t="s">
        <v>14</v>
      </c>
      <c r="B301" s="3">
        <v>12</v>
      </c>
      <c r="C301" s="4" t="s">
        <v>27</v>
      </c>
      <c r="D301" s="2" t="s">
        <v>16</v>
      </c>
      <c r="E301" s="2" t="s">
        <v>23</v>
      </c>
      <c r="F301" s="5">
        <v>2</v>
      </c>
      <c r="G301" s="1">
        <v>12000000</v>
      </c>
      <c r="H301" s="2">
        <v>1</v>
      </c>
      <c r="I301" s="6">
        <v>1.3888888888888889E-3</v>
      </c>
      <c r="J301" s="2" t="s">
        <v>18</v>
      </c>
      <c r="K301" s="2" t="s">
        <v>56</v>
      </c>
      <c r="L301" s="2" t="s">
        <v>48</v>
      </c>
      <c r="M301" s="2" t="s">
        <v>76</v>
      </c>
      <c r="N301" s="2" t="s">
        <v>52</v>
      </c>
    </row>
    <row r="302" spans="1:14" x14ac:dyDescent="0.3">
      <c r="A302" s="2" t="s">
        <v>14</v>
      </c>
      <c r="B302" s="3">
        <v>9</v>
      </c>
      <c r="C302" s="4" t="s">
        <v>27</v>
      </c>
      <c r="D302" s="2" t="s">
        <v>38</v>
      </c>
      <c r="E302" s="2" t="s">
        <v>68</v>
      </c>
      <c r="F302" s="5">
        <v>5</v>
      </c>
      <c r="G302" s="1">
        <v>21000000</v>
      </c>
      <c r="H302" s="2">
        <v>1</v>
      </c>
      <c r="I302" s="6">
        <v>1.3888888888888889E-3</v>
      </c>
      <c r="J302" s="2" t="s">
        <v>18</v>
      </c>
      <c r="K302" s="2" t="s">
        <v>35</v>
      </c>
      <c r="L302" s="2" t="s">
        <v>51</v>
      </c>
      <c r="M302" s="2" t="s">
        <v>76</v>
      </c>
      <c r="N302" s="2" t="s">
        <v>52</v>
      </c>
    </row>
    <row r="303" spans="1:14" x14ac:dyDescent="0.3">
      <c r="A303" s="2" t="s">
        <v>14</v>
      </c>
      <c r="B303" s="3">
        <v>26</v>
      </c>
      <c r="C303" s="4" t="s">
        <v>37</v>
      </c>
      <c r="D303" s="2" t="s">
        <v>32</v>
      </c>
      <c r="E303" s="2" t="s">
        <v>42</v>
      </c>
      <c r="F303" s="5">
        <v>2</v>
      </c>
      <c r="G303" s="1">
        <v>38000000</v>
      </c>
      <c r="H303" s="2">
        <v>3</v>
      </c>
      <c r="I303" s="6">
        <v>1.3888888888888889E-3</v>
      </c>
      <c r="J303" s="2" t="s">
        <v>46</v>
      </c>
      <c r="K303" s="2" t="s">
        <v>39</v>
      </c>
      <c r="L303" s="2" t="s">
        <v>48</v>
      </c>
      <c r="M303" s="2" t="s">
        <v>78</v>
      </c>
      <c r="N303" s="2" t="s">
        <v>53</v>
      </c>
    </row>
    <row r="304" spans="1:14" x14ac:dyDescent="0.3">
      <c r="A304" s="2" t="s">
        <v>14</v>
      </c>
      <c r="B304" s="3">
        <v>18</v>
      </c>
      <c r="C304" s="4" t="s">
        <v>37</v>
      </c>
      <c r="D304" s="2" t="s">
        <v>49</v>
      </c>
      <c r="E304" s="2" t="s">
        <v>42</v>
      </c>
      <c r="F304" s="5">
        <v>4</v>
      </c>
      <c r="G304" s="1">
        <v>11000000</v>
      </c>
      <c r="H304" s="2">
        <v>2</v>
      </c>
      <c r="I304" s="6">
        <v>1.3888888888888889E-3</v>
      </c>
      <c r="J304" s="2" t="s">
        <v>61</v>
      </c>
      <c r="K304" s="2" t="s">
        <v>64</v>
      </c>
      <c r="L304" s="2" t="s">
        <v>20</v>
      </c>
      <c r="M304" s="2" t="s">
        <v>66</v>
      </c>
      <c r="N304" s="2" t="s">
        <v>36</v>
      </c>
    </row>
    <row r="305" spans="1:14" x14ac:dyDescent="0.3">
      <c r="A305" s="2" t="s">
        <v>14</v>
      </c>
      <c r="B305" s="3">
        <v>29</v>
      </c>
      <c r="C305" s="4" t="s">
        <v>37</v>
      </c>
      <c r="D305" s="2" t="s">
        <v>49</v>
      </c>
      <c r="E305" s="2" t="s">
        <v>23</v>
      </c>
      <c r="F305" s="5">
        <v>3</v>
      </c>
      <c r="G305" s="1">
        <v>15000000</v>
      </c>
      <c r="H305" s="2">
        <v>2</v>
      </c>
      <c r="I305" s="6">
        <v>1.3888888888888889E-3</v>
      </c>
      <c r="J305" s="2" t="s">
        <v>18</v>
      </c>
      <c r="K305" s="2" t="s">
        <v>19</v>
      </c>
      <c r="L305" s="2" t="s">
        <v>33</v>
      </c>
      <c r="M305" s="2" t="s">
        <v>77</v>
      </c>
      <c r="N305" s="2" t="s">
        <v>34</v>
      </c>
    </row>
    <row r="306" spans="1:14" x14ac:dyDescent="0.3">
      <c r="A306" s="2" t="s">
        <v>14</v>
      </c>
      <c r="B306" s="3">
        <v>27</v>
      </c>
      <c r="C306" s="4" t="s">
        <v>37</v>
      </c>
      <c r="D306" s="2" t="s">
        <v>49</v>
      </c>
      <c r="E306" s="2" t="s">
        <v>42</v>
      </c>
      <c r="F306" s="5">
        <v>5</v>
      </c>
      <c r="G306" s="1">
        <v>25000000</v>
      </c>
      <c r="H306" s="2">
        <v>4</v>
      </c>
      <c r="I306" s="6">
        <v>1.3888888888888889E-3</v>
      </c>
      <c r="J306" s="2" t="s">
        <v>18</v>
      </c>
      <c r="K306" s="2" t="s">
        <v>56</v>
      </c>
      <c r="L306" s="2" t="s">
        <v>43</v>
      </c>
      <c r="M306" s="2" t="s">
        <v>76</v>
      </c>
      <c r="N306" s="2" t="s">
        <v>31</v>
      </c>
    </row>
    <row r="307" spans="1:14" x14ac:dyDescent="0.3">
      <c r="A307" s="2" t="s">
        <v>14</v>
      </c>
      <c r="B307" s="3">
        <v>15</v>
      </c>
      <c r="C307" s="4" t="s">
        <v>44</v>
      </c>
      <c r="D307" s="2" t="s">
        <v>38</v>
      </c>
      <c r="E307" s="2" t="s">
        <v>17</v>
      </c>
      <c r="F307" s="5">
        <v>4</v>
      </c>
      <c r="G307" s="1">
        <v>15000000</v>
      </c>
      <c r="H307" s="2">
        <v>1</v>
      </c>
      <c r="I307" s="6">
        <v>1.3888888888888889E-3</v>
      </c>
      <c r="J307" s="2" t="s">
        <v>18</v>
      </c>
      <c r="K307" s="2" t="s">
        <v>56</v>
      </c>
      <c r="L307" s="2" t="s">
        <v>30</v>
      </c>
      <c r="M307" s="2" t="s">
        <v>76</v>
      </c>
      <c r="N307" s="2" t="s">
        <v>52</v>
      </c>
    </row>
    <row r="308" spans="1:14" x14ac:dyDescent="0.3">
      <c r="A308" s="2" t="s">
        <v>14</v>
      </c>
      <c r="B308" s="3">
        <v>16</v>
      </c>
      <c r="C308" s="4" t="s">
        <v>44</v>
      </c>
      <c r="D308" s="2" t="s">
        <v>73</v>
      </c>
      <c r="E308" s="2" t="s">
        <v>23</v>
      </c>
      <c r="F308" s="5">
        <v>2</v>
      </c>
      <c r="G308" s="1">
        <v>12000000</v>
      </c>
      <c r="H308" s="2">
        <v>3</v>
      </c>
      <c r="I308" s="6">
        <v>1.3888888888888889E-3</v>
      </c>
      <c r="J308" s="2" t="s">
        <v>18</v>
      </c>
      <c r="K308" s="2" t="s">
        <v>50</v>
      </c>
      <c r="L308" s="2" t="s">
        <v>43</v>
      </c>
      <c r="M308" s="2" t="s">
        <v>66</v>
      </c>
      <c r="N308" s="2" t="s">
        <v>36</v>
      </c>
    </row>
    <row r="309" spans="1:14" x14ac:dyDescent="0.3">
      <c r="A309" s="2" t="s">
        <v>14</v>
      </c>
      <c r="B309" s="3">
        <v>27</v>
      </c>
      <c r="C309" s="4" t="s">
        <v>44</v>
      </c>
      <c r="D309" s="2" t="s">
        <v>49</v>
      </c>
      <c r="E309" s="2" t="s">
        <v>17</v>
      </c>
      <c r="F309" s="5">
        <v>5</v>
      </c>
      <c r="G309" s="1">
        <v>20000000</v>
      </c>
      <c r="H309" s="2">
        <v>1</v>
      </c>
      <c r="I309" s="6">
        <v>1.3888888888888889E-3</v>
      </c>
      <c r="J309" s="2" t="s">
        <v>18</v>
      </c>
      <c r="K309" s="2" t="s">
        <v>19</v>
      </c>
      <c r="L309" s="2" t="s">
        <v>30</v>
      </c>
      <c r="M309" s="2" t="s">
        <v>78</v>
      </c>
      <c r="N309" s="2" t="s">
        <v>63</v>
      </c>
    </row>
    <row r="310" spans="1:14" x14ac:dyDescent="0.3">
      <c r="A310" s="2" t="s">
        <v>14</v>
      </c>
      <c r="B310" s="3">
        <v>3</v>
      </c>
      <c r="C310" s="4" t="s">
        <v>44</v>
      </c>
      <c r="D310" s="2" t="s">
        <v>32</v>
      </c>
      <c r="E310" s="2" t="s">
        <v>23</v>
      </c>
      <c r="F310" s="5">
        <v>2</v>
      </c>
      <c r="G310" s="1">
        <v>12000000</v>
      </c>
      <c r="H310" s="2">
        <v>4</v>
      </c>
      <c r="I310" s="6">
        <v>1.3888888888888889E-3</v>
      </c>
      <c r="J310" s="2" t="s">
        <v>18</v>
      </c>
      <c r="K310" s="2" t="s">
        <v>19</v>
      </c>
      <c r="L310" s="2" t="s">
        <v>43</v>
      </c>
      <c r="M310" s="2" t="s">
        <v>66</v>
      </c>
      <c r="N310" s="2" t="s">
        <v>67</v>
      </c>
    </row>
    <row r="311" spans="1:14" x14ac:dyDescent="0.3">
      <c r="A311" s="2" t="s">
        <v>14</v>
      </c>
      <c r="B311" s="3">
        <v>26</v>
      </c>
      <c r="C311" s="4" t="s">
        <v>44</v>
      </c>
      <c r="D311" s="2" t="s">
        <v>38</v>
      </c>
      <c r="E311" s="2" t="s">
        <v>23</v>
      </c>
      <c r="F311" s="5">
        <v>3</v>
      </c>
      <c r="G311" s="1">
        <v>12000000</v>
      </c>
      <c r="H311" s="2">
        <v>1</v>
      </c>
      <c r="I311" s="6">
        <v>1.3888888888888889E-3</v>
      </c>
      <c r="J311" s="2" t="s">
        <v>18</v>
      </c>
      <c r="K311" s="2" t="s">
        <v>19</v>
      </c>
      <c r="L311" s="2" t="s">
        <v>51</v>
      </c>
      <c r="M311" s="2" t="s">
        <v>77</v>
      </c>
      <c r="N311" s="2" t="s">
        <v>65</v>
      </c>
    </row>
    <row r="312" spans="1:14" x14ac:dyDescent="0.3">
      <c r="A312" s="2" t="s">
        <v>14</v>
      </c>
      <c r="B312" s="3">
        <v>22</v>
      </c>
      <c r="C312" s="4" t="s">
        <v>69</v>
      </c>
      <c r="D312" s="2" t="s">
        <v>16</v>
      </c>
      <c r="E312" s="2" t="s">
        <v>42</v>
      </c>
      <c r="F312" s="5">
        <v>2</v>
      </c>
      <c r="G312" s="1">
        <v>12000000</v>
      </c>
      <c r="H312" s="2">
        <v>4</v>
      </c>
      <c r="I312" s="6">
        <v>1.3888888888888889E-3</v>
      </c>
      <c r="J312" s="2" t="s">
        <v>18</v>
      </c>
      <c r="K312" s="2" t="s">
        <v>64</v>
      </c>
      <c r="L312" s="2" t="s">
        <v>33</v>
      </c>
      <c r="M312" s="2" t="s">
        <v>78</v>
      </c>
      <c r="N312" s="2" t="s">
        <v>53</v>
      </c>
    </row>
    <row r="313" spans="1:14" x14ac:dyDescent="0.3">
      <c r="A313" s="2" t="s">
        <v>14</v>
      </c>
      <c r="B313" s="3">
        <v>24</v>
      </c>
      <c r="C313" s="4" t="s">
        <v>69</v>
      </c>
      <c r="D313" s="2" t="s">
        <v>16</v>
      </c>
      <c r="E313" s="2" t="s">
        <v>42</v>
      </c>
      <c r="F313" s="5">
        <v>1</v>
      </c>
      <c r="G313" s="1">
        <v>7000000</v>
      </c>
      <c r="H313" s="2">
        <v>2</v>
      </c>
      <c r="I313" s="6">
        <v>1.3888888888888889E-3</v>
      </c>
      <c r="J313" s="2" t="s">
        <v>18</v>
      </c>
      <c r="K313" s="2" t="s">
        <v>56</v>
      </c>
      <c r="L313" s="2" t="s">
        <v>33</v>
      </c>
      <c r="M313" s="2" t="s">
        <v>77</v>
      </c>
      <c r="N313" s="2" t="s">
        <v>65</v>
      </c>
    </row>
    <row r="314" spans="1:14" x14ac:dyDescent="0.3">
      <c r="A314" s="2" t="s">
        <v>14</v>
      </c>
      <c r="B314" s="3">
        <v>24</v>
      </c>
      <c r="C314" s="4" t="s">
        <v>69</v>
      </c>
      <c r="D314" s="2" t="s">
        <v>16</v>
      </c>
      <c r="E314" s="2" t="s">
        <v>68</v>
      </c>
      <c r="F314" s="5">
        <v>5</v>
      </c>
      <c r="G314" s="1">
        <v>25000000</v>
      </c>
      <c r="H314" s="2">
        <v>2</v>
      </c>
      <c r="I314" s="6">
        <v>1.3888888888888889E-3</v>
      </c>
      <c r="J314" s="2" t="s">
        <v>18</v>
      </c>
      <c r="K314" s="2" t="s">
        <v>19</v>
      </c>
      <c r="L314" s="2" t="s">
        <v>43</v>
      </c>
      <c r="M314" s="2" t="s">
        <v>66</v>
      </c>
      <c r="N314" s="2" t="s">
        <v>36</v>
      </c>
    </row>
    <row r="315" spans="1:14" x14ac:dyDescent="0.3">
      <c r="A315" s="2" t="s">
        <v>14</v>
      </c>
      <c r="B315" s="3">
        <v>11</v>
      </c>
      <c r="C315" s="4" t="s">
        <v>57</v>
      </c>
      <c r="D315" s="2" t="s">
        <v>38</v>
      </c>
      <c r="E315" s="2" t="s">
        <v>42</v>
      </c>
      <c r="F315" s="5">
        <v>2</v>
      </c>
      <c r="G315" s="1">
        <v>38000000</v>
      </c>
      <c r="H315" s="2">
        <v>5</v>
      </c>
      <c r="I315" s="6">
        <v>1.3888888888888889E-3</v>
      </c>
      <c r="J315" s="2" t="s">
        <v>46</v>
      </c>
      <c r="K315" s="2" t="s">
        <v>50</v>
      </c>
      <c r="L315" s="2" t="s">
        <v>33</v>
      </c>
      <c r="M315" s="2" t="s">
        <v>76</v>
      </c>
      <c r="N315" s="2" t="s">
        <v>26</v>
      </c>
    </row>
    <row r="316" spans="1:14" x14ac:dyDescent="0.3">
      <c r="A316" s="2" t="s">
        <v>14</v>
      </c>
      <c r="B316" s="3">
        <v>15</v>
      </c>
      <c r="C316" s="4" t="s">
        <v>22</v>
      </c>
      <c r="D316" s="2" t="s">
        <v>16</v>
      </c>
      <c r="E316" s="2" t="s">
        <v>23</v>
      </c>
      <c r="F316" s="5">
        <v>3</v>
      </c>
      <c r="G316" s="1">
        <v>15000000</v>
      </c>
      <c r="H316" s="2">
        <v>2</v>
      </c>
      <c r="I316" s="6">
        <v>1.3888888888888889E-3</v>
      </c>
      <c r="J316" s="2" t="s">
        <v>18</v>
      </c>
      <c r="K316" s="2" t="s">
        <v>56</v>
      </c>
      <c r="L316" s="2" t="s">
        <v>43</v>
      </c>
      <c r="M316" s="2" t="s">
        <v>78</v>
      </c>
      <c r="N316" s="2" t="s">
        <v>53</v>
      </c>
    </row>
    <row r="317" spans="1:14" x14ac:dyDescent="0.3">
      <c r="A317" s="2" t="s">
        <v>70</v>
      </c>
      <c r="B317" s="3">
        <v>17</v>
      </c>
      <c r="C317" s="4" t="s">
        <v>58</v>
      </c>
      <c r="D317" s="2" t="s">
        <v>28</v>
      </c>
      <c r="E317" s="2" t="s">
        <v>23</v>
      </c>
      <c r="F317" s="5">
        <v>0</v>
      </c>
      <c r="G317" s="1">
        <v>0</v>
      </c>
      <c r="H317" s="2">
        <v>2</v>
      </c>
      <c r="I317" s="6">
        <v>1.3888888888888889E-3</v>
      </c>
      <c r="J317" s="2"/>
      <c r="K317" s="2"/>
      <c r="L317" s="2" t="s">
        <v>30</v>
      </c>
      <c r="M317" s="2" t="s">
        <v>76</v>
      </c>
      <c r="N317" s="2" t="s">
        <v>31</v>
      </c>
    </row>
    <row r="318" spans="1:14" x14ac:dyDescent="0.3">
      <c r="A318" s="2" t="s">
        <v>70</v>
      </c>
      <c r="B318" s="3">
        <v>6</v>
      </c>
      <c r="C318" s="4" t="s">
        <v>22</v>
      </c>
      <c r="D318" s="2" t="s">
        <v>16</v>
      </c>
      <c r="E318" s="2" t="s">
        <v>17</v>
      </c>
      <c r="F318" s="5">
        <v>0</v>
      </c>
      <c r="G318" s="1">
        <v>0</v>
      </c>
      <c r="H318" s="2">
        <v>1</v>
      </c>
      <c r="I318" s="6">
        <v>1.3888888888888889E-3</v>
      </c>
      <c r="J318" s="2"/>
      <c r="K318" s="2"/>
      <c r="L318" s="2" t="s">
        <v>43</v>
      </c>
      <c r="M318" s="2" t="s">
        <v>77</v>
      </c>
      <c r="N318" s="2" t="s">
        <v>65</v>
      </c>
    </row>
    <row r="319" spans="1:14" x14ac:dyDescent="0.3">
      <c r="A319" s="2" t="s">
        <v>70</v>
      </c>
      <c r="B319" s="3">
        <v>18</v>
      </c>
      <c r="C319" s="4" t="s">
        <v>27</v>
      </c>
      <c r="D319" s="2" t="s">
        <v>16</v>
      </c>
      <c r="E319" s="2" t="s">
        <v>23</v>
      </c>
      <c r="F319" s="5">
        <v>0</v>
      </c>
      <c r="G319" s="1">
        <v>0</v>
      </c>
      <c r="H319" s="2">
        <v>1</v>
      </c>
      <c r="I319" s="6">
        <v>1.3888888888888889E-3</v>
      </c>
      <c r="J319" s="2"/>
      <c r="K319" s="2"/>
      <c r="L319" s="2" t="s">
        <v>51</v>
      </c>
      <c r="M319" s="2" t="s">
        <v>77</v>
      </c>
      <c r="N319" s="2" t="s">
        <v>54</v>
      </c>
    </row>
    <row r="320" spans="1:14" x14ac:dyDescent="0.3">
      <c r="A320" s="2" t="s">
        <v>70</v>
      </c>
      <c r="B320" s="3">
        <v>11</v>
      </c>
      <c r="C320" s="4" t="s">
        <v>44</v>
      </c>
      <c r="D320" s="2" t="s">
        <v>73</v>
      </c>
      <c r="E320" s="2" t="s">
        <v>42</v>
      </c>
      <c r="F320" s="5">
        <v>0</v>
      </c>
      <c r="G320" s="1">
        <v>0</v>
      </c>
      <c r="H320" s="2">
        <v>4</v>
      </c>
      <c r="I320" s="6">
        <v>1.3888888888888889E-3</v>
      </c>
      <c r="J320" s="2"/>
      <c r="K320" s="2"/>
      <c r="L320" s="2" t="s">
        <v>48</v>
      </c>
      <c r="M320" s="2" t="s">
        <v>76</v>
      </c>
      <c r="N320" s="2" t="s">
        <v>26</v>
      </c>
    </row>
    <row r="321" spans="1:14" x14ac:dyDescent="0.3">
      <c r="A321" s="2" t="s">
        <v>70</v>
      </c>
      <c r="B321" s="3">
        <v>21</v>
      </c>
      <c r="C321" s="4" t="s">
        <v>69</v>
      </c>
      <c r="D321" s="2" t="s">
        <v>49</v>
      </c>
      <c r="E321" s="2" t="s">
        <v>23</v>
      </c>
      <c r="F321" s="5">
        <v>0</v>
      </c>
      <c r="G321" s="1">
        <v>0</v>
      </c>
      <c r="H321" s="2">
        <v>1</v>
      </c>
      <c r="I321" s="6">
        <v>1.3888888888888889E-3</v>
      </c>
      <c r="J321" s="2"/>
      <c r="K321" s="2"/>
      <c r="L321" s="2" t="s">
        <v>40</v>
      </c>
      <c r="M321" s="2" t="s">
        <v>78</v>
      </c>
      <c r="N321" s="2" t="s">
        <v>63</v>
      </c>
    </row>
    <row r="322" spans="1:14" x14ac:dyDescent="0.3">
      <c r="A322" s="2" t="s">
        <v>70</v>
      </c>
      <c r="B322" s="3">
        <v>17</v>
      </c>
      <c r="C322" s="4" t="s">
        <v>58</v>
      </c>
      <c r="D322" s="2" t="s">
        <v>28</v>
      </c>
      <c r="E322" s="2" t="s">
        <v>23</v>
      </c>
      <c r="F322" s="5">
        <v>0</v>
      </c>
      <c r="G322" s="1">
        <v>0</v>
      </c>
      <c r="H322" s="2">
        <v>2</v>
      </c>
      <c r="I322" s="6">
        <v>1.3888888888888889E-3</v>
      </c>
      <c r="J322" s="2"/>
      <c r="K322" s="2"/>
      <c r="L322" s="2" t="s">
        <v>30</v>
      </c>
      <c r="M322" s="2" t="s">
        <v>76</v>
      </c>
      <c r="N322" s="2" t="s">
        <v>31</v>
      </c>
    </row>
    <row r="323" spans="1:14" x14ac:dyDescent="0.3">
      <c r="A323" s="2" t="s">
        <v>14</v>
      </c>
      <c r="B323" s="3">
        <v>12</v>
      </c>
      <c r="C323" s="4" t="s">
        <v>55</v>
      </c>
      <c r="D323" s="2" t="s">
        <v>28</v>
      </c>
      <c r="E323" s="2" t="s">
        <v>23</v>
      </c>
      <c r="F323" s="5">
        <v>2</v>
      </c>
      <c r="G323" s="1">
        <v>12000000</v>
      </c>
      <c r="H323" s="2">
        <v>1</v>
      </c>
      <c r="I323" s="6">
        <v>1.3888888888888889E-3</v>
      </c>
      <c r="J323" s="2" t="s">
        <v>18</v>
      </c>
      <c r="K323" s="2" t="s">
        <v>29</v>
      </c>
      <c r="L323" s="2" t="s">
        <v>33</v>
      </c>
      <c r="M323" s="2" t="s">
        <v>76</v>
      </c>
      <c r="N323" s="2" t="s">
        <v>71</v>
      </c>
    </row>
    <row r="324" spans="1:14" x14ac:dyDescent="0.3">
      <c r="A324" s="2" t="s">
        <v>14</v>
      </c>
      <c r="B324" s="3">
        <v>1</v>
      </c>
      <c r="C324" s="4" t="s">
        <v>15</v>
      </c>
      <c r="D324" s="2" t="s">
        <v>32</v>
      </c>
      <c r="E324" s="2" t="s">
        <v>42</v>
      </c>
      <c r="F324" s="5">
        <v>4</v>
      </c>
      <c r="G324" s="1">
        <v>20000000</v>
      </c>
      <c r="H324" s="2">
        <v>1</v>
      </c>
      <c r="I324" s="6">
        <v>1.3888888888888889E-3</v>
      </c>
      <c r="J324" s="2" t="s">
        <v>18</v>
      </c>
      <c r="K324" s="2" t="s">
        <v>35</v>
      </c>
      <c r="L324" s="2" t="s">
        <v>33</v>
      </c>
      <c r="M324" s="2" t="s">
        <v>76</v>
      </c>
      <c r="N324" s="2" t="s">
        <v>75</v>
      </c>
    </row>
    <row r="325" spans="1:14" x14ac:dyDescent="0.3">
      <c r="A325" s="2" t="s">
        <v>14</v>
      </c>
      <c r="B325" s="3">
        <v>27</v>
      </c>
      <c r="C325" s="4" t="s">
        <v>22</v>
      </c>
      <c r="D325" s="2" t="s">
        <v>16</v>
      </c>
      <c r="E325" s="2" t="s">
        <v>23</v>
      </c>
      <c r="F325" s="5">
        <v>4</v>
      </c>
      <c r="G325" s="1">
        <v>11000000</v>
      </c>
      <c r="H325" s="2">
        <v>1</v>
      </c>
      <c r="I325" s="6">
        <v>1.3888888888888889E-3</v>
      </c>
      <c r="J325" s="2" t="s">
        <v>61</v>
      </c>
      <c r="K325" s="2" t="s">
        <v>47</v>
      </c>
      <c r="L325" s="2" t="s">
        <v>25</v>
      </c>
      <c r="M325" s="2" t="s">
        <v>77</v>
      </c>
      <c r="N325" s="2" t="s">
        <v>54</v>
      </c>
    </row>
    <row r="326" spans="1:14" x14ac:dyDescent="0.3">
      <c r="A326" s="2" t="s">
        <v>14</v>
      </c>
      <c r="B326" s="3">
        <v>26</v>
      </c>
      <c r="C326" s="4" t="s">
        <v>22</v>
      </c>
      <c r="D326" s="2" t="s">
        <v>73</v>
      </c>
      <c r="E326" s="2" t="s">
        <v>17</v>
      </c>
      <c r="F326" s="5">
        <v>3</v>
      </c>
      <c r="G326" s="1">
        <v>15000000</v>
      </c>
      <c r="H326" s="2">
        <v>1</v>
      </c>
      <c r="I326" s="6">
        <v>1.3888888888888889E-3</v>
      </c>
      <c r="J326" s="2" t="s">
        <v>18</v>
      </c>
      <c r="K326" s="2" t="s">
        <v>64</v>
      </c>
      <c r="L326" s="2" t="s">
        <v>43</v>
      </c>
      <c r="M326" s="2" t="s">
        <v>76</v>
      </c>
      <c r="N326" s="2" t="s">
        <v>31</v>
      </c>
    </row>
    <row r="327" spans="1:14" x14ac:dyDescent="0.3">
      <c r="A327" s="2" t="s">
        <v>14</v>
      </c>
      <c r="B327" s="3">
        <v>30</v>
      </c>
      <c r="C327" s="4" t="s">
        <v>27</v>
      </c>
      <c r="D327" s="2" t="s">
        <v>32</v>
      </c>
      <c r="E327" s="2" t="s">
        <v>42</v>
      </c>
      <c r="F327" s="5">
        <v>3</v>
      </c>
      <c r="G327" s="1">
        <v>15000000</v>
      </c>
      <c r="H327" s="2">
        <v>1</v>
      </c>
      <c r="I327" s="6">
        <v>1.3888888888888889E-3</v>
      </c>
      <c r="J327" s="2" t="s">
        <v>18</v>
      </c>
      <c r="K327" s="2" t="s">
        <v>29</v>
      </c>
      <c r="L327" s="2" t="s">
        <v>43</v>
      </c>
      <c r="M327" s="2" t="s">
        <v>77</v>
      </c>
      <c r="N327" s="2" t="s">
        <v>65</v>
      </c>
    </row>
    <row r="328" spans="1:14" x14ac:dyDescent="0.3">
      <c r="A328" s="2" t="s">
        <v>14</v>
      </c>
      <c r="B328" s="3">
        <v>11</v>
      </c>
      <c r="C328" s="4" t="s">
        <v>27</v>
      </c>
      <c r="D328" s="2" t="s">
        <v>32</v>
      </c>
      <c r="E328" s="2" t="s">
        <v>17</v>
      </c>
      <c r="F328" s="5">
        <v>2</v>
      </c>
      <c r="G328" s="1">
        <v>12000000</v>
      </c>
      <c r="H328" s="2">
        <v>5</v>
      </c>
      <c r="I328" s="6">
        <v>1.3888888888888889E-3</v>
      </c>
      <c r="J328" s="2" t="s">
        <v>18</v>
      </c>
      <c r="K328" s="2" t="s">
        <v>24</v>
      </c>
      <c r="L328" s="2" t="s">
        <v>48</v>
      </c>
      <c r="M328" s="2" t="s">
        <v>78</v>
      </c>
      <c r="N328" s="2" t="s">
        <v>62</v>
      </c>
    </row>
    <row r="329" spans="1:14" x14ac:dyDescent="0.3">
      <c r="A329" s="2" t="s">
        <v>14</v>
      </c>
      <c r="B329" s="3">
        <v>28</v>
      </c>
      <c r="C329" s="4" t="s">
        <v>37</v>
      </c>
      <c r="D329" s="2" t="s">
        <v>16</v>
      </c>
      <c r="E329" s="2" t="s">
        <v>17</v>
      </c>
      <c r="F329" s="5">
        <v>5</v>
      </c>
      <c r="G329" s="1">
        <v>21000000</v>
      </c>
      <c r="H329" s="2">
        <v>3</v>
      </c>
      <c r="I329" s="6">
        <v>1.3888888888888889E-3</v>
      </c>
      <c r="J329" s="2" t="s">
        <v>18</v>
      </c>
      <c r="K329" s="2" t="s">
        <v>39</v>
      </c>
      <c r="L329" s="2" t="s">
        <v>25</v>
      </c>
      <c r="M329" s="2" t="s">
        <v>76</v>
      </c>
      <c r="N329" s="2" t="s">
        <v>52</v>
      </c>
    </row>
    <row r="330" spans="1:14" x14ac:dyDescent="0.3">
      <c r="A330" s="2" t="s">
        <v>14</v>
      </c>
      <c r="B330" s="3">
        <v>8</v>
      </c>
      <c r="C330" s="4" t="s">
        <v>37</v>
      </c>
      <c r="D330" s="2" t="s">
        <v>49</v>
      </c>
      <c r="E330" s="2" t="s">
        <v>17</v>
      </c>
      <c r="F330" s="5">
        <v>2</v>
      </c>
      <c r="G330" s="1">
        <v>12000000</v>
      </c>
      <c r="H330" s="2">
        <v>2</v>
      </c>
      <c r="I330" s="6">
        <v>1.3888888888888889E-3</v>
      </c>
      <c r="J330" s="2" t="s">
        <v>18</v>
      </c>
      <c r="K330" s="2" t="s">
        <v>39</v>
      </c>
      <c r="L330" s="2" t="s">
        <v>33</v>
      </c>
      <c r="M330" s="2" t="s">
        <v>78</v>
      </c>
      <c r="N330" s="2" t="s">
        <v>66</v>
      </c>
    </row>
    <row r="331" spans="1:14" x14ac:dyDescent="0.3">
      <c r="A331" s="2" t="s">
        <v>14</v>
      </c>
      <c r="B331" s="3">
        <v>25</v>
      </c>
      <c r="C331" s="4" t="s">
        <v>37</v>
      </c>
      <c r="D331" s="2" t="s">
        <v>16</v>
      </c>
      <c r="E331" s="2" t="s">
        <v>23</v>
      </c>
      <c r="F331" s="5">
        <v>5</v>
      </c>
      <c r="G331" s="1">
        <v>25000000</v>
      </c>
      <c r="H331" s="2">
        <v>1</v>
      </c>
      <c r="I331" s="6">
        <v>1.3888888888888889E-3</v>
      </c>
      <c r="J331" s="2" t="s">
        <v>18</v>
      </c>
      <c r="K331" s="2" t="s">
        <v>19</v>
      </c>
      <c r="L331" s="2" t="s">
        <v>48</v>
      </c>
      <c r="M331" s="2" t="s">
        <v>66</v>
      </c>
      <c r="N331" s="2" t="s">
        <v>36</v>
      </c>
    </row>
    <row r="332" spans="1:14" x14ac:dyDescent="0.3">
      <c r="A332" s="2" t="s">
        <v>14</v>
      </c>
      <c r="B332" s="3">
        <v>2</v>
      </c>
      <c r="C332" s="4" t="s">
        <v>37</v>
      </c>
      <c r="D332" s="2" t="s">
        <v>32</v>
      </c>
      <c r="E332" s="2" t="s">
        <v>23</v>
      </c>
      <c r="F332" s="5">
        <v>3</v>
      </c>
      <c r="G332" s="1">
        <v>15000000</v>
      </c>
      <c r="H332" s="2">
        <v>3</v>
      </c>
      <c r="I332" s="6">
        <v>1.3888888888888889E-3</v>
      </c>
      <c r="J332" s="2" t="s">
        <v>18</v>
      </c>
      <c r="K332" s="2" t="s">
        <v>19</v>
      </c>
      <c r="L332" s="2" t="s">
        <v>51</v>
      </c>
      <c r="M332" s="2" t="s">
        <v>78</v>
      </c>
      <c r="N332" s="2" t="s">
        <v>66</v>
      </c>
    </row>
    <row r="333" spans="1:14" x14ac:dyDescent="0.3">
      <c r="A333" s="2" t="s">
        <v>14</v>
      </c>
      <c r="B333" s="3">
        <v>29</v>
      </c>
      <c r="C333" s="4" t="s">
        <v>37</v>
      </c>
      <c r="D333" s="2" t="s">
        <v>16</v>
      </c>
      <c r="E333" s="2" t="s">
        <v>23</v>
      </c>
      <c r="F333" s="5">
        <v>2</v>
      </c>
      <c r="G333" s="1">
        <v>12000000</v>
      </c>
      <c r="H333" s="2">
        <v>1</v>
      </c>
      <c r="I333" s="6">
        <v>1.3888888888888889E-3</v>
      </c>
      <c r="J333" s="2" t="s">
        <v>18</v>
      </c>
      <c r="K333" s="2" t="s">
        <v>56</v>
      </c>
      <c r="L333" s="2" t="s">
        <v>51</v>
      </c>
      <c r="M333" s="2" t="s">
        <v>76</v>
      </c>
      <c r="N333" s="2" t="s">
        <v>31</v>
      </c>
    </row>
    <row r="334" spans="1:14" x14ac:dyDescent="0.3">
      <c r="A334" s="2" t="s">
        <v>14</v>
      </c>
      <c r="B334" s="3">
        <v>6</v>
      </c>
      <c r="C334" s="4" t="s">
        <v>44</v>
      </c>
      <c r="D334" s="2" t="s">
        <v>28</v>
      </c>
      <c r="E334" s="2" t="s">
        <v>23</v>
      </c>
      <c r="F334" s="5">
        <v>3</v>
      </c>
      <c r="G334" s="1">
        <v>15000000</v>
      </c>
      <c r="H334" s="2">
        <v>1</v>
      </c>
      <c r="I334" s="6">
        <v>1.3888888888888889E-3</v>
      </c>
      <c r="J334" s="2" t="s">
        <v>18</v>
      </c>
      <c r="K334" s="2" t="s">
        <v>19</v>
      </c>
      <c r="L334" s="2" t="s">
        <v>30</v>
      </c>
      <c r="M334" s="2" t="s">
        <v>76</v>
      </c>
      <c r="N334" s="2" t="s">
        <v>52</v>
      </c>
    </row>
    <row r="335" spans="1:14" x14ac:dyDescent="0.3">
      <c r="A335" s="2" t="s">
        <v>14</v>
      </c>
      <c r="B335" s="3">
        <v>19</v>
      </c>
      <c r="C335" s="4" t="s">
        <v>44</v>
      </c>
      <c r="D335" s="2" t="s">
        <v>16</v>
      </c>
      <c r="E335" s="2" t="s">
        <v>23</v>
      </c>
      <c r="F335" s="5">
        <v>3</v>
      </c>
      <c r="G335" s="1">
        <v>15000000</v>
      </c>
      <c r="H335" s="2">
        <v>5</v>
      </c>
      <c r="I335" s="6">
        <v>1.3888888888888889E-3</v>
      </c>
      <c r="J335" s="2" t="s">
        <v>18</v>
      </c>
      <c r="K335" s="2" t="s">
        <v>56</v>
      </c>
      <c r="L335" s="2" t="s">
        <v>30</v>
      </c>
      <c r="M335" s="2" t="s">
        <v>76</v>
      </c>
      <c r="N335" s="2" t="s">
        <v>52</v>
      </c>
    </row>
    <row r="336" spans="1:14" x14ac:dyDescent="0.3">
      <c r="A336" s="2" t="s">
        <v>14</v>
      </c>
      <c r="B336" s="3">
        <v>22</v>
      </c>
      <c r="C336" s="4" t="s">
        <v>44</v>
      </c>
      <c r="D336" s="2" t="s">
        <v>49</v>
      </c>
      <c r="E336" s="2" t="s">
        <v>23</v>
      </c>
      <c r="F336" s="5">
        <v>2</v>
      </c>
      <c r="G336" s="1">
        <v>12000000</v>
      </c>
      <c r="H336" s="2">
        <v>2</v>
      </c>
      <c r="I336" s="6">
        <v>1.3888888888888889E-3</v>
      </c>
      <c r="J336" s="2" t="s">
        <v>18</v>
      </c>
      <c r="K336" s="2" t="s">
        <v>29</v>
      </c>
      <c r="L336" s="2" t="s">
        <v>25</v>
      </c>
      <c r="M336" s="2" t="s">
        <v>78</v>
      </c>
      <c r="N336" s="2" t="s">
        <v>53</v>
      </c>
    </row>
    <row r="337" spans="1:14" x14ac:dyDescent="0.3">
      <c r="A337" s="2" t="s">
        <v>14</v>
      </c>
      <c r="B337" s="3">
        <v>3</v>
      </c>
      <c r="C337" s="4" t="s">
        <v>44</v>
      </c>
      <c r="D337" s="2" t="s">
        <v>28</v>
      </c>
      <c r="E337" s="2" t="s">
        <v>42</v>
      </c>
      <c r="F337" s="5">
        <v>5</v>
      </c>
      <c r="G337" s="1">
        <v>25000000</v>
      </c>
      <c r="H337" s="2">
        <v>3</v>
      </c>
      <c r="I337" s="6">
        <v>1.3888888888888889E-3</v>
      </c>
      <c r="J337" s="2" t="s">
        <v>18</v>
      </c>
      <c r="K337" s="2" t="s">
        <v>39</v>
      </c>
      <c r="L337" s="2" t="s">
        <v>40</v>
      </c>
      <c r="M337" s="2" t="s">
        <v>78</v>
      </c>
      <c r="N337" s="2" t="s">
        <v>41</v>
      </c>
    </row>
    <row r="338" spans="1:14" x14ac:dyDescent="0.3">
      <c r="A338" s="2" t="s">
        <v>14</v>
      </c>
      <c r="B338" s="3">
        <v>2</v>
      </c>
      <c r="C338" s="4" t="s">
        <v>44</v>
      </c>
      <c r="D338" s="2" t="s">
        <v>28</v>
      </c>
      <c r="E338" s="2" t="s">
        <v>42</v>
      </c>
      <c r="F338" s="5">
        <v>5</v>
      </c>
      <c r="G338" s="1">
        <v>25000000</v>
      </c>
      <c r="H338" s="2">
        <v>1</v>
      </c>
      <c r="I338" s="6">
        <v>1.3888888888888889E-3</v>
      </c>
      <c r="J338" s="2" t="s">
        <v>18</v>
      </c>
      <c r="K338" s="2" t="s">
        <v>56</v>
      </c>
      <c r="L338" s="2" t="s">
        <v>51</v>
      </c>
      <c r="M338" s="2" t="s">
        <v>78</v>
      </c>
      <c r="N338" s="2" t="s">
        <v>66</v>
      </c>
    </row>
    <row r="339" spans="1:14" x14ac:dyDescent="0.3">
      <c r="A339" s="2" t="s">
        <v>14</v>
      </c>
      <c r="B339" s="3">
        <v>1</v>
      </c>
      <c r="C339" s="4" t="s">
        <v>69</v>
      </c>
      <c r="D339" s="2" t="s">
        <v>32</v>
      </c>
      <c r="E339" s="2" t="s">
        <v>42</v>
      </c>
      <c r="F339" s="5">
        <v>4</v>
      </c>
      <c r="G339" s="1">
        <v>20000000</v>
      </c>
      <c r="H339" s="2">
        <v>4</v>
      </c>
      <c r="I339" s="6">
        <v>1.3888888888888889E-3</v>
      </c>
      <c r="J339" s="2" t="s">
        <v>18</v>
      </c>
      <c r="K339" s="2" t="s">
        <v>24</v>
      </c>
      <c r="L339" s="2" t="s">
        <v>51</v>
      </c>
      <c r="M339" s="2" t="s">
        <v>76</v>
      </c>
      <c r="N339" s="2" t="s">
        <v>52</v>
      </c>
    </row>
    <row r="340" spans="1:14" x14ac:dyDescent="0.3">
      <c r="A340" s="2" t="s">
        <v>14</v>
      </c>
      <c r="B340" s="3">
        <v>17</v>
      </c>
      <c r="C340" s="4" t="s">
        <v>69</v>
      </c>
      <c r="D340" s="2" t="s">
        <v>73</v>
      </c>
      <c r="E340" s="2" t="s">
        <v>17</v>
      </c>
      <c r="F340" s="5">
        <v>3</v>
      </c>
      <c r="G340" s="1">
        <v>15000000</v>
      </c>
      <c r="H340" s="2">
        <v>5</v>
      </c>
      <c r="I340" s="6">
        <v>1.3888888888888889E-3</v>
      </c>
      <c r="J340" s="2" t="s">
        <v>18</v>
      </c>
      <c r="K340" s="2" t="s">
        <v>39</v>
      </c>
      <c r="L340" s="2" t="s">
        <v>51</v>
      </c>
      <c r="M340" s="2" t="s">
        <v>77</v>
      </c>
      <c r="N340" s="2" t="s">
        <v>54</v>
      </c>
    </row>
    <row r="341" spans="1:14" x14ac:dyDescent="0.3">
      <c r="A341" s="2" t="s">
        <v>14</v>
      </c>
      <c r="B341" s="3">
        <v>2</v>
      </c>
      <c r="C341" s="4" t="s">
        <v>69</v>
      </c>
      <c r="D341" s="2" t="s">
        <v>32</v>
      </c>
      <c r="E341" s="2" t="s">
        <v>17</v>
      </c>
      <c r="F341" s="5">
        <v>2</v>
      </c>
      <c r="G341" s="1">
        <v>12000000</v>
      </c>
      <c r="H341" s="2">
        <v>2</v>
      </c>
      <c r="I341" s="6">
        <v>1.3888888888888889E-3</v>
      </c>
      <c r="J341" s="2" t="s">
        <v>18</v>
      </c>
      <c r="K341" s="2" t="s">
        <v>56</v>
      </c>
      <c r="L341" s="2" t="s">
        <v>20</v>
      </c>
      <c r="M341" s="2" t="s">
        <v>78</v>
      </c>
      <c r="N341" s="2" t="s">
        <v>41</v>
      </c>
    </row>
    <row r="342" spans="1:14" x14ac:dyDescent="0.3">
      <c r="A342" s="2" t="s">
        <v>14</v>
      </c>
      <c r="B342" s="3">
        <v>12</v>
      </c>
      <c r="C342" s="4" t="s">
        <v>55</v>
      </c>
      <c r="D342" s="2" t="s">
        <v>28</v>
      </c>
      <c r="E342" s="2" t="s">
        <v>23</v>
      </c>
      <c r="F342" s="5">
        <v>2</v>
      </c>
      <c r="G342" s="1">
        <v>12000000</v>
      </c>
      <c r="H342" s="2">
        <v>1</v>
      </c>
      <c r="I342" s="6">
        <v>1.3888888888888889E-3</v>
      </c>
      <c r="J342" s="2" t="s">
        <v>18</v>
      </c>
      <c r="K342" s="2" t="s">
        <v>29</v>
      </c>
      <c r="L342" s="2" t="s">
        <v>33</v>
      </c>
      <c r="M342" s="2" t="s">
        <v>76</v>
      </c>
      <c r="N342" s="2" t="s">
        <v>71</v>
      </c>
    </row>
    <row r="343" spans="1:14" x14ac:dyDescent="0.3">
      <c r="A343" s="2" t="s">
        <v>14</v>
      </c>
      <c r="B343" s="3">
        <v>1</v>
      </c>
      <c r="C343" s="4" t="s">
        <v>15</v>
      </c>
      <c r="D343" s="2" t="s">
        <v>32</v>
      </c>
      <c r="E343" s="2" t="s">
        <v>42</v>
      </c>
      <c r="F343" s="5">
        <v>4</v>
      </c>
      <c r="G343" s="1">
        <v>20000000</v>
      </c>
      <c r="H343" s="2">
        <v>1</v>
      </c>
      <c r="I343" s="6">
        <v>1.3888888888888889E-3</v>
      </c>
      <c r="J343" s="2" t="s">
        <v>18</v>
      </c>
      <c r="K343" s="2" t="s">
        <v>35</v>
      </c>
      <c r="L343" s="2" t="s">
        <v>33</v>
      </c>
      <c r="M343" s="2" t="s">
        <v>76</v>
      </c>
      <c r="N343" s="2" t="s">
        <v>75</v>
      </c>
    </row>
    <row r="344" spans="1:14" x14ac:dyDescent="0.3">
      <c r="A344" s="2" t="s">
        <v>14</v>
      </c>
      <c r="B344" s="3">
        <v>27</v>
      </c>
      <c r="C344" s="4" t="s">
        <v>22</v>
      </c>
      <c r="D344" s="2" t="s">
        <v>16</v>
      </c>
      <c r="E344" s="2" t="s">
        <v>23</v>
      </c>
      <c r="F344" s="5">
        <v>4</v>
      </c>
      <c r="G344" s="1">
        <v>11000000</v>
      </c>
      <c r="H344" s="2">
        <v>1</v>
      </c>
      <c r="I344" s="6">
        <v>1.3888888888888889E-3</v>
      </c>
      <c r="J344" s="2" t="s">
        <v>61</v>
      </c>
      <c r="K344" s="2" t="s">
        <v>47</v>
      </c>
      <c r="L344" s="2" t="s">
        <v>25</v>
      </c>
      <c r="M344" s="2" t="s">
        <v>77</v>
      </c>
      <c r="N344" s="2" t="s">
        <v>54</v>
      </c>
    </row>
    <row r="345" spans="1:14" x14ac:dyDescent="0.3">
      <c r="A345" s="2" t="s">
        <v>70</v>
      </c>
      <c r="B345" s="3">
        <v>6</v>
      </c>
      <c r="C345" s="4" t="s">
        <v>55</v>
      </c>
      <c r="D345" s="2" t="s">
        <v>16</v>
      </c>
      <c r="E345" s="2" t="s">
        <v>17</v>
      </c>
      <c r="F345" s="5">
        <v>0</v>
      </c>
      <c r="G345" s="1">
        <v>0</v>
      </c>
      <c r="H345" s="2">
        <v>4</v>
      </c>
      <c r="I345" s="6">
        <v>1.3888888888888889E-3</v>
      </c>
      <c r="J345" s="2"/>
      <c r="K345" s="2"/>
      <c r="L345" s="2" t="s">
        <v>51</v>
      </c>
      <c r="M345" s="2" t="s">
        <v>78</v>
      </c>
      <c r="N345" s="2" t="s">
        <v>53</v>
      </c>
    </row>
    <row r="346" spans="1:14" x14ac:dyDescent="0.3">
      <c r="A346" s="2" t="s">
        <v>70</v>
      </c>
      <c r="B346" s="3">
        <v>28</v>
      </c>
      <c r="C346" s="4" t="s">
        <v>59</v>
      </c>
      <c r="D346" s="2" t="s">
        <v>38</v>
      </c>
      <c r="E346" s="2" t="s">
        <v>17</v>
      </c>
      <c r="F346" s="5">
        <v>0</v>
      </c>
      <c r="G346" s="1">
        <v>0</v>
      </c>
      <c r="H346" s="2">
        <v>1</v>
      </c>
      <c r="I346" s="6">
        <v>1.3888888888888889E-3</v>
      </c>
      <c r="J346" s="2"/>
      <c r="K346" s="2"/>
      <c r="L346" s="2" t="s">
        <v>48</v>
      </c>
      <c r="M346" s="2" t="s">
        <v>78</v>
      </c>
      <c r="N346" s="2" t="s">
        <v>41</v>
      </c>
    </row>
    <row r="347" spans="1:14" x14ac:dyDescent="0.3">
      <c r="A347" s="2" t="s">
        <v>70</v>
      </c>
      <c r="B347" s="3">
        <v>5</v>
      </c>
      <c r="C347" s="4" t="s">
        <v>37</v>
      </c>
      <c r="D347" s="2" t="s">
        <v>32</v>
      </c>
      <c r="E347" s="2" t="s">
        <v>42</v>
      </c>
      <c r="F347" s="5">
        <v>0</v>
      </c>
      <c r="G347" s="1">
        <v>0</v>
      </c>
      <c r="H347" s="2">
        <v>3</v>
      </c>
      <c r="I347" s="6">
        <v>1.3888888888888889E-3</v>
      </c>
      <c r="J347" s="2"/>
      <c r="K347" s="2"/>
      <c r="L347" s="2" t="s">
        <v>30</v>
      </c>
      <c r="M347" s="2" t="s">
        <v>66</v>
      </c>
      <c r="N347" s="2" t="s">
        <v>36</v>
      </c>
    </row>
    <row r="348" spans="1:14" x14ac:dyDescent="0.3">
      <c r="A348" s="2" t="s">
        <v>70</v>
      </c>
      <c r="B348" s="3">
        <v>4</v>
      </c>
      <c r="C348" s="4" t="s">
        <v>69</v>
      </c>
      <c r="D348" s="2" t="s">
        <v>38</v>
      </c>
      <c r="E348" s="2" t="s">
        <v>68</v>
      </c>
      <c r="F348" s="5">
        <v>0</v>
      </c>
      <c r="G348" s="1">
        <v>0</v>
      </c>
      <c r="H348" s="2">
        <v>4</v>
      </c>
      <c r="I348" s="6">
        <v>1.3888888888888889E-3</v>
      </c>
      <c r="J348" s="2"/>
      <c r="K348" s="2"/>
      <c r="L348" s="2" t="s">
        <v>33</v>
      </c>
      <c r="M348" s="2" t="s">
        <v>77</v>
      </c>
      <c r="N348" s="2" t="s">
        <v>54</v>
      </c>
    </row>
    <row r="349" spans="1:14" x14ac:dyDescent="0.3">
      <c r="A349" s="2" t="s">
        <v>70</v>
      </c>
      <c r="B349" s="3">
        <v>28</v>
      </c>
      <c r="C349" s="4" t="s">
        <v>69</v>
      </c>
      <c r="D349" s="2" t="s">
        <v>38</v>
      </c>
      <c r="E349" s="2" t="s">
        <v>45</v>
      </c>
      <c r="F349" s="5">
        <v>0</v>
      </c>
      <c r="G349" s="1">
        <v>0</v>
      </c>
      <c r="H349" s="2">
        <v>2</v>
      </c>
      <c r="I349" s="6">
        <v>1.3888888888888889E-3</v>
      </c>
      <c r="J349" s="2"/>
      <c r="K349" s="2"/>
      <c r="L349" s="2" t="s">
        <v>33</v>
      </c>
      <c r="M349" s="2" t="s">
        <v>76</v>
      </c>
      <c r="N349" s="2" t="s">
        <v>31</v>
      </c>
    </row>
    <row r="350" spans="1:14" x14ac:dyDescent="0.3">
      <c r="A350" s="2" t="s">
        <v>70</v>
      </c>
      <c r="B350" s="3">
        <v>10</v>
      </c>
      <c r="C350" s="4" t="s">
        <v>69</v>
      </c>
      <c r="D350" s="2" t="s">
        <v>16</v>
      </c>
      <c r="E350" s="2" t="s">
        <v>23</v>
      </c>
      <c r="F350" s="5">
        <v>0</v>
      </c>
      <c r="G350" s="1">
        <v>0</v>
      </c>
      <c r="H350" s="2">
        <v>1</v>
      </c>
      <c r="I350" s="6">
        <v>1.3888888888888889E-3</v>
      </c>
      <c r="J350" s="2"/>
      <c r="K350" s="2"/>
      <c r="L350" s="2" t="s">
        <v>40</v>
      </c>
      <c r="M350" s="2" t="s">
        <v>76</v>
      </c>
      <c r="N350" s="2" t="s">
        <v>26</v>
      </c>
    </row>
    <row r="351" spans="1:14" x14ac:dyDescent="0.3">
      <c r="A351" s="2" t="s">
        <v>70</v>
      </c>
      <c r="B351" s="3">
        <v>30</v>
      </c>
      <c r="C351" s="4" t="s">
        <v>69</v>
      </c>
      <c r="D351" s="2" t="s">
        <v>38</v>
      </c>
      <c r="E351" s="2" t="s">
        <v>23</v>
      </c>
      <c r="F351" s="5">
        <v>0</v>
      </c>
      <c r="G351" s="1">
        <v>0</v>
      </c>
      <c r="H351" s="2">
        <v>2</v>
      </c>
      <c r="I351" s="6">
        <v>1.3888888888888889E-3</v>
      </c>
      <c r="J351" s="2"/>
      <c r="K351" s="2"/>
      <c r="L351" s="2" t="s">
        <v>20</v>
      </c>
      <c r="M351" s="2" t="s">
        <v>78</v>
      </c>
      <c r="N351" s="2" t="s">
        <v>62</v>
      </c>
    </row>
    <row r="352" spans="1:14" x14ac:dyDescent="0.3">
      <c r="A352" s="2" t="s">
        <v>70</v>
      </c>
      <c r="B352" s="3">
        <v>6</v>
      </c>
      <c r="C352" s="4" t="s">
        <v>55</v>
      </c>
      <c r="D352" s="2" t="s">
        <v>16</v>
      </c>
      <c r="E352" s="2" t="s">
        <v>17</v>
      </c>
      <c r="F352" s="5">
        <v>0</v>
      </c>
      <c r="G352" s="1">
        <v>0</v>
      </c>
      <c r="H352" s="2">
        <v>4</v>
      </c>
      <c r="I352" s="6">
        <v>1.3888888888888889E-3</v>
      </c>
      <c r="J352" s="2"/>
      <c r="K352" s="2"/>
      <c r="L352" s="2" t="s">
        <v>51</v>
      </c>
      <c r="M352" s="2" t="s">
        <v>78</v>
      </c>
      <c r="N352" s="2" t="s">
        <v>53</v>
      </c>
    </row>
    <row r="353" spans="1:14" x14ac:dyDescent="0.3">
      <c r="A353" s="2" t="s">
        <v>70</v>
      </c>
      <c r="B353" s="3">
        <v>28</v>
      </c>
      <c r="C353" s="4" t="s">
        <v>59</v>
      </c>
      <c r="D353" s="2" t="s">
        <v>38</v>
      </c>
      <c r="E353" s="2" t="s">
        <v>17</v>
      </c>
      <c r="F353" s="5">
        <v>0</v>
      </c>
      <c r="G353" s="1">
        <v>0</v>
      </c>
      <c r="H353" s="2">
        <v>1</v>
      </c>
      <c r="I353" s="6">
        <v>1.3888888888888889E-3</v>
      </c>
      <c r="J353" s="2"/>
      <c r="K353" s="2"/>
      <c r="L353" s="2" t="s">
        <v>48</v>
      </c>
      <c r="M353" s="2" t="s">
        <v>78</v>
      </c>
      <c r="N353" s="2" t="s">
        <v>41</v>
      </c>
    </row>
    <row r="354" spans="1:14" x14ac:dyDescent="0.3">
      <c r="A354" s="2" t="s">
        <v>14</v>
      </c>
      <c r="B354" s="3">
        <v>4</v>
      </c>
      <c r="C354" s="4" t="s">
        <v>15</v>
      </c>
      <c r="D354" s="2" t="s">
        <v>28</v>
      </c>
      <c r="E354" s="2" t="s">
        <v>42</v>
      </c>
      <c r="F354" s="5">
        <v>5</v>
      </c>
      <c r="G354" s="1">
        <v>20000000</v>
      </c>
      <c r="H354" s="2">
        <v>1</v>
      </c>
      <c r="I354" s="6">
        <v>1.3888888888888889E-3</v>
      </c>
      <c r="J354" s="2" t="s">
        <v>18</v>
      </c>
      <c r="K354" s="2" t="s">
        <v>35</v>
      </c>
      <c r="L354" s="2" t="s">
        <v>51</v>
      </c>
      <c r="M354" s="2" t="s">
        <v>77</v>
      </c>
      <c r="N354" s="2" t="s">
        <v>54</v>
      </c>
    </row>
    <row r="355" spans="1:14" x14ac:dyDescent="0.3">
      <c r="A355" s="2" t="s">
        <v>14</v>
      </c>
      <c r="B355" s="3">
        <v>6</v>
      </c>
      <c r="C355" s="4" t="s">
        <v>59</v>
      </c>
      <c r="D355" s="2" t="s">
        <v>28</v>
      </c>
      <c r="E355" s="2" t="s">
        <v>68</v>
      </c>
      <c r="F355" s="5">
        <v>2</v>
      </c>
      <c r="G355" s="1">
        <v>12000000</v>
      </c>
      <c r="H355" s="2">
        <v>1</v>
      </c>
      <c r="I355" s="6">
        <v>1.3888888888888889E-3</v>
      </c>
      <c r="J355" s="2" t="s">
        <v>18</v>
      </c>
      <c r="K355" s="2" t="s">
        <v>35</v>
      </c>
      <c r="L355" s="2" t="s">
        <v>33</v>
      </c>
      <c r="M355" s="2" t="s">
        <v>76</v>
      </c>
      <c r="N355" s="2" t="s">
        <v>52</v>
      </c>
    </row>
    <row r="356" spans="1:14" x14ac:dyDescent="0.3">
      <c r="A356" s="2" t="s">
        <v>14</v>
      </c>
      <c r="B356" s="3">
        <v>12</v>
      </c>
      <c r="C356" s="4" t="s">
        <v>60</v>
      </c>
      <c r="D356" s="2" t="s">
        <v>32</v>
      </c>
      <c r="E356" s="2" t="s">
        <v>45</v>
      </c>
      <c r="F356" s="5">
        <v>2</v>
      </c>
      <c r="G356" s="1">
        <v>12000000</v>
      </c>
      <c r="H356" s="2">
        <v>5</v>
      </c>
      <c r="I356" s="6">
        <v>1.3888888888888889E-3</v>
      </c>
      <c r="J356" s="2" t="s">
        <v>18</v>
      </c>
      <c r="K356" s="2" t="s">
        <v>39</v>
      </c>
      <c r="L356" s="2" t="s">
        <v>30</v>
      </c>
      <c r="M356" s="2" t="s">
        <v>66</v>
      </c>
      <c r="N356" s="2" t="s">
        <v>67</v>
      </c>
    </row>
    <row r="357" spans="1:14" x14ac:dyDescent="0.3">
      <c r="A357" s="2" t="s">
        <v>14</v>
      </c>
      <c r="B357" s="3">
        <v>11</v>
      </c>
      <c r="C357" s="4" t="s">
        <v>22</v>
      </c>
      <c r="D357" s="2" t="s">
        <v>38</v>
      </c>
      <c r="E357" s="2" t="s">
        <v>42</v>
      </c>
      <c r="F357" s="5">
        <v>2</v>
      </c>
      <c r="G357" s="1">
        <v>12000000</v>
      </c>
      <c r="H357" s="2">
        <v>1</v>
      </c>
      <c r="I357" s="6">
        <v>1.3888888888888889E-3</v>
      </c>
      <c r="J357" s="2" t="s">
        <v>18</v>
      </c>
      <c r="K357" s="2" t="s">
        <v>24</v>
      </c>
      <c r="L357" s="2" t="s">
        <v>43</v>
      </c>
      <c r="M357" s="2" t="s">
        <v>76</v>
      </c>
      <c r="N357" s="2" t="s">
        <v>26</v>
      </c>
    </row>
    <row r="358" spans="1:14" x14ac:dyDescent="0.3">
      <c r="A358" s="2" t="s">
        <v>14</v>
      </c>
      <c r="B358" s="3">
        <v>2</v>
      </c>
      <c r="C358" s="4" t="s">
        <v>37</v>
      </c>
      <c r="D358" s="2" t="s">
        <v>16</v>
      </c>
      <c r="E358" s="2" t="s">
        <v>23</v>
      </c>
      <c r="F358" s="5">
        <v>3</v>
      </c>
      <c r="G358" s="1">
        <v>15000000</v>
      </c>
      <c r="H358" s="2">
        <v>1</v>
      </c>
      <c r="I358" s="6">
        <v>1.3888888888888889E-3</v>
      </c>
      <c r="J358" s="2" t="s">
        <v>18</v>
      </c>
      <c r="K358" s="2" t="s">
        <v>39</v>
      </c>
      <c r="L358" s="2" t="s">
        <v>20</v>
      </c>
      <c r="M358" s="2" t="s">
        <v>78</v>
      </c>
      <c r="N358" s="2" t="s">
        <v>66</v>
      </c>
    </row>
    <row r="359" spans="1:14" x14ac:dyDescent="0.3">
      <c r="A359" s="2" t="s">
        <v>14</v>
      </c>
      <c r="B359" s="3">
        <v>8</v>
      </c>
      <c r="C359" s="4" t="s">
        <v>37</v>
      </c>
      <c r="D359" s="2" t="s">
        <v>16</v>
      </c>
      <c r="E359" s="2" t="s">
        <v>42</v>
      </c>
      <c r="F359" s="5">
        <v>3</v>
      </c>
      <c r="G359" s="1">
        <v>15000000</v>
      </c>
      <c r="H359" s="2">
        <v>4</v>
      </c>
      <c r="I359" s="6">
        <v>1.3888888888888889E-3</v>
      </c>
      <c r="J359" s="2" t="s">
        <v>18</v>
      </c>
      <c r="K359" s="2" t="s">
        <v>47</v>
      </c>
      <c r="L359" s="2" t="s">
        <v>51</v>
      </c>
      <c r="M359" s="2" t="s">
        <v>77</v>
      </c>
      <c r="N359" s="2" t="s">
        <v>54</v>
      </c>
    </row>
    <row r="360" spans="1:14" x14ac:dyDescent="0.3">
      <c r="A360" s="2" t="s">
        <v>14</v>
      </c>
      <c r="B360" s="3">
        <v>17</v>
      </c>
      <c r="C360" s="4" t="s">
        <v>44</v>
      </c>
      <c r="D360" s="2" t="s">
        <v>32</v>
      </c>
      <c r="E360" s="2" t="s">
        <v>23</v>
      </c>
      <c r="F360" s="5">
        <v>4</v>
      </c>
      <c r="G360" s="1">
        <v>11000000</v>
      </c>
      <c r="H360" s="2">
        <v>2</v>
      </c>
      <c r="I360" s="6">
        <v>1.3888888888888889E-3</v>
      </c>
      <c r="J360" s="2" t="s">
        <v>61</v>
      </c>
      <c r="K360" s="2" t="s">
        <v>19</v>
      </c>
      <c r="L360" s="2" t="s">
        <v>51</v>
      </c>
      <c r="M360" s="2" t="s">
        <v>78</v>
      </c>
      <c r="N360" s="2" t="s">
        <v>21</v>
      </c>
    </row>
    <row r="361" spans="1:14" x14ac:dyDescent="0.3">
      <c r="A361" s="2" t="s">
        <v>14</v>
      </c>
      <c r="B361" s="3">
        <v>10</v>
      </c>
      <c r="C361" s="4" t="s">
        <v>69</v>
      </c>
      <c r="D361" s="2" t="s">
        <v>32</v>
      </c>
      <c r="E361" s="2" t="s">
        <v>23</v>
      </c>
      <c r="F361" s="5">
        <v>4</v>
      </c>
      <c r="G361" s="1">
        <v>20000000</v>
      </c>
      <c r="H361" s="2">
        <v>1</v>
      </c>
      <c r="I361" s="6">
        <v>1.3888888888888889E-3</v>
      </c>
      <c r="J361" s="2" t="s">
        <v>18</v>
      </c>
      <c r="K361" s="2" t="s">
        <v>19</v>
      </c>
      <c r="L361" s="2" t="s">
        <v>48</v>
      </c>
      <c r="M361" s="2" t="s">
        <v>66</v>
      </c>
      <c r="N361" s="2" t="s">
        <v>67</v>
      </c>
    </row>
    <row r="362" spans="1:14" x14ac:dyDescent="0.3">
      <c r="A362" s="2" t="s">
        <v>14</v>
      </c>
      <c r="B362" s="3">
        <v>17</v>
      </c>
      <c r="C362" s="4" t="s">
        <v>69</v>
      </c>
      <c r="D362" s="2" t="s">
        <v>49</v>
      </c>
      <c r="E362" s="2" t="s">
        <v>17</v>
      </c>
      <c r="F362" s="5">
        <v>1</v>
      </c>
      <c r="G362" s="1">
        <v>7000000</v>
      </c>
      <c r="H362" s="2">
        <v>5</v>
      </c>
      <c r="I362" s="6">
        <v>1.3888888888888889E-3</v>
      </c>
      <c r="J362" s="2" t="s">
        <v>18</v>
      </c>
      <c r="K362" s="2" t="s">
        <v>64</v>
      </c>
      <c r="L362" s="2" t="s">
        <v>48</v>
      </c>
      <c r="M362" s="2" t="s">
        <v>66</v>
      </c>
      <c r="N362" s="2" t="s">
        <v>36</v>
      </c>
    </row>
    <row r="363" spans="1:14" x14ac:dyDescent="0.3">
      <c r="A363" s="2" t="s">
        <v>14</v>
      </c>
      <c r="B363" s="3">
        <v>4</v>
      </c>
      <c r="C363" s="4" t="s">
        <v>15</v>
      </c>
      <c r="D363" s="2" t="s">
        <v>28</v>
      </c>
      <c r="E363" s="2" t="s">
        <v>42</v>
      </c>
      <c r="F363" s="5">
        <v>5</v>
      </c>
      <c r="G363" s="1">
        <v>20000000</v>
      </c>
      <c r="H363" s="2">
        <v>1</v>
      </c>
      <c r="I363" s="6">
        <v>1.3888888888888889E-3</v>
      </c>
      <c r="J363" s="2" t="s">
        <v>18</v>
      </c>
      <c r="K363" s="2" t="s">
        <v>35</v>
      </c>
      <c r="L363" s="2" t="s">
        <v>51</v>
      </c>
      <c r="M363" s="2" t="s">
        <v>77</v>
      </c>
      <c r="N363" s="2" t="s">
        <v>54</v>
      </c>
    </row>
    <row r="364" spans="1:14" x14ac:dyDescent="0.3">
      <c r="A364" s="2" t="s">
        <v>14</v>
      </c>
      <c r="B364" s="3">
        <v>6</v>
      </c>
      <c r="C364" s="4" t="s">
        <v>59</v>
      </c>
      <c r="D364" s="2" t="s">
        <v>28</v>
      </c>
      <c r="E364" s="2" t="s">
        <v>68</v>
      </c>
      <c r="F364" s="5">
        <v>2</v>
      </c>
      <c r="G364" s="1">
        <v>12000000</v>
      </c>
      <c r="H364" s="2">
        <v>1</v>
      </c>
      <c r="I364" s="6">
        <v>1.3888888888888889E-3</v>
      </c>
      <c r="J364" s="2" t="s">
        <v>18</v>
      </c>
      <c r="K364" s="2" t="s">
        <v>35</v>
      </c>
      <c r="L364" s="2" t="s">
        <v>33</v>
      </c>
      <c r="M364" s="2" t="s">
        <v>76</v>
      </c>
      <c r="N364" s="2" t="s">
        <v>52</v>
      </c>
    </row>
    <row r="365" spans="1:14" x14ac:dyDescent="0.3">
      <c r="A365" s="2" t="s">
        <v>14</v>
      </c>
      <c r="B365" s="3">
        <v>12</v>
      </c>
      <c r="C365" s="4" t="s">
        <v>60</v>
      </c>
      <c r="D365" s="2" t="s">
        <v>32</v>
      </c>
      <c r="E365" s="2" t="s">
        <v>45</v>
      </c>
      <c r="F365" s="5">
        <v>2</v>
      </c>
      <c r="G365" s="1">
        <v>12000000</v>
      </c>
      <c r="H365" s="2">
        <v>5</v>
      </c>
      <c r="I365" s="6">
        <v>1.3888888888888889E-3</v>
      </c>
      <c r="J365" s="2" t="s">
        <v>18</v>
      </c>
      <c r="K365" s="2" t="s">
        <v>39</v>
      </c>
      <c r="L365" s="2" t="s">
        <v>30</v>
      </c>
      <c r="M365" s="2" t="s">
        <v>66</v>
      </c>
      <c r="N365" s="2" t="s">
        <v>67</v>
      </c>
    </row>
    <row r="366" spans="1:14" x14ac:dyDescent="0.3">
      <c r="A366" s="2" t="s">
        <v>70</v>
      </c>
      <c r="B366" s="3">
        <v>2</v>
      </c>
      <c r="C366" s="4" t="s">
        <v>59</v>
      </c>
      <c r="D366" s="2" t="s">
        <v>16</v>
      </c>
      <c r="E366" s="2" t="s">
        <v>42</v>
      </c>
      <c r="F366" s="5">
        <v>0</v>
      </c>
      <c r="G366" s="1">
        <v>0</v>
      </c>
      <c r="H366" s="2">
        <v>1</v>
      </c>
      <c r="I366" s="6">
        <v>1.3888888888888889E-3</v>
      </c>
      <c r="J366" s="2"/>
      <c r="K366" s="2"/>
      <c r="L366" s="2" t="s">
        <v>25</v>
      </c>
      <c r="M366" s="2" t="s">
        <v>77</v>
      </c>
      <c r="N366" s="2" t="s">
        <v>65</v>
      </c>
    </row>
    <row r="367" spans="1:14" x14ac:dyDescent="0.3">
      <c r="A367" s="2" t="s">
        <v>70</v>
      </c>
      <c r="B367" s="3">
        <v>30</v>
      </c>
      <c r="C367" s="4" t="s">
        <v>27</v>
      </c>
      <c r="D367" s="2" t="s">
        <v>16</v>
      </c>
      <c r="E367" s="2" t="s">
        <v>23</v>
      </c>
      <c r="F367" s="5">
        <v>0</v>
      </c>
      <c r="G367" s="1">
        <v>0</v>
      </c>
      <c r="H367" s="2">
        <v>2</v>
      </c>
      <c r="I367" s="6">
        <v>1.3888888888888889E-3</v>
      </c>
      <c r="J367" s="2"/>
      <c r="K367" s="2"/>
      <c r="L367" s="2" t="s">
        <v>43</v>
      </c>
      <c r="M367" s="2" t="s">
        <v>76</v>
      </c>
      <c r="N367" s="2" t="s">
        <v>31</v>
      </c>
    </row>
    <row r="368" spans="1:14" x14ac:dyDescent="0.3">
      <c r="A368" s="2" t="s">
        <v>70</v>
      </c>
      <c r="B368" s="3">
        <v>8</v>
      </c>
      <c r="C368" s="4" t="s">
        <v>37</v>
      </c>
      <c r="D368" s="2" t="s">
        <v>38</v>
      </c>
      <c r="E368" s="2" t="s">
        <v>23</v>
      </c>
      <c r="F368" s="5">
        <v>0</v>
      </c>
      <c r="G368" s="1">
        <v>0</v>
      </c>
      <c r="H368" s="2">
        <v>1</v>
      </c>
      <c r="I368" s="6">
        <v>1.3888888888888889E-3</v>
      </c>
      <c r="J368" s="2"/>
      <c r="K368" s="2"/>
      <c r="L368" s="2" t="s">
        <v>30</v>
      </c>
      <c r="M368" s="2" t="s">
        <v>78</v>
      </c>
      <c r="N368" s="2" t="s">
        <v>62</v>
      </c>
    </row>
    <row r="369" spans="1:14" x14ac:dyDescent="0.3">
      <c r="A369" s="2" t="s">
        <v>70</v>
      </c>
      <c r="B369" s="3">
        <v>20</v>
      </c>
      <c r="C369" s="4" t="s">
        <v>44</v>
      </c>
      <c r="D369" s="2" t="s">
        <v>32</v>
      </c>
      <c r="E369" s="2" t="s">
        <v>17</v>
      </c>
      <c r="F369" s="5">
        <v>0</v>
      </c>
      <c r="G369" s="1">
        <v>0</v>
      </c>
      <c r="H369" s="2">
        <v>2</v>
      </c>
      <c r="I369" s="6">
        <v>1.3888888888888889E-3</v>
      </c>
      <c r="J369" s="2"/>
      <c r="K369" s="2"/>
      <c r="L369" s="2" t="s">
        <v>33</v>
      </c>
      <c r="M369" s="2" t="s">
        <v>78</v>
      </c>
      <c r="N369" s="2" t="s">
        <v>62</v>
      </c>
    </row>
    <row r="370" spans="1:14" x14ac:dyDescent="0.3">
      <c r="A370" s="2" t="s">
        <v>70</v>
      </c>
      <c r="B370" s="3">
        <v>2</v>
      </c>
      <c r="C370" s="4" t="s">
        <v>59</v>
      </c>
      <c r="D370" s="2" t="s">
        <v>16</v>
      </c>
      <c r="E370" s="2" t="s">
        <v>42</v>
      </c>
      <c r="F370" s="5">
        <v>0</v>
      </c>
      <c r="G370" s="1">
        <v>0</v>
      </c>
      <c r="H370" s="2">
        <v>1</v>
      </c>
      <c r="I370" s="6">
        <v>1.3888888888888889E-3</v>
      </c>
      <c r="J370" s="2"/>
      <c r="K370" s="2"/>
      <c r="L370" s="2" t="s">
        <v>25</v>
      </c>
      <c r="M370" s="2" t="s">
        <v>77</v>
      </c>
      <c r="N370" s="2" t="s">
        <v>65</v>
      </c>
    </row>
    <row r="371" spans="1:14" x14ac:dyDescent="0.3">
      <c r="A371" s="2" t="s">
        <v>14</v>
      </c>
      <c r="B371" s="3">
        <v>10</v>
      </c>
      <c r="C371" s="4" t="s">
        <v>55</v>
      </c>
      <c r="D371" s="2" t="s">
        <v>32</v>
      </c>
      <c r="E371" s="2" t="s">
        <v>42</v>
      </c>
      <c r="F371" s="5">
        <v>2</v>
      </c>
      <c r="G371" s="1">
        <v>12000000</v>
      </c>
      <c r="H371" s="2">
        <v>1</v>
      </c>
      <c r="I371" s="6">
        <v>1.3888888888888889E-3</v>
      </c>
      <c r="J371" s="2" t="s">
        <v>18</v>
      </c>
      <c r="K371" s="2" t="s">
        <v>19</v>
      </c>
      <c r="L371" s="2" t="s">
        <v>20</v>
      </c>
      <c r="M371" s="2" t="s">
        <v>77</v>
      </c>
      <c r="N371" s="2" t="s">
        <v>34</v>
      </c>
    </row>
    <row r="372" spans="1:14" x14ac:dyDescent="0.3">
      <c r="A372" s="2" t="s">
        <v>14</v>
      </c>
      <c r="B372" s="3">
        <v>1</v>
      </c>
      <c r="C372" s="4" t="s">
        <v>55</v>
      </c>
      <c r="D372" s="2" t="s">
        <v>32</v>
      </c>
      <c r="E372" s="2" t="s">
        <v>42</v>
      </c>
      <c r="F372" s="5">
        <v>3</v>
      </c>
      <c r="G372" s="1">
        <v>11000000</v>
      </c>
      <c r="H372" s="2">
        <v>2</v>
      </c>
      <c r="I372" s="6">
        <v>1.3888888888888889E-3</v>
      </c>
      <c r="J372" s="2" t="s">
        <v>18</v>
      </c>
      <c r="K372" s="2" t="s">
        <v>64</v>
      </c>
      <c r="L372" s="2" t="s">
        <v>20</v>
      </c>
      <c r="M372" s="2" t="s">
        <v>78</v>
      </c>
      <c r="N372" s="2" t="s">
        <v>63</v>
      </c>
    </row>
    <row r="373" spans="1:14" x14ac:dyDescent="0.3">
      <c r="A373" s="2" t="s">
        <v>14</v>
      </c>
      <c r="B373" s="3">
        <v>11</v>
      </c>
      <c r="C373" s="4" t="s">
        <v>57</v>
      </c>
      <c r="D373" s="2" t="s">
        <v>16</v>
      </c>
      <c r="E373" s="2" t="s">
        <v>17</v>
      </c>
      <c r="F373" s="5">
        <v>2</v>
      </c>
      <c r="G373" s="1">
        <v>10000000</v>
      </c>
      <c r="H373" s="2">
        <v>2</v>
      </c>
      <c r="I373" s="6">
        <v>1.3888888888888889E-3</v>
      </c>
      <c r="J373" s="2" t="s">
        <v>18</v>
      </c>
      <c r="K373" s="2" t="s">
        <v>56</v>
      </c>
      <c r="L373" s="2" t="s">
        <v>48</v>
      </c>
      <c r="M373" s="2" t="s">
        <v>66</v>
      </c>
      <c r="N373" s="2" t="s">
        <v>36</v>
      </c>
    </row>
    <row r="374" spans="1:14" x14ac:dyDescent="0.3">
      <c r="A374" s="2" t="s">
        <v>14</v>
      </c>
      <c r="B374" s="3">
        <v>3</v>
      </c>
      <c r="C374" s="4" t="s">
        <v>59</v>
      </c>
      <c r="D374" s="2" t="s">
        <v>49</v>
      </c>
      <c r="E374" s="2" t="s">
        <v>42</v>
      </c>
      <c r="F374" s="5">
        <v>2</v>
      </c>
      <c r="G374" s="1">
        <v>38000000</v>
      </c>
      <c r="H374" s="2">
        <v>1</v>
      </c>
      <c r="I374" s="6">
        <v>1.3888888888888889E-3</v>
      </c>
      <c r="J374" s="2" t="s">
        <v>46</v>
      </c>
      <c r="K374" s="2" t="s">
        <v>19</v>
      </c>
      <c r="L374" s="2" t="s">
        <v>30</v>
      </c>
      <c r="M374" s="2" t="s">
        <v>77</v>
      </c>
      <c r="N374" s="2" t="s">
        <v>65</v>
      </c>
    </row>
    <row r="375" spans="1:14" x14ac:dyDescent="0.3">
      <c r="A375" s="2" t="s">
        <v>14</v>
      </c>
      <c r="B375" s="3">
        <v>20</v>
      </c>
      <c r="C375" s="4" t="s">
        <v>72</v>
      </c>
      <c r="D375" s="2" t="s">
        <v>28</v>
      </c>
      <c r="E375" s="2" t="s">
        <v>42</v>
      </c>
      <c r="F375" s="5">
        <v>1</v>
      </c>
      <c r="G375" s="1">
        <v>19000000</v>
      </c>
      <c r="H375" s="2">
        <v>5</v>
      </c>
      <c r="I375" s="6">
        <v>1.3888888888888889E-3</v>
      </c>
      <c r="J375" s="2" t="s">
        <v>46</v>
      </c>
      <c r="K375" s="2" t="s">
        <v>29</v>
      </c>
      <c r="L375" s="2" t="s">
        <v>43</v>
      </c>
      <c r="M375" s="2" t="s">
        <v>66</v>
      </c>
      <c r="N375" s="2" t="s">
        <v>67</v>
      </c>
    </row>
    <row r="376" spans="1:14" x14ac:dyDescent="0.3">
      <c r="A376" s="2" t="s">
        <v>14</v>
      </c>
      <c r="B376" s="3">
        <v>11</v>
      </c>
      <c r="C376" s="4" t="s">
        <v>22</v>
      </c>
      <c r="D376" s="2" t="s">
        <v>16</v>
      </c>
      <c r="E376" s="2" t="s">
        <v>42</v>
      </c>
      <c r="F376" s="5">
        <v>3</v>
      </c>
      <c r="G376" s="1">
        <v>15000000</v>
      </c>
      <c r="H376" s="2">
        <v>4</v>
      </c>
      <c r="I376" s="6">
        <v>1.3888888888888889E-3</v>
      </c>
      <c r="J376" s="2" t="s">
        <v>18</v>
      </c>
      <c r="K376" s="2" t="s">
        <v>29</v>
      </c>
      <c r="L376" s="2" t="s">
        <v>51</v>
      </c>
      <c r="M376" s="2" t="s">
        <v>66</v>
      </c>
      <c r="N376" s="2" t="s">
        <v>67</v>
      </c>
    </row>
    <row r="377" spans="1:14" x14ac:dyDescent="0.3">
      <c r="A377" s="2" t="s">
        <v>14</v>
      </c>
      <c r="B377" s="3">
        <v>28</v>
      </c>
      <c r="C377" s="4" t="s">
        <v>27</v>
      </c>
      <c r="D377" s="2" t="s">
        <v>32</v>
      </c>
      <c r="E377" s="2" t="s">
        <v>23</v>
      </c>
      <c r="F377" s="5">
        <v>1</v>
      </c>
      <c r="G377" s="1">
        <v>19000000</v>
      </c>
      <c r="H377" s="2">
        <v>4</v>
      </c>
      <c r="I377" s="6">
        <v>1.3888888888888889E-3</v>
      </c>
      <c r="J377" s="2" t="s">
        <v>74</v>
      </c>
      <c r="K377" s="2" t="s">
        <v>35</v>
      </c>
      <c r="L377" s="2" t="s">
        <v>43</v>
      </c>
      <c r="M377" s="2" t="s">
        <v>66</v>
      </c>
      <c r="N377" s="2" t="s">
        <v>36</v>
      </c>
    </row>
    <row r="378" spans="1:14" x14ac:dyDescent="0.3">
      <c r="A378" s="2" t="s">
        <v>14</v>
      </c>
      <c r="B378" s="3">
        <v>30</v>
      </c>
      <c r="C378" s="4" t="s">
        <v>27</v>
      </c>
      <c r="D378" s="2" t="s">
        <v>32</v>
      </c>
      <c r="E378" s="2" t="s">
        <v>42</v>
      </c>
      <c r="F378" s="5">
        <v>2</v>
      </c>
      <c r="G378" s="1">
        <v>38000000</v>
      </c>
      <c r="H378" s="2">
        <v>1</v>
      </c>
      <c r="I378" s="6">
        <v>1.3888888888888889E-3</v>
      </c>
      <c r="J378" s="2" t="s">
        <v>46</v>
      </c>
      <c r="K378" s="2" t="s">
        <v>39</v>
      </c>
      <c r="L378" s="2" t="s">
        <v>30</v>
      </c>
      <c r="M378" s="2" t="s">
        <v>77</v>
      </c>
      <c r="N378" s="2" t="s">
        <v>54</v>
      </c>
    </row>
    <row r="379" spans="1:14" x14ac:dyDescent="0.3">
      <c r="A379" s="2" t="s">
        <v>14</v>
      </c>
      <c r="B379" s="3">
        <v>11</v>
      </c>
      <c r="C379" s="4" t="s">
        <v>27</v>
      </c>
      <c r="D379" s="2" t="s">
        <v>32</v>
      </c>
      <c r="E379" s="2" t="s">
        <v>42</v>
      </c>
      <c r="F379" s="5">
        <v>5</v>
      </c>
      <c r="G379" s="1">
        <v>25000000</v>
      </c>
      <c r="H379" s="2">
        <v>2</v>
      </c>
      <c r="I379" s="6">
        <v>1.3888888888888889E-3</v>
      </c>
      <c r="J379" s="2" t="s">
        <v>18</v>
      </c>
      <c r="K379" s="2" t="s">
        <v>29</v>
      </c>
      <c r="L379" s="2" t="s">
        <v>30</v>
      </c>
      <c r="M379" s="2" t="s">
        <v>76</v>
      </c>
      <c r="N379" s="2" t="s">
        <v>75</v>
      </c>
    </row>
    <row r="380" spans="1:14" x14ac:dyDescent="0.3">
      <c r="A380" s="2" t="s">
        <v>14</v>
      </c>
      <c r="B380" s="3">
        <v>12</v>
      </c>
      <c r="C380" s="4" t="s">
        <v>27</v>
      </c>
      <c r="D380" s="2" t="s">
        <v>32</v>
      </c>
      <c r="E380" s="2" t="s">
        <v>42</v>
      </c>
      <c r="F380" s="5">
        <v>5</v>
      </c>
      <c r="G380" s="1">
        <v>25000000</v>
      </c>
      <c r="H380" s="2">
        <v>5</v>
      </c>
      <c r="I380" s="6">
        <v>1.3888888888888889E-3</v>
      </c>
      <c r="J380" s="2" t="s">
        <v>18</v>
      </c>
      <c r="K380" s="2" t="s">
        <v>56</v>
      </c>
      <c r="L380" s="2" t="s">
        <v>30</v>
      </c>
      <c r="M380" s="2" t="s">
        <v>78</v>
      </c>
      <c r="N380" s="2" t="s">
        <v>63</v>
      </c>
    </row>
    <row r="381" spans="1:14" x14ac:dyDescent="0.3">
      <c r="A381" s="2" t="s">
        <v>14</v>
      </c>
      <c r="B381" s="3">
        <v>17</v>
      </c>
      <c r="C381" s="4" t="s">
        <v>27</v>
      </c>
      <c r="D381" s="2" t="s">
        <v>28</v>
      </c>
      <c r="E381" s="2" t="s">
        <v>42</v>
      </c>
      <c r="F381" s="5">
        <v>2</v>
      </c>
      <c r="G381" s="1">
        <v>12000000</v>
      </c>
      <c r="H381" s="2">
        <v>4</v>
      </c>
      <c r="I381" s="6">
        <v>1.3888888888888889E-3</v>
      </c>
      <c r="J381" s="2" t="s">
        <v>18</v>
      </c>
      <c r="K381" s="2" t="s">
        <v>39</v>
      </c>
      <c r="L381" s="2" t="s">
        <v>48</v>
      </c>
      <c r="M381" s="2" t="s">
        <v>77</v>
      </c>
      <c r="N381" s="2" t="s">
        <v>54</v>
      </c>
    </row>
    <row r="382" spans="1:14" x14ac:dyDescent="0.3">
      <c r="A382" s="2" t="s">
        <v>14</v>
      </c>
      <c r="B382" s="3">
        <v>29</v>
      </c>
      <c r="C382" s="4" t="s">
        <v>27</v>
      </c>
      <c r="D382" s="2" t="s">
        <v>32</v>
      </c>
      <c r="E382" s="2" t="s">
        <v>23</v>
      </c>
      <c r="F382" s="5">
        <v>4</v>
      </c>
      <c r="G382" s="1">
        <v>15000000</v>
      </c>
      <c r="H382" s="2">
        <v>3</v>
      </c>
      <c r="I382" s="6">
        <v>1.3888888888888889E-3</v>
      </c>
      <c r="J382" s="2" t="s">
        <v>18</v>
      </c>
      <c r="K382" s="2" t="s">
        <v>24</v>
      </c>
      <c r="L382" s="2" t="s">
        <v>51</v>
      </c>
      <c r="M382" s="2" t="s">
        <v>78</v>
      </c>
      <c r="N382" s="2" t="s">
        <v>53</v>
      </c>
    </row>
    <row r="383" spans="1:14" x14ac:dyDescent="0.3">
      <c r="A383" s="2" t="s">
        <v>14</v>
      </c>
      <c r="B383" s="3">
        <v>8</v>
      </c>
      <c r="C383" s="4" t="s">
        <v>37</v>
      </c>
      <c r="D383" s="2" t="s">
        <v>28</v>
      </c>
      <c r="E383" s="2" t="s">
        <v>23</v>
      </c>
      <c r="F383" s="5">
        <v>1</v>
      </c>
      <c r="G383" s="1">
        <v>7000000</v>
      </c>
      <c r="H383" s="2">
        <v>1</v>
      </c>
      <c r="I383" s="6">
        <v>1.3888888888888889E-3</v>
      </c>
      <c r="J383" s="2" t="s">
        <v>18</v>
      </c>
      <c r="K383" s="2" t="s">
        <v>56</v>
      </c>
      <c r="L383" s="2" t="s">
        <v>48</v>
      </c>
      <c r="M383" s="2" t="s">
        <v>78</v>
      </c>
      <c r="N383" s="2" t="s">
        <v>41</v>
      </c>
    </row>
    <row r="384" spans="1:14" x14ac:dyDescent="0.3">
      <c r="A384" s="2" t="s">
        <v>14</v>
      </c>
      <c r="B384" s="3">
        <v>27</v>
      </c>
      <c r="C384" s="4" t="s">
        <v>37</v>
      </c>
      <c r="D384" s="2" t="s">
        <v>38</v>
      </c>
      <c r="E384" s="2" t="s">
        <v>23</v>
      </c>
      <c r="F384" s="5">
        <v>1</v>
      </c>
      <c r="G384" s="1">
        <v>7000000</v>
      </c>
      <c r="H384" s="2">
        <v>1</v>
      </c>
      <c r="I384" s="6">
        <v>1.3888888888888889E-3</v>
      </c>
      <c r="J384" s="2" t="s">
        <v>18</v>
      </c>
      <c r="K384" s="2" t="s">
        <v>19</v>
      </c>
      <c r="L384" s="2" t="s">
        <v>25</v>
      </c>
      <c r="M384" s="2" t="s">
        <v>77</v>
      </c>
      <c r="N384" s="2" t="s">
        <v>54</v>
      </c>
    </row>
    <row r="385" spans="1:14" x14ac:dyDescent="0.3">
      <c r="A385" s="2" t="s">
        <v>14</v>
      </c>
      <c r="B385" s="3">
        <v>2</v>
      </c>
      <c r="C385" s="4" t="s">
        <v>44</v>
      </c>
      <c r="D385" s="2" t="s">
        <v>38</v>
      </c>
      <c r="E385" s="2" t="s">
        <v>23</v>
      </c>
      <c r="F385" s="5">
        <v>4</v>
      </c>
      <c r="G385" s="1">
        <v>20000000</v>
      </c>
      <c r="H385" s="2">
        <v>1</v>
      </c>
      <c r="I385" s="6">
        <v>1.3888888888888889E-3</v>
      </c>
      <c r="J385" s="2" t="s">
        <v>61</v>
      </c>
      <c r="K385" s="2" t="s">
        <v>24</v>
      </c>
      <c r="L385" s="2" t="s">
        <v>40</v>
      </c>
      <c r="M385" s="2" t="s">
        <v>76</v>
      </c>
      <c r="N385" s="2" t="s">
        <v>52</v>
      </c>
    </row>
    <row r="386" spans="1:14" x14ac:dyDescent="0.3">
      <c r="A386" s="2" t="s">
        <v>14</v>
      </c>
      <c r="B386" s="3">
        <v>1</v>
      </c>
      <c r="C386" s="4" t="s">
        <v>44</v>
      </c>
      <c r="D386" s="2" t="s">
        <v>28</v>
      </c>
      <c r="E386" s="2" t="s">
        <v>45</v>
      </c>
      <c r="F386" s="5">
        <v>4</v>
      </c>
      <c r="G386" s="1">
        <v>20000000</v>
      </c>
      <c r="H386" s="2">
        <v>1</v>
      </c>
      <c r="I386" s="6">
        <v>1.3888888888888889E-3</v>
      </c>
      <c r="J386" s="2" t="s">
        <v>18</v>
      </c>
      <c r="K386" s="2" t="s">
        <v>47</v>
      </c>
      <c r="L386" s="2" t="s">
        <v>51</v>
      </c>
      <c r="M386" s="2" t="s">
        <v>78</v>
      </c>
      <c r="N386" s="2" t="s">
        <v>41</v>
      </c>
    </row>
    <row r="387" spans="1:14" x14ac:dyDescent="0.3">
      <c r="A387" s="2" t="s">
        <v>14</v>
      </c>
      <c r="B387" s="3">
        <v>31</v>
      </c>
      <c r="C387" s="4" t="s">
        <v>69</v>
      </c>
      <c r="D387" s="2" t="s">
        <v>49</v>
      </c>
      <c r="E387" s="2" t="s">
        <v>42</v>
      </c>
      <c r="F387" s="5">
        <v>3</v>
      </c>
      <c r="G387" s="1">
        <v>12000000</v>
      </c>
      <c r="H387" s="2">
        <v>1</v>
      </c>
      <c r="I387" s="6">
        <v>1.3888888888888889E-3</v>
      </c>
      <c r="J387" s="2" t="s">
        <v>18</v>
      </c>
      <c r="K387" s="2" t="s">
        <v>19</v>
      </c>
      <c r="L387" s="2" t="s">
        <v>33</v>
      </c>
      <c r="M387" s="2" t="s">
        <v>78</v>
      </c>
      <c r="N387" s="2" t="s">
        <v>53</v>
      </c>
    </row>
    <row r="388" spans="1:14" x14ac:dyDescent="0.3">
      <c r="A388" s="2" t="s">
        <v>14</v>
      </c>
      <c r="B388" s="3">
        <v>30</v>
      </c>
      <c r="C388" s="4" t="s">
        <v>69</v>
      </c>
      <c r="D388" s="2" t="s">
        <v>28</v>
      </c>
      <c r="E388" s="2" t="s">
        <v>23</v>
      </c>
      <c r="F388" s="5">
        <v>2</v>
      </c>
      <c r="G388" s="1">
        <v>12000000</v>
      </c>
      <c r="H388" s="2">
        <v>1</v>
      </c>
      <c r="I388" s="6">
        <v>1.3888888888888889E-3</v>
      </c>
      <c r="J388" s="2" t="s">
        <v>18</v>
      </c>
      <c r="K388" s="2" t="s">
        <v>19</v>
      </c>
      <c r="L388" s="2" t="s">
        <v>51</v>
      </c>
      <c r="M388" s="2" t="s">
        <v>78</v>
      </c>
      <c r="N388" s="2" t="s">
        <v>63</v>
      </c>
    </row>
    <row r="389" spans="1:14" x14ac:dyDescent="0.3">
      <c r="A389" s="2" t="s">
        <v>14</v>
      </c>
      <c r="B389" s="3">
        <v>10</v>
      </c>
      <c r="C389" s="4" t="s">
        <v>55</v>
      </c>
      <c r="D389" s="2" t="s">
        <v>32</v>
      </c>
      <c r="E389" s="2" t="s">
        <v>42</v>
      </c>
      <c r="F389" s="5">
        <v>2</v>
      </c>
      <c r="G389" s="1">
        <v>12000000</v>
      </c>
      <c r="H389" s="2">
        <v>1</v>
      </c>
      <c r="I389" s="6">
        <v>1.3888888888888889E-3</v>
      </c>
      <c r="J389" s="2" t="s">
        <v>18</v>
      </c>
      <c r="K389" s="2" t="s">
        <v>19</v>
      </c>
      <c r="L389" s="2" t="s">
        <v>20</v>
      </c>
      <c r="M389" s="2" t="s">
        <v>77</v>
      </c>
      <c r="N389" s="2" t="s">
        <v>34</v>
      </c>
    </row>
    <row r="390" spans="1:14" x14ac:dyDescent="0.3">
      <c r="A390" s="2" t="s">
        <v>14</v>
      </c>
      <c r="B390" s="3">
        <v>1</v>
      </c>
      <c r="C390" s="4" t="s">
        <v>55</v>
      </c>
      <c r="D390" s="2" t="s">
        <v>32</v>
      </c>
      <c r="E390" s="2" t="s">
        <v>42</v>
      </c>
      <c r="F390" s="5">
        <v>3</v>
      </c>
      <c r="G390" s="1">
        <v>11000000</v>
      </c>
      <c r="H390" s="2">
        <v>2</v>
      </c>
      <c r="I390" s="6">
        <v>1.3888888888888889E-3</v>
      </c>
      <c r="J390" s="2" t="s">
        <v>18</v>
      </c>
      <c r="K390" s="2" t="s">
        <v>64</v>
      </c>
      <c r="L390" s="2" t="s">
        <v>20</v>
      </c>
      <c r="M390" s="2" t="s">
        <v>78</v>
      </c>
      <c r="N390" s="2" t="s">
        <v>63</v>
      </c>
    </row>
    <row r="391" spans="1:14" x14ac:dyDescent="0.3">
      <c r="A391" s="2" t="s">
        <v>14</v>
      </c>
      <c r="B391" s="3">
        <v>11</v>
      </c>
      <c r="C391" s="4" t="s">
        <v>57</v>
      </c>
      <c r="D391" s="2" t="s">
        <v>16</v>
      </c>
      <c r="E391" s="2" t="s">
        <v>17</v>
      </c>
      <c r="F391" s="5">
        <v>2</v>
      </c>
      <c r="G391" s="1">
        <v>10000000</v>
      </c>
      <c r="H391" s="2">
        <v>2</v>
      </c>
      <c r="I391" s="6">
        <v>1.3888888888888889E-3</v>
      </c>
      <c r="J391" s="2" t="s">
        <v>18</v>
      </c>
      <c r="K391" s="2" t="s">
        <v>56</v>
      </c>
      <c r="L391" s="2" t="s">
        <v>48</v>
      </c>
      <c r="M391" s="2" t="s">
        <v>66</v>
      </c>
      <c r="N391" s="2" t="s">
        <v>36</v>
      </c>
    </row>
    <row r="392" spans="1:14" x14ac:dyDescent="0.3">
      <c r="A392" s="2" t="s">
        <v>14</v>
      </c>
      <c r="B392" s="3">
        <v>3</v>
      </c>
      <c r="C392" s="4" t="s">
        <v>59</v>
      </c>
      <c r="D392" s="2" t="s">
        <v>49</v>
      </c>
      <c r="E392" s="2" t="s">
        <v>42</v>
      </c>
      <c r="F392" s="5">
        <v>2</v>
      </c>
      <c r="G392" s="1">
        <v>38000000</v>
      </c>
      <c r="H392" s="2">
        <v>1</v>
      </c>
      <c r="I392" s="6">
        <v>1.3888888888888889E-3</v>
      </c>
      <c r="J392" s="2" t="s">
        <v>46</v>
      </c>
      <c r="K392" s="2" t="s">
        <v>19</v>
      </c>
      <c r="L392" s="2" t="s">
        <v>30</v>
      </c>
      <c r="M392" s="2" t="s">
        <v>77</v>
      </c>
      <c r="N392" s="2" t="s">
        <v>65</v>
      </c>
    </row>
    <row r="393" spans="1:14" x14ac:dyDescent="0.3">
      <c r="A393" s="2" t="s">
        <v>14</v>
      </c>
      <c r="B393" s="3">
        <v>20</v>
      </c>
      <c r="C393" s="4" t="s">
        <v>72</v>
      </c>
      <c r="D393" s="2" t="s">
        <v>28</v>
      </c>
      <c r="E393" s="2" t="s">
        <v>42</v>
      </c>
      <c r="F393" s="5">
        <v>1</v>
      </c>
      <c r="G393" s="1">
        <v>19000000</v>
      </c>
      <c r="H393" s="2">
        <v>5</v>
      </c>
      <c r="I393" s="6">
        <v>1.3888888888888889E-3</v>
      </c>
      <c r="J393" s="2" t="s">
        <v>46</v>
      </c>
      <c r="K393" s="2" t="s">
        <v>29</v>
      </c>
      <c r="L393" s="2" t="s">
        <v>43</v>
      </c>
      <c r="M393" s="2" t="s">
        <v>66</v>
      </c>
      <c r="N393" s="2" t="s">
        <v>67</v>
      </c>
    </row>
    <row r="394" spans="1:14" x14ac:dyDescent="0.3">
      <c r="A394" s="2" t="s">
        <v>14</v>
      </c>
      <c r="B394" s="3">
        <v>11</v>
      </c>
      <c r="C394" s="4" t="s">
        <v>22</v>
      </c>
      <c r="D394" s="2" t="s">
        <v>16</v>
      </c>
      <c r="E394" s="2" t="s">
        <v>42</v>
      </c>
      <c r="F394" s="5">
        <v>3</v>
      </c>
      <c r="G394" s="1">
        <v>15000000</v>
      </c>
      <c r="H394" s="2">
        <v>4</v>
      </c>
      <c r="I394" s="6">
        <v>1.3888888888888889E-3</v>
      </c>
      <c r="J394" s="2" t="s">
        <v>18</v>
      </c>
      <c r="K394" s="2" t="s">
        <v>29</v>
      </c>
      <c r="L394" s="2" t="s">
        <v>51</v>
      </c>
      <c r="M394" s="2" t="s">
        <v>66</v>
      </c>
      <c r="N394" s="2" t="s">
        <v>67</v>
      </c>
    </row>
    <row r="395" spans="1:14" x14ac:dyDescent="0.3">
      <c r="A395" s="2" t="s">
        <v>70</v>
      </c>
      <c r="B395" s="3">
        <v>5</v>
      </c>
      <c r="C395" s="4" t="s">
        <v>15</v>
      </c>
      <c r="D395" s="2" t="s">
        <v>32</v>
      </c>
      <c r="E395" s="2" t="s">
        <v>17</v>
      </c>
      <c r="F395" s="5">
        <v>0</v>
      </c>
      <c r="G395" s="1">
        <v>0</v>
      </c>
      <c r="H395" s="2">
        <v>2</v>
      </c>
      <c r="I395" s="6">
        <v>1.3888888888888889E-3</v>
      </c>
      <c r="J395" s="2"/>
      <c r="K395" s="2"/>
      <c r="L395" s="2" t="s">
        <v>48</v>
      </c>
      <c r="M395" s="2" t="s">
        <v>76</v>
      </c>
      <c r="N395" s="2" t="s">
        <v>52</v>
      </c>
    </row>
    <row r="396" spans="1:14" x14ac:dyDescent="0.3">
      <c r="A396" s="2" t="s">
        <v>70</v>
      </c>
      <c r="B396" s="3">
        <v>22</v>
      </c>
      <c r="C396" s="4" t="s">
        <v>37</v>
      </c>
      <c r="D396" s="2" t="s">
        <v>32</v>
      </c>
      <c r="E396" s="2" t="s">
        <v>17</v>
      </c>
      <c r="F396" s="5">
        <v>0</v>
      </c>
      <c r="G396" s="1">
        <v>0</v>
      </c>
      <c r="H396" s="2">
        <v>1</v>
      </c>
      <c r="I396" s="6">
        <v>1.3888888888888889E-3</v>
      </c>
      <c r="J396" s="2"/>
      <c r="K396" s="2"/>
      <c r="L396" s="2" t="s">
        <v>43</v>
      </c>
      <c r="M396" s="2" t="s">
        <v>76</v>
      </c>
      <c r="N396" s="2" t="s">
        <v>31</v>
      </c>
    </row>
    <row r="397" spans="1:14" x14ac:dyDescent="0.3">
      <c r="A397" s="2" t="s">
        <v>70</v>
      </c>
      <c r="B397" s="3">
        <v>26</v>
      </c>
      <c r="C397" s="4" t="s">
        <v>37</v>
      </c>
      <c r="D397" s="2" t="s">
        <v>28</v>
      </c>
      <c r="E397" s="2" t="s">
        <v>42</v>
      </c>
      <c r="F397" s="5">
        <v>0</v>
      </c>
      <c r="G397" s="1">
        <v>0</v>
      </c>
      <c r="H397" s="2">
        <v>1</v>
      </c>
      <c r="I397" s="6">
        <v>1.3888888888888889E-3</v>
      </c>
      <c r="J397" s="2"/>
      <c r="K397" s="2"/>
      <c r="L397" s="2" t="s">
        <v>40</v>
      </c>
      <c r="M397" s="2" t="s">
        <v>78</v>
      </c>
      <c r="N397" s="2" t="s">
        <v>41</v>
      </c>
    </row>
    <row r="398" spans="1:14" x14ac:dyDescent="0.3">
      <c r="A398" s="2" t="s">
        <v>70</v>
      </c>
      <c r="B398" s="3">
        <v>8</v>
      </c>
      <c r="C398" s="4" t="s">
        <v>37</v>
      </c>
      <c r="D398" s="2" t="s">
        <v>32</v>
      </c>
      <c r="E398" s="2" t="s">
        <v>23</v>
      </c>
      <c r="F398" s="5">
        <v>0</v>
      </c>
      <c r="G398" s="1">
        <v>0</v>
      </c>
      <c r="H398" s="2">
        <v>5</v>
      </c>
      <c r="I398" s="6">
        <v>1.3888888888888889E-3</v>
      </c>
      <c r="J398" s="2"/>
      <c r="K398" s="2"/>
      <c r="L398" s="2" t="s">
        <v>48</v>
      </c>
      <c r="M398" s="2" t="s">
        <v>78</v>
      </c>
      <c r="N398" s="2" t="s">
        <v>63</v>
      </c>
    </row>
    <row r="399" spans="1:14" x14ac:dyDescent="0.3">
      <c r="A399" s="2" t="s">
        <v>70</v>
      </c>
      <c r="B399" s="3">
        <v>17</v>
      </c>
      <c r="C399" s="4" t="s">
        <v>44</v>
      </c>
      <c r="D399" s="2" t="s">
        <v>16</v>
      </c>
      <c r="E399" s="2" t="s">
        <v>42</v>
      </c>
      <c r="F399" s="5">
        <v>0</v>
      </c>
      <c r="G399" s="1">
        <v>0</v>
      </c>
      <c r="H399" s="2">
        <v>4</v>
      </c>
      <c r="I399" s="6">
        <v>1.3888888888888889E-3</v>
      </c>
      <c r="J399" s="2"/>
      <c r="K399" s="2"/>
      <c r="L399" s="2" t="s">
        <v>48</v>
      </c>
      <c r="M399" s="2" t="s">
        <v>66</v>
      </c>
      <c r="N399" s="2" t="s">
        <v>67</v>
      </c>
    </row>
    <row r="400" spans="1:14" x14ac:dyDescent="0.3">
      <c r="A400" s="2" t="s">
        <v>70</v>
      </c>
      <c r="B400" s="3">
        <v>11</v>
      </c>
      <c r="C400" s="4" t="s">
        <v>69</v>
      </c>
      <c r="D400" s="2" t="s">
        <v>28</v>
      </c>
      <c r="E400" s="2" t="s">
        <v>23</v>
      </c>
      <c r="F400" s="5">
        <v>0</v>
      </c>
      <c r="G400" s="1">
        <v>0</v>
      </c>
      <c r="H400" s="2">
        <v>2</v>
      </c>
      <c r="I400" s="6">
        <v>1.3888888888888889E-3</v>
      </c>
      <c r="J400" s="2"/>
      <c r="K400" s="2"/>
      <c r="L400" s="2" t="s">
        <v>51</v>
      </c>
      <c r="M400" s="2" t="s">
        <v>76</v>
      </c>
      <c r="N400" s="2" t="s">
        <v>52</v>
      </c>
    </row>
    <row r="401" spans="1:14" x14ac:dyDescent="0.3">
      <c r="A401" s="2" t="s">
        <v>70</v>
      </c>
      <c r="B401" s="3">
        <v>22</v>
      </c>
      <c r="C401" s="4" t="s">
        <v>69</v>
      </c>
      <c r="D401" s="2" t="s">
        <v>16</v>
      </c>
      <c r="E401" s="2" t="s">
        <v>45</v>
      </c>
      <c r="F401" s="5">
        <v>0</v>
      </c>
      <c r="G401" s="1">
        <v>0</v>
      </c>
      <c r="H401" s="2">
        <v>2</v>
      </c>
      <c r="I401" s="6">
        <v>1.3888888888888889E-3</v>
      </c>
      <c r="J401" s="2"/>
      <c r="K401" s="2"/>
      <c r="L401" s="2" t="s">
        <v>33</v>
      </c>
      <c r="M401" s="2" t="s">
        <v>76</v>
      </c>
      <c r="N401" s="2" t="s">
        <v>75</v>
      </c>
    </row>
    <row r="402" spans="1:14" x14ac:dyDescent="0.3">
      <c r="A402" s="2" t="s">
        <v>70</v>
      </c>
      <c r="B402" s="3">
        <v>1</v>
      </c>
      <c r="C402" s="4" t="s">
        <v>69</v>
      </c>
      <c r="D402" s="2" t="s">
        <v>28</v>
      </c>
      <c r="E402" s="2" t="s">
        <v>23</v>
      </c>
      <c r="F402" s="5">
        <v>0</v>
      </c>
      <c r="G402" s="1">
        <v>0</v>
      </c>
      <c r="H402" s="2">
        <v>3</v>
      </c>
      <c r="I402" s="6">
        <v>1.3888888888888889E-3</v>
      </c>
      <c r="J402" s="2"/>
      <c r="K402" s="2"/>
      <c r="L402" s="2" t="s">
        <v>20</v>
      </c>
      <c r="M402" s="2" t="s">
        <v>78</v>
      </c>
      <c r="N402" s="2" t="s">
        <v>53</v>
      </c>
    </row>
    <row r="403" spans="1:14" x14ac:dyDescent="0.3">
      <c r="A403" s="2" t="s">
        <v>70</v>
      </c>
      <c r="B403" s="3">
        <v>5</v>
      </c>
      <c r="C403" s="4" t="s">
        <v>15</v>
      </c>
      <c r="D403" s="2" t="s">
        <v>32</v>
      </c>
      <c r="E403" s="2" t="s">
        <v>17</v>
      </c>
      <c r="F403" s="5">
        <v>0</v>
      </c>
      <c r="G403" s="1">
        <v>0</v>
      </c>
      <c r="H403" s="2">
        <v>2</v>
      </c>
      <c r="I403" s="6">
        <v>1.3888888888888889E-3</v>
      </c>
      <c r="J403" s="2"/>
      <c r="K403" s="2"/>
      <c r="L403" s="2" t="s">
        <v>48</v>
      </c>
      <c r="M403" s="2" t="s">
        <v>76</v>
      </c>
      <c r="N403" s="2" t="s">
        <v>52</v>
      </c>
    </row>
    <row r="404" spans="1:14" x14ac:dyDescent="0.3">
      <c r="A404" s="2" t="s">
        <v>14</v>
      </c>
      <c r="B404" s="3">
        <v>11</v>
      </c>
      <c r="C404" s="4" t="s">
        <v>57</v>
      </c>
      <c r="D404" s="2" t="s">
        <v>16</v>
      </c>
      <c r="E404" s="2" t="s">
        <v>17</v>
      </c>
      <c r="F404" s="5">
        <v>2</v>
      </c>
      <c r="G404" s="1">
        <v>12000000</v>
      </c>
      <c r="H404" s="2">
        <v>3</v>
      </c>
      <c r="I404" s="6">
        <v>1.5046296296296294E-3</v>
      </c>
      <c r="J404" s="2" t="s">
        <v>18</v>
      </c>
      <c r="K404" s="2" t="s">
        <v>56</v>
      </c>
      <c r="L404" s="2" t="s">
        <v>48</v>
      </c>
      <c r="M404" s="2" t="s">
        <v>78</v>
      </c>
      <c r="N404" s="2" t="s">
        <v>63</v>
      </c>
    </row>
    <row r="405" spans="1:14" x14ac:dyDescent="0.3">
      <c r="A405" s="2" t="s">
        <v>14</v>
      </c>
      <c r="B405" s="3">
        <v>28</v>
      </c>
      <c r="C405" s="4" t="s">
        <v>72</v>
      </c>
      <c r="D405" s="2" t="s">
        <v>49</v>
      </c>
      <c r="E405" s="2" t="s">
        <v>42</v>
      </c>
      <c r="F405" s="5">
        <v>2</v>
      </c>
      <c r="G405" s="1">
        <v>12000000</v>
      </c>
      <c r="H405" s="2">
        <v>1</v>
      </c>
      <c r="I405" s="6">
        <v>1.5046296296296294E-3</v>
      </c>
      <c r="J405" s="2" t="s">
        <v>18</v>
      </c>
      <c r="K405" s="2" t="s">
        <v>19</v>
      </c>
      <c r="L405" s="2" t="s">
        <v>48</v>
      </c>
      <c r="M405" s="2" t="s">
        <v>77</v>
      </c>
      <c r="N405" s="2" t="s">
        <v>54</v>
      </c>
    </row>
    <row r="406" spans="1:14" x14ac:dyDescent="0.3">
      <c r="A406" s="2" t="s">
        <v>14</v>
      </c>
      <c r="B406" s="3">
        <v>12</v>
      </c>
      <c r="C406" s="4" t="s">
        <v>22</v>
      </c>
      <c r="D406" s="2" t="s">
        <v>28</v>
      </c>
      <c r="E406" s="2" t="s">
        <v>23</v>
      </c>
      <c r="F406" s="5">
        <v>2</v>
      </c>
      <c r="G406" s="1">
        <v>38000000</v>
      </c>
      <c r="H406" s="2">
        <v>4</v>
      </c>
      <c r="I406" s="6">
        <v>1.5046296296296294E-3</v>
      </c>
      <c r="J406" s="2" t="s">
        <v>46</v>
      </c>
      <c r="K406" s="2" t="s">
        <v>35</v>
      </c>
      <c r="L406" s="2" t="s">
        <v>33</v>
      </c>
      <c r="M406" s="2" t="s">
        <v>76</v>
      </c>
      <c r="N406" s="2" t="s">
        <v>52</v>
      </c>
    </row>
    <row r="407" spans="1:14" x14ac:dyDescent="0.3">
      <c r="A407" s="2" t="s">
        <v>14</v>
      </c>
      <c r="B407" s="3">
        <v>30</v>
      </c>
      <c r="C407" s="4" t="s">
        <v>27</v>
      </c>
      <c r="D407" s="2" t="s">
        <v>73</v>
      </c>
      <c r="E407" s="2" t="s">
        <v>42</v>
      </c>
      <c r="F407" s="5">
        <v>2</v>
      </c>
      <c r="G407" s="1">
        <v>12000000</v>
      </c>
      <c r="H407" s="2">
        <v>5</v>
      </c>
      <c r="I407" s="6">
        <v>1.5046296296296294E-3</v>
      </c>
      <c r="J407" s="2" t="s">
        <v>18</v>
      </c>
      <c r="K407" s="2" t="s">
        <v>39</v>
      </c>
      <c r="L407" s="2" t="s">
        <v>30</v>
      </c>
      <c r="M407" s="2" t="s">
        <v>76</v>
      </c>
      <c r="N407" s="2" t="s">
        <v>52</v>
      </c>
    </row>
    <row r="408" spans="1:14" x14ac:dyDescent="0.3">
      <c r="A408" s="2" t="s">
        <v>14</v>
      </c>
      <c r="B408" s="3">
        <v>14</v>
      </c>
      <c r="C408" s="4" t="s">
        <v>27</v>
      </c>
      <c r="D408" s="2" t="s">
        <v>73</v>
      </c>
      <c r="E408" s="2" t="s">
        <v>42</v>
      </c>
      <c r="F408" s="5">
        <v>1</v>
      </c>
      <c r="G408" s="1">
        <v>7000000</v>
      </c>
      <c r="H408" s="2">
        <v>1</v>
      </c>
      <c r="I408" s="6">
        <v>1.5046296296296294E-3</v>
      </c>
      <c r="J408" s="2" t="s">
        <v>18</v>
      </c>
      <c r="K408" s="2" t="s">
        <v>47</v>
      </c>
      <c r="L408" s="2" t="s">
        <v>25</v>
      </c>
      <c r="M408" s="2" t="s">
        <v>76</v>
      </c>
      <c r="N408" s="2" t="s">
        <v>31</v>
      </c>
    </row>
    <row r="409" spans="1:14" x14ac:dyDescent="0.3">
      <c r="A409" s="2" t="s">
        <v>14</v>
      </c>
      <c r="B409" s="3">
        <v>26</v>
      </c>
      <c r="C409" s="4" t="s">
        <v>27</v>
      </c>
      <c r="D409" s="2" t="s">
        <v>49</v>
      </c>
      <c r="E409" s="2" t="s">
        <v>23</v>
      </c>
      <c r="F409" s="5">
        <v>4</v>
      </c>
      <c r="G409" s="1">
        <v>20000000</v>
      </c>
      <c r="H409" s="2">
        <v>2</v>
      </c>
      <c r="I409" s="6">
        <v>1.5046296296296294E-3</v>
      </c>
      <c r="J409" s="2" t="s">
        <v>18</v>
      </c>
      <c r="K409" s="2" t="s">
        <v>56</v>
      </c>
      <c r="L409" s="2" t="s">
        <v>51</v>
      </c>
      <c r="M409" s="2" t="s">
        <v>78</v>
      </c>
      <c r="N409" s="2" t="s">
        <v>63</v>
      </c>
    </row>
    <row r="410" spans="1:14" x14ac:dyDescent="0.3">
      <c r="A410" s="2" t="s">
        <v>14</v>
      </c>
      <c r="B410" s="3">
        <v>5</v>
      </c>
      <c r="C410" s="4" t="s">
        <v>37</v>
      </c>
      <c r="D410" s="2" t="s">
        <v>28</v>
      </c>
      <c r="E410" s="2" t="s">
        <v>42</v>
      </c>
      <c r="F410" s="5">
        <v>1</v>
      </c>
      <c r="G410" s="1">
        <v>19000000</v>
      </c>
      <c r="H410" s="2">
        <v>1</v>
      </c>
      <c r="I410" s="6">
        <v>1.5046296296296294E-3</v>
      </c>
      <c r="J410" s="2" t="s">
        <v>46</v>
      </c>
      <c r="K410" s="2" t="s">
        <v>39</v>
      </c>
      <c r="L410" s="2" t="s">
        <v>43</v>
      </c>
      <c r="M410" s="2" t="s">
        <v>78</v>
      </c>
      <c r="N410" s="2" t="s">
        <v>63</v>
      </c>
    </row>
    <row r="411" spans="1:14" x14ac:dyDescent="0.3">
      <c r="A411" s="2" t="s">
        <v>14</v>
      </c>
      <c r="B411" s="3">
        <v>29</v>
      </c>
      <c r="C411" s="4" t="s">
        <v>37</v>
      </c>
      <c r="D411" s="2" t="s">
        <v>28</v>
      </c>
      <c r="E411" s="2" t="s">
        <v>23</v>
      </c>
      <c r="F411" s="5">
        <v>3</v>
      </c>
      <c r="G411" s="1">
        <v>15000000</v>
      </c>
      <c r="H411" s="2">
        <v>3</v>
      </c>
      <c r="I411" s="6">
        <v>1.5046296296296294E-3</v>
      </c>
      <c r="J411" s="2" t="s">
        <v>18</v>
      </c>
      <c r="K411" s="2" t="s">
        <v>64</v>
      </c>
      <c r="L411" s="2" t="s">
        <v>40</v>
      </c>
      <c r="M411" s="2" t="s">
        <v>66</v>
      </c>
      <c r="N411" s="2" t="s">
        <v>67</v>
      </c>
    </row>
    <row r="412" spans="1:14" x14ac:dyDescent="0.3">
      <c r="A412" s="2" t="s">
        <v>14</v>
      </c>
      <c r="B412" s="3">
        <v>2</v>
      </c>
      <c r="C412" s="4" t="s">
        <v>44</v>
      </c>
      <c r="D412" s="2" t="s">
        <v>16</v>
      </c>
      <c r="E412" s="2" t="s">
        <v>42</v>
      </c>
      <c r="F412" s="5">
        <v>4</v>
      </c>
      <c r="G412" s="1">
        <v>20000000</v>
      </c>
      <c r="H412" s="2">
        <v>4</v>
      </c>
      <c r="I412" s="6">
        <v>1.5046296296296294E-3</v>
      </c>
      <c r="J412" s="2" t="s">
        <v>61</v>
      </c>
      <c r="K412" s="2" t="s">
        <v>47</v>
      </c>
      <c r="L412" s="2" t="s">
        <v>40</v>
      </c>
      <c r="M412" s="2" t="s">
        <v>76</v>
      </c>
      <c r="N412" s="2" t="s">
        <v>52</v>
      </c>
    </row>
    <row r="413" spans="1:14" x14ac:dyDescent="0.3">
      <c r="A413" s="2" t="s">
        <v>14</v>
      </c>
      <c r="B413" s="3">
        <v>25</v>
      </c>
      <c r="C413" s="4" t="s">
        <v>44</v>
      </c>
      <c r="D413" s="2" t="s">
        <v>16</v>
      </c>
      <c r="E413" s="2" t="s">
        <v>17</v>
      </c>
      <c r="F413" s="5">
        <v>5</v>
      </c>
      <c r="G413" s="1">
        <v>25000000</v>
      </c>
      <c r="H413" s="2">
        <v>4</v>
      </c>
      <c r="I413" s="6">
        <v>1.5046296296296294E-3</v>
      </c>
      <c r="J413" s="2" t="s">
        <v>18</v>
      </c>
      <c r="K413" s="2" t="s">
        <v>19</v>
      </c>
      <c r="L413" s="2" t="s">
        <v>48</v>
      </c>
      <c r="M413" s="2" t="s">
        <v>78</v>
      </c>
      <c r="N413" s="2" t="s">
        <v>53</v>
      </c>
    </row>
    <row r="414" spans="1:14" x14ac:dyDescent="0.3">
      <c r="A414" s="2" t="s">
        <v>14</v>
      </c>
      <c r="B414" s="3">
        <v>17</v>
      </c>
      <c r="C414" s="4" t="s">
        <v>44</v>
      </c>
      <c r="D414" s="2" t="s">
        <v>32</v>
      </c>
      <c r="E414" s="2" t="s">
        <v>17</v>
      </c>
      <c r="F414" s="5">
        <v>5</v>
      </c>
      <c r="G414" s="1">
        <v>21000000</v>
      </c>
      <c r="H414" s="2">
        <v>1</v>
      </c>
      <c r="I414" s="6">
        <v>1.5046296296296294E-3</v>
      </c>
      <c r="J414" s="2" t="s">
        <v>18</v>
      </c>
      <c r="K414" s="2" t="s">
        <v>64</v>
      </c>
      <c r="L414" s="2" t="s">
        <v>51</v>
      </c>
      <c r="M414" s="2" t="s">
        <v>66</v>
      </c>
      <c r="N414" s="2" t="s">
        <v>36</v>
      </c>
    </row>
    <row r="415" spans="1:14" x14ac:dyDescent="0.3">
      <c r="A415" s="2" t="s">
        <v>14</v>
      </c>
      <c r="B415" s="3">
        <v>11</v>
      </c>
      <c r="C415" s="4" t="s">
        <v>57</v>
      </c>
      <c r="D415" s="2" t="s">
        <v>16</v>
      </c>
      <c r="E415" s="2" t="s">
        <v>17</v>
      </c>
      <c r="F415" s="5">
        <v>2</v>
      </c>
      <c r="G415" s="1">
        <v>12000000</v>
      </c>
      <c r="H415" s="2">
        <v>3</v>
      </c>
      <c r="I415" s="6">
        <v>1.5046296296296294E-3</v>
      </c>
      <c r="J415" s="2" t="s">
        <v>18</v>
      </c>
      <c r="K415" s="2" t="s">
        <v>56</v>
      </c>
      <c r="L415" s="2" t="s">
        <v>48</v>
      </c>
      <c r="M415" s="2" t="s">
        <v>78</v>
      </c>
      <c r="N415" s="2" t="s">
        <v>63</v>
      </c>
    </row>
    <row r="416" spans="1:14" x14ac:dyDescent="0.3">
      <c r="A416" s="2" t="s">
        <v>14</v>
      </c>
      <c r="B416" s="3">
        <v>28</v>
      </c>
      <c r="C416" s="4" t="s">
        <v>72</v>
      </c>
      <c r="D416" s="2" t="s">
        <v>49</v>
      </c>
      <c r="E416" s="2" t="s">
        <v>42</v>
      </c>
      <c r="F416" s="5">
        <v>2</v>
      </c>
      <c r="G416" s="1">
        <v>12000000</v>
      </c>
      <c r="H416" s="2">
        <v>1</v>
      </c>
      <c r="I416" s="6">
        <v>1.5046296296296294E-3</v>
      </c>
      <c r="J416" s="2" t="s">
        <v>18</v>
      </c>
      <c r="K416" s="2" t="s">
        <v>19</v>
      </c>
      <c r="L416" s="2" t="s">
        <v>48</v>
      </c>
      <c r="M416" s="2" t="s">
        <v>77</v>
      </c>
      <c r="N416" s="2" t="s">
        <v>54</v>
      </c>
    </row>
    <row r="417" spans="1:14" x14ac:dyDescent="0.3">
      <c r="A417" s="2" t="s">
        <v>14</v>
      </c>
      <c r="B417" s="3">
        <v>12</v>
      </c>
      <c r="C417" s="4" t="s">
        <v>22</v>
      </c>
      <c r="D417" s="2" t="s">
        <v>28</v>
      </c>
      <c r="E417" s="2" t="s">
        <v>23</v>
      </c>
      <c r="F417" s="5">
        <v>2</v>
      </c>
      <c r="G417" s="1">
        <v>38000000</v>
      </c>
      <c r="H417" s="2">
        <v>4</v>
      </c>
      <c r="I417" s="6">
        <v>1.5046296296296294E-3</v>
      </c>
      <c r="J417" s="2" t="s">
        <v>46</v>
      </c>
      <c r="K417" s="2" t="s">
        <v>35</v>
      </c>
      <c r="L417" s="2" t="s">
        <v>33</v>
      </c>
      <c r="M417" s="2" t="s">
        <v>76</v>
      </c>
      <c r="N417" s="2" t="s">
        <v>52</v>
      </c>
    </row>
    <row r="418" spans="1:14" x14ac:dyDescent="0.3">
      <c r="A418" s="2" t="s">
        <v>70</v>
      </c>
      <c r="B418" s="3">
        <v>30</v>
      </c>
      <c r="C418" s="4" t="s">
        <v>44</v>
      </c>
      <c r="D418" s="2" t="s">
        <v>16</v>
      </c>
      <c r="E418" s="2" t="s">
        <v>45</v>
      </c>
      <c r="F418" s="5">
        <v>0</v>
      </c>
      <c r="G418" s="1">
        <v>0</v>
      </c>
      <c r="H418" s="2">
        <v>2</v>
      </c>
      <c r="I418" s="6">
        <v>1.5046296296296294E-3</v>
      </c>
      <c r="J418" s="2"/>
      <c r="K418" s="2"/>
      <c r="L418" s="2" t="s">
        <v>33</v>
      </c>
      <c r="M418" s="2" t="s">
        <v>66</v>
      </c>
      <c r="N418" s="2" t="s">
        <v>36</v>
      </c>
    </row>
    <row r="419" spans="1:14" x14ac:dyDescent="0.3">
      <c r="A419" s="2" t="s">
        <v>70</v>
      </c>
      <c r="B419" s="3">
        <v>11</v>
      </c>
      <c r="C419" s="4" t="s">
        <v>44</v>
      </c>
      <c r="D419" s="2" t="s">
        <v>38</v>
      </c>
      <c r="E419" s="2" t="s">
        <v>23</v>
      </c>
      <c r="F419" s="5">
        <v>0</v>
      </c>
      <c r="G419" s="1">
        <v>0</v>
      </c>
      <c r="H419" s="2">
        <v>3</v>
      </c>
      <c r="I419" s="6">
        <v>1.5046296296296294E-3</v>
      </c>
      <c r="J419" s="2"/>
      <c r="K419" s="2"/>
      <c r="L419" s="2" t="s">
        <v>20</v>
      </c>
      <c r="M419" s="2" t="s">
        <v>76</v>
      </c>
      <c r="N419" s="2" t="s">
        <v>52</v>
      </c>
    </row>
    <row r="420" spans="1:14" x14ac:dyDescent="0.3">
      <c r="A420" s="2" t="s">
        <v>14</v>
      </c>
      <c r="B420" s="3">
        <v>11</v>
      </c>
      <c r="C420" s="4" t="s">
        <v>55</v>
      </c>
      <c r="D420" s="2" t="s">
        <v>49</v>
      </c>
      <c r="E420" s="2" t="s">
        <v>17</v>
      </c>
      <c r="F420" s="5">
        <v>5</v>
      </c>
      <c r="G420" s="1">
        <v>25000000</v>
      </c>
      <c r="H420" s="2">
        <v>3</v>
      </c>
      <c r="I420" s="6">
        <v>1.5277777777777779E-3</v>
      </c>
      <c r="J420" s="2" t="s">
        <v>18</v>
      </c>
      <c r="K420" s="2" t="s">
        <v>47</v>
      </c>
      <c r="L420" s="2" t="s">
        <v>20</v>
      </c>
      <c r="M420" s="2" t="s">
        <v>66</v>
      </c>
      <c r="N420" s="2" t="s">
        <v>36</v>
      </c>
    </row>
    <row r="421" spans="1:14" x14ac:dyDescent="0.3">
      <c r="A421" s="2" t="s">
        <v>14</v>
      </c>
      <c r="B421" s="3">
        <v>15</v>
      </c>
      <c r="C421" s="4" t="s">
        <v>55</v>
      </c>
      <c r="D421" s="2" t="s">
        <v>32</v>
      </c>
      <c r="E421" s="2" t="s">
        <v>42</v>
      </c>
      <c r="F421" s="5">
        <v>2</v>
      </c>
      <c r="G421" s="1">
        <v>12000000</v>
      </c>
      <c r="H421" s="2">
        <v>1</v>
      </c>
      <c r="I421" s="6">
        <v>1.5277777777777779E-3</v>
      </c>
      <c r="J421" s="2" t="s">
        <v>18</v>
      </c>
      <c r="K421" s="2" t="s">
        <v>29</v>
      </c>
      <c r="L421" s="2" t="s">
        <v>43</v>
      </c>
      <c r="M421" s="2" t="s">
        <v>76</v>
      </c>
      <c r="N421" s="2" t="s">
        <v>31</v>
      </c>
    </row>
    <row r="422" spans="1:14" x14ac:dyDescent="0.3">
      <c r="A422" s="2" t="s">
        <v>14</v>
      </c>
      <c r="B422" s="3">
        <v>14</v>
      </c>
      <c r="C422" s="4" t="s">
        <v>57</v>
      </c>
      <c r="D422" s="2" t="s">
        <v>28</v>
      </c>
      <c r="E422" s="2" t="s">
        <v>23</v>
      </c>
      <c r="F422" s="5">
        <v>2</v>
      </c>
      <c r="G422" s="1">
        <v>12000000</v>
      </c>
      <c r="H422" s="2">
        <v>1</v>
      </c>
      <c r="I422" s="6">
        <v>1.5277777777777779E-3</v>
      </c>
      <c r="J422" s="2" t="s">
        <v>18</v>
      </c>
      <c r="K422" s="2" t="s">
        <v>47</v>
      </c>
      <c r="L422" s="2" t="s">
        <v>30</v>
      </c>
      <c r="M422" s="2" t="s">
        <v>77</v>
      </c>
      <c r="N422" s="2" t="s">
        <v>65</v>
      </c>
    </row>
    <row r="423" spans="1:14" x14ac:dyDescent="0.3">
      <c r="A423" s="2" t="s">
        <v>14</v>
      </c>
      <c r="B423" s="3">
        <v>11</v>
      </c>
      <c r="C423" s="4" t="s">
        <v>57</v>
      </c>
      <c r="D423" s="2" t="s">
        <v>16</v>
      </c>
      <c r="E423" s="2" t="s">
        <v>42</v>
      </c>
      <c r="F423" s="5">
        <v>1</v>
      </c>
      <c r="G423" s="1">
        <v>7000000</v>
      </c>
      <c r="H423" s="2">
        <v>1</v>
      </c>
      <c r="I423" s="6">
        <v>1.5277777777777779E-3</v>
      </c>
      <c r="J423" s="2" t="s">
        <v>18</v>
      </c>
      <c r="K423" s="2" t="s">
        <v>39</v>
      </c>
      <c r="L423" s="2" t="s">
        <v>33</v>
      </c>
      <c r="M423" s="2" t="s">
        <v>76</v>
      </c>
      <c r="N423" s="2" t="s">
        <v>31</v>
      </c>
    </row>
    <row r="424" spans="1:14" x14ac:dyDescent="0.3">
      <c r="A424" s="2" t="s">
        <v>14</v>
      </c>
      <c r="B424" s="3">
        <v>1</v>
      </c>
      <c r="C424" s="4" t="s">
        <v>59</v>
      </c>
      <c r="D424" s="2" t="s">
        <v>28</v>
      </c>
      <c r="E424" s="2" t="s">
        <v>17</v>
      </c>
      <c r="F424" s="5">
        <v>4</v>
      </c>
      <c r="G424" s="1">
        <v>20000000</v>
      </c>
      <c r="H424" s="2">
        <v>2</v>
      </c>
      <c r="I424" s="6">
        <v>1.5277777777777779E-3</v>
      </c>
      <c r="J424" s="2" t="s">
        <v>61</v>
      </c>
      <c r="K424" s="2" t="s">
        <v>29</v>
      </c>
      <c r="L424" s="2" t="s">
        <v>25</v>
      </c>
      <c r="M424" s="2" t="s">
        <v>78</v>
      </c>
      <c r="N424" s="2" t="s">
        <v>53</v>
      </c>
    </row>
    <row r="425" spans="1:14" x14ac:dyDescent="0.3">
      <c r="A425" s="2" t="s">
        <v>14</v>
      </c>
      <c r="B425" s="3">
        <v>7</v>
      </c>
      <c r="C425" s="4" t="s">
        <v>59</v>
      </c>
      <c r="D425" s="2" t="s">
        <v>28</v>
      </c>
      <c r="E425" s="2" t="s">
        <v>42</v>
      </c>
      <c r="F425" s="5">
        <v>3</v>
      </c>
      <c r="G425" s="1">
        <v>15000000</v>
      </c>
      <c r="H425" s="2">
        <v>1</v>
      </c>
      <c r="I425" s="6">
        <v>1.5277777777777779E-3</v>
      </c>
      <c r="J425" s="2" t="s">
        <v>18</v>
      </c>
      <c r="K425" s="2" t="s">
        <v>47</v>
      </c>
      <c r="L425" s="2" t="s">
        <v>43</v>
      </c>
      <c r="M425" s="2" t="s">
        <v>78</v>
      </c>
      <c r="N425" s="2" t="s">
        <v>41</v>
      </c>
    </row>
    <row r="426" spans="1:14" x14ac:dyDescent="0.3">
      <c r="A426" s="2" t="s">
        <v>14</v>
      </c>
      <c r="B426" s="3">
        <v>1</v>
      </c>
      <c r="C426" s="4" t="s">
        <v>59</v>
      </c>
      <c r="D426" s="2" t="s">
        <v>32</v>
      </c>
      <c r="E426" s="2" t="s">
        <v>23</v>
      </c>
      <c r="F426" s="5">
        <v>3</v>
      </c>
      <c r="G426" s="1">
        <v>15000000</v>
      </c>
      <c r="H426" s="2">
        <v>2</v>
      </c>
      <c r="I426" s="6">
        <v>1.5277777777777779E-3</v>
      </c>
      <c r="J426" s="2" t="s">
        <v>18</v>
      </c>
      <c r="K426" s="2" t="s">
        <v>19</v>
      </c>
      <c r="L426" s="2" t="s">
        <v>51</v>
      </c>
      <c r="M426" s="2" t="s">
        <v>76</v>
      </c>
      <c r="N426" s="2" t="s">
        <v>52</v>
      </c>
    </row>
    <row r="427" spans="1:14" x14ac:dyDescent="0.3">
      <c r="A427" s="2" t="s">
        <v>14</v>
      </c>
      <c r="B427" s="3">
        <v>6</v>
      </c>
      <c r="C427" s="4" t="s">
        <v>72</v>
      </c>
      <c r="D427" s="2" t="s">
        <v>49</v>
      </c>
      <c r="E427" s="2" t="s">
        <v>42</v>
      </c>
      <c r="F427" s="5">
        <v>2</v>
      </c>
      <c r="G427" s="1">
        <v>38000000</v>
      </c>
      <c r="H427" s="2">
        <v>1</v>
      </c>
      <c r="I427" s="6">
        <v>1.5277777777777779E-3</v>
      </c>
      <c r="J427" s="2" t="s">
        <v>46</v>
      </c>
      <c r="K427" s="2" t="s">
        <v>29</v>
      </c>
      <c r="L427" s="2" t="s">
        <v>20</v>
      </c>
      <c r="M427" s="2" t="s">
        <v>78</v>
      </c>
      <c r="N427" s="2" t="s">
        <v>62</v>
      </c>
    </row>
    <row r="428" spans="1:14" x14ac:dyDescent="0.3">
      <c r="A428" s="2" t="s">
        <v>14</v>
      </c>
      <c r="B428" s="3">
        <v>31</v>
      </c>
      <c r="C428" s="4" t="s">
        <v>22</v>
      </c>
      <c r="D428" s="2" t="s">
        <v>28</v>
      </c>
      <c r="E428" s="2" t="s">
        <v>23</v>
      </c>
      <c r="F428" s="5">
        <v>1</v>
      </c>
      <c r="G428" s="1">
        <v>19000000</v>
      </c>
      <c r="H428" s="2">
        <v>2</v>
      </c>
      <c r="I428" s="6">
        <v>1.5277777777777779E-3</v>
      </c>
      <c r="J428" s="2" t="s">
        <v>46</v>
      </c>
      <c r="K428" s="2" t="s">
        <v>19</v>
      </c>
      <c r="L428" s="2" t="s">
        <v>30</v>
      </c>
      <c r="M428" s="2" t="s">
        <v>76</v>
      </c>
      <c r="N428" s="2" t="s">
        <v>52</v>
      </c>
    </row>
    <row r="429" spans="1:14" x14ac:dyDescent="0.3">
      <c r="A429" s="2" t="s">
        <v>14</v>
      </c>
      <c r="B429" s="3">
        <v>12</v>
      </c>
      <c r="C429" s="4" t="s">
        <v>22</v>
      </c>
      <c r="D429" s="2" t="s">
        <v>28</v>
      </c>
      <c r="E429" s="2" t="s">
        <v>42</v>
      </c>
      <c r="F429" s="5">
        <v>2</v>
      </c>
      <c r="G429" s="1">
        <v>10000000</v>
      </c>
      <c r="H429" s="2">
        <v>4</v>
      </c>
      <c r="I429" s="6">
        <v>1.5277777777777779E-3</v>
      </c>
      <c r="J429" s="2" t="s">
        <v>18</v>
      </c>
      <c r="K429" s="2" t="s">
        <v>24</v>
      </c>
      <c r="L429" s="2" t="s">
        <v>40</v>
      </c>
      <c r="M429" s="2" t="s">
        <v>66</v>
      </c>
      <c r="N429" s="2" t="s">
        <v>36</v>
      </c>
    </row>
    <row r="430" spans="1:14" x14ac:dyDescent="0.3">
      <c r="A430" s="2" t="s">
        <v>14</v>
      </c>
      <c r="B430" s="3">
        <v>28</v>
      </c>
      <c r="C430" s="4" t="s">
        <v>27</v>
      </c>
      <c r="D430" s="2" t="s">
        <v>73</v>
      </c>
      <c r="E430" s="2" t="s">
        <v>68</v>
      </c>
      <c r="F430" s="5">
        <v>5</v>
      </c>
      <c r="G430" s="1">
        <v>21000000</v>
      </c>
      <c r="H430" s="2">
        <v>3</v>
      </c>
      <c r="I430" s="6">
        <v>1.5277777777777779E-3</v>
      </c>
      <c r="J430" s="2" t="s">
        <v>18</v>
      </c>
      <c r="K430" s="2" t="s">
        <v>56</v>
      </c>
      <c r="L430" s="2" t="s">
        <v>40</v>
      </c>
      <c r="M430" s="2" t="s">
        <v>76</v>
      </c>
      <c r="N430" s="2" t="s">
        <v>75</v>
      </c>
    </row>
    <row r="431" spans="1:14" x14ac:dyDescent="0.3">
      <c r="A431" s="2" t="s">
        <v>14</v>
      </c>
      <c r="B431" s="3">
        <v>2</v>
      </c>
      <c r="C431" s="4" t="s">
        <v>27</v>
      </c>
      <c r="D431" s="2" t="s">
        <v>16</v>
      </c>
      <c r="E431" s="2" t="s">
        <v>45</v>
      </c>
      <c r="F431" s="5">
        <v>2</v>
      </c>
      <c r="G431" s="1">
        <v>10000000</v>
      </c>
      <c r="H431" s="2">
        <v>2</v>
      </c>
      <c r="I431" s="6">
        <v>1.5277777777777779E-3</v>
      </c>
      <c r="J431" s="2" t="s">
        <v>18</v>
      </c>
      <c r="K431" s="2" t="s">
        <v>47</v>
      </c>
      <c r="L431" s="2" t="s">
        <v>30</v>
      </c>
      <c r="M431" s="2" t="s">
        <v>76</v>
      </c>
      <c r="N431" s="2" t="s">
        <v>31</v>
      </c>
    </row>
    <row r="432" spans="1:14" x14ac:dyDescent="0.3">
      <c r="A432" s="2" t="s">
        <v>14</v>
      </c>
      <c r="B432" s="3">
        <v>21</v>
      </c>
      <c r="C432" s="4" t="s">
        <v>27</v>
      </c>
      <c r="D432" s="2" t="s">
        <v>32</v>
      </c>
      <c r="E432" s="2" t="s">
        <v>23</v>
      </c>
      <c r="F432" s="5">
        <v>2</v>
      </c>
      <c r="G432" s="1">
        <v>12000000</v>
      </c>
      <c r="H432" s="2">
        <v>3</v>
      </c>
      <c r="I432" s="6">
        <v>1.5277777777777779E-3</v>
      </c>
      <c r="J432" s="2" t="s">
        <v>18</v>
      </c>
      <c r="K432" s="2" t="s">
        <v>19</v>
      </c>
      <c r="L432" s="2" t="s">
        <v>30</v>
      </c>
      <c r="M432" s="2" t="s">
        <v>77</v>
      </c>
      <c r="N432" s="2" t="s">
        <v>54</v>
      </c>
    </row>
    <row r="433" spans="1:14" x14ac:dyDescent="0.3">
      <c r="A433" s="2" t="s">
        <v>14</v>
      </c>
      <c r="B433" s="3">
        <v>30</v>
      </c>
      <c r="C433" s="4" t="s">
        <v>27</v>
      </c>
      <c r="D433" s="2" t="s">
        <v>28</v>
      </c>
      <c r="E433" s="2" t="s">
        <v>17</v>
      </c>
      <c r="F433" s="5">
        <v>4</v>
      </c>
      <c r="G433" s="1">
        <v>15000000</v>
      </c>
      <c r="H433" s="2">
        <v>1</v>
      </c>
      <c r="I433" s="6">
        <v>1.5277777777777779E-3</v>
      </c>
      <c r="J433" s="2" t="s">
        <v>18</v>
      </c>
      <c r="K433" s="2" t="s">
        <v>39</v>
      </c>
      <c r="L433" s="2" t="s">
        <v>25</v>
      </c>
      <c r="M433" s="2" t="s">
        <v>76</v>
      </c>
      <c r="N433" s="2" t="s">
        <v>75</v>
      </c>
    </row>
    <row r="434" spans="1:14" x14ac:dyDescent="0.3">
      <c r="A434" s="2" t="s">
        <v>14</v>
      </c>
      <c r="B434" s="3">
        <v>24</v>
      </c>
      <c r="C434" s="4" t="s">
        <v>27</v>
      </c>
      <c r="D434" s="2" t="s">
        <v>73</v>
      </c>
      <c r="E434" s="2" t="s">
        <v>42</v>
      </c>
      <c r="F434" s="5">
        <v>5</v>
      </c>
      <c r="G434" s="1">
        <v>25000000</v>
      </c>
      <c r="H434" s="2">
        <v>2</v>
      </c>
      <c r="I434" s="6">
        <v>1.5277777777777779E-3</v>
      </c>
      <c r="J434" s="2" t="s">
        <v>18</v>
      </c>
      <c r="K434" s="2" t="s">
        <v>19</v>
      </c>
      <c r="L434" s="2" t="s">
        <v>33</v>
      </c>
      <c r="M434" s="2" t="s">
        <v>66</v>
      </c>
      <c r="N434" s="2" t="s">
        <v>36</v>
      </c>
    </row>
    <row r="435" spans="1:14" x14ac:dyDescent="0.3">
      <c r="A435" s="2" t="s">
        <v>14</v>
      </c>
      <c r="B435" s="3">
        <v>24</v>
      </c>
      <c r="C435" s="4" t="s">
        <v>27</v>
      </c>
      <c r="D435" s="2" t="s">
        <v>38</v>
      </c>
      <c r="E435" s="2" t="s">
        <v>23</v>
      </c>
      <c r="F435" s="5">
        <v>3</v>
      </c>
      <c r="G435" s="1">
        <v>15000000</v>
      </c>
      <c r="H435" s="2">
        <v>2</v>
      </c>
      <c r="I435" s="6">
        <v>1.5277777777777779E-3</v>
      </c>
      <c r="J435" s="2" t="s">
        <v>18</v>
      </c>
      <c r="K435" s="2" t="s">
        <v>50</v>
      </c>
      <c r="L435" s="2" t="s">
        <v>40</v>
      </c>
      <c r="M435" s="2" t="s">
        <v>76</v>
      </c>
      <c r="N435" s="2" t="s">
        <v>26</v>
      </c>
    </row>
    <row r="436" spans="1:14" x14ac:dyDescent="0.3">
      <c r="A436" s="2" t="s">
        <v>14</v>
      </c>
      <c r="B436" s="3">
        <v>30</v>
      </c>
      <c r="C436" s="4" t="s">
        <v>27</v>
      </c>
      <c r="D436" s="2" t="s">
        <v>49</v>
      </c>
      <c r="E436" s="2" t="s">
        <v>17</v>
      </c>
      <c r="F436" s="5">
        <v>2</v>
      </c>
      <c r="G436" s="1">
        <v>12000000</v>
      </c>
      <c r="H436" s="2">
        <v>2</v>
      </c>
      <c r="I436" s="6">
        <v>1.5277777777777779E-3</v>
      </c>
      <c r="J436" s="2" t="s">
        <v>18</v>
      </c>
      <c r="K436" s="2" t="s">
        <v>47</v>
      </c>
      <c r="L436" s="2" t="s">
        <v>20</v>
      </c>
      <c r="M436" s="2" t="s">
        <v>77</v>
      </c>
      <c r="N436" s="2" t="s">
        <v>65</v>
      </c>
    </row>
    <row r="437" spans="1:14" x14ac:dyDescent="0.3">
      <c r="A437" s="2" t="s">
        <v>14</v>
      </c>
      <c r="B437" s="3">
        <v>22</v>
      </c>
      <c r="C437" s="4" t="s">
        <v>27</v>
      </c>
      <c r="D437" s="2" t="s">
        <v>49</v>
      </c>
      <c r="E437" s="2" t="s">
        <v>17</v>
      </c>
      <c r="F437" s="5">
        <v>3</v>
      </c>
      <c r="G437" s="1">
        <v>12000000</v>
      </c>
      <c r="H437" s="2">
        <v>2</v>
      </c>
      <c r="I437" s="6">
        <v>1.5277777777777779E-3</v>
      </c>
      <c r="J437" s="2" t="s">
        <v>18</v>
      </c>
      <c r="K437" s="2" t="s">
        <v>19</v>
      </c>
      <c r="L437" s="2" t="s">
        <v>43</v>
      </c>
      <c r="M437" s="2" t="s">
        <v>77</v>
      </c>
      <c r="N437" s="2" t="s">
        <v>54</v>
      </c>
    </row>
    <row r="438" spans="1:14" x14ac:dyDescent="0.3">
      <c r="A438" s="2" t="s">
        <v>14</v>
      </c>
      <c r="B438" s="3">
        <v>26</v>
      </c>
      <c r="C438" s="4" t="s">
        <v>27</v>
      </c>
      <c r="D438" s="2" t="s">
        <v>32</v>
      </c>
      <c r="E438" s="2" t="s">
        <v>68</v>
      </c>
      <c r="F438" s="5">
        <v>5</v>
      </c>
      <c r="G438" s="1">
        <v>25000000</v>
      </c>
      <c r="H438" s="2">
        <v>3</v>
      </c>
      <c r="I438" s="6">
        <v>1.5277777777777779E-3</v>
      </c>
      <c r="J438" s="2" t="s">
        <v>18</v>
      </c>
      <c r="K438" s="2" t="s">
        <v>56</v>
      </c>
      <c r="L438" s="2" t="s">
        <v>48</v>
      </c>
      <c r="M438" s="2" t="s">
        <v>76</v>
      </c>
      <c r="N438" s="2" t="s">
        <v>52</v>
      </c>
    </row>
    <row r="439" spans="1:14" x14ac:dyDescent="0.3">
      <c r="A439" s="2" t="s">
        <v>14</v>
      </c>
      <c r="B439" s="3">
        <v>29</v>
      </c>
      <c r="C439" s="4" t="s">
        <v>37</v>
      </c>
      <c r="D439" s="2" t="s">
        <v>32</v>
      </c>
      <c r="E439" s="2" t="s">
        <v>42</v>
      </c>
      <c r="F439" s="5">
        <v>1</v>
      </c>
      <c r="G439" s="1">
        <v>19000000</v>
      </c>
      <c r="H439" s="2">
        <v>4</v>
      </c>
      <c r="I439" s="6">
        <v>1.5277777777777779E-3</v>
      </c>
      <c r="J439" s="2" t="s">
        <v>46</v>
      </c>
      <c r="K439" s="2" t="s">
        <v>35</v>
      </c>
      <c r="L439" s="2" t="s">
        <v>48</v>
      </c>
      <c r="M439" s="2" t="s">
        <v>78</v>
      </c>
      <c r="N439" s="2" t="s">
        <v>53</v>
      </c>
    </row>
    <row r="440" spans="1:14" x14ac:dyDescent="0.3">
      <c r="A440" s="2" t="s">
        <v>14</v>
      </c>
      <c r="B440" s="3">
        <v>20</v>
      </c>
      <c r="C440" s="4" t="s">
        <v>37</v>
      </c>
      <c r="D440" s="2" t="s">
        <v>28</v>
      </c>
      <c r="E440" s="2" t="s">
        <v>42</v>
      </c>
      <c r="F440" s="5">
        <v>2</v>
      </c>
      <c r="G440" s="1">
        <v>38000000</v>
      </c>
      <c r="H440" s="2">
        <v>5</v>
      </c>
      <c r="I440" s="6">
        <v>1.5277777777777779E-3</v>
      </c>
      <c r="J440" s="2" t="s">
        <v>46</v>
      </c>
      <c r="K440" s="2" t="s">
        <v>19</v>
      </c>
      <c r="L440" s="2" t="s">
        <v>51</v>
      </c>
      <c r="M440" s="2" t="s">
        <v>78</v>
      </c>
      <c r="N440" s="2" t="s">
        <v>41</v>
      </c>
    </row>
    <row r="441" spans="1:14" x14ac:dyDescent="0.3">
      <c r="A441" s="2" t="s">
        <v>14</v>
      </c>
      <c r="B441" s="3">
        <v>4</v>
      </c>
      <c r="C441" s="4" t="s">
        <v>37</v>
      </c>
      <c r="D441" s="2" t="s">
        <v>32</v>
      </c>
      <c r="E441" s="2" t="s">
        <v>17</v>
      </c>
      <c r="F441" s="5">
        <v>5</v>
      </c>
      <c r="G441" s="1">
        <v>20000000</v>
      </c>
      <c r="H441" s="2">
        <v>2</v>
      </c>
      <c r="I441" s="6">
        <v>1.5277777777777779E-3</v>
      </c>
      <c r="J441" s="2" t="s">
        <v>18</v>
      </c>
      <c r="K441" s="2" t="s">
        <v>24</v>
      </c>
      <c r="L441" s="2" t="s">
        <v>30</v>
      </c>
      <c r="M441" s="2" t="s">
        <v>78</v>
      </c>
      <c r="N441" s="2" t="s">
        <v>63</v>
      </c>
    </row>
    <row r="442" spans="1:14" x14ac:dyDescent="0.3">
      <c r="A442" s="2" t="s">
        <v>14</v>
      </c>
      <c r="B442" s="3">
        <v>20</v>
      </c>
      <c r="C442" s="4" t="s">
        <v>37</v>
      </c>
      <c r="D442" s="2" t="s">
        <v>32</v>
      </c>
      <c r="E442" s="2" t="s">
        <v>23</v>
      </c>
      <c r="F442" s="5">
        <v>2</v>
      </c>
      <c r="G442" s="1">
        <v>12000000</v>
      </c>
      <c r="H442" s="2">
        <v>2</v>
      </c>
      <c r="I442" s="6">
        <v>1.5277777777777779E-3</v>
      </c>
      <c r="J442" s="2" t="s">
        <v>18</v>
      </c>
      <c r="K442" s="2" t="s">
        <v>19</v>
      </c>
      <c r="L442" s="2" t="s">
        <v>30</v>
      </c>
      <c r="M442" s="2" t="s">
        <v>66</v>
      </c>
      <c r="N442" s="2" t="s">
        <v>67</v>
      </c>
    </row>
    <row r="443" spans="1:14" x14ac:dyDescent="0.3">
      <c r="A443" s="2" t="s">
        <v>14</v>
      </c>
      <c r="B443" s="3">
        <v>22</v>
      </c>
      <c r="C443" s="4" t="s">
        <v>37</v>
      </c>
      <c r="D443" s="2" t="s">
        <v>49</v>
      </c>
      <c r="E443" s="2" t="s">
        <v>42</v>
      </c>
      <c r="F443" s="5">
        <v>1</v>
      </c>
      <c r="G443" s="1">
        <v>7000000</v>
      </c>
      <c r="H443" s="2">
        <v>1</v>
      </c>
      <c r="I443" s="6">
        <v>1.5277777777777779E-3</v>
      </c>
      <c r="J443" s="2" t="s">
        <v>18</v>
      </c>
      <c r="K443" s="2" t="s">
        <v>39</v>
      </c>
      <c r="L443" s="2" t="s">
        <v>33</v>
      </c>
      <c r="M443" s="2" t="s">
        <v>78</v>
      </c>
      <c r="N443" s="2" t="s">
        <v>41</v>
      </c>
    </row>
    <row r="444" spans="1:14" x14ac:dyDescent="0.3">
      <c r="A444" s="2" t="s">
        <v>14</v>
      </c>
      <c r="B444" s="3">
        <v>30</v>
      </c>
      <c r="C444" s="4" t="s">
        <v>37</v>
      </c>
      <c r="D444" s="2" t="s">
        <v>38</v>
      </c>
      <c r="E444" s="2" t="s">
        <v>23</v>
      </c>
      <c r="F444" s="5">
        <v>3</v>
      </c>
      <c r="G444" s="1">
        <v>15000000</v>
      </c>
      <c r="H444" s="2">
        <v>2</v>
      </c>
      <c r="I444" s="6">
        <v>1.5277777777777779E-3</v>
      </c>
      <c r="J444" s="2" t="s">
        <v>18</v>
      </c>
      <c r="K444" s="2" t="s">
        <v>56</v>
      </c>
      <c r="L444" s="2" t="s">
        <v>48</v>
      </c>
      <c r="M444" s="2" t="s">
        <v>76</v>
      </c>
      <c r="N444" s="2" t="s">
        <v>26</v>
      </c>
    </row>
    <row r="445" spans="1:14" x14ac:dyDescent="0.3">
      <c r="A445" s="2" t="s">
        <v>14</v>
      </c>
      <c r="B445" s="3">
        <v>3</v>
      </c>
      <c r="C445" s="4" t="s">
        <v>37</v>
      </c>
      <c r="D445" s="2" t="s">
        <v>16</v>
      </c>
      <c r="E445" s="2" t="s">
        <v>17</v>
      </c>
      <c r="F445" s="5">
        <v>3</v>
      </c>
      <c r="G445" s="1">
        <v>15000000</v>
      </c>
      <c r="H445" s="2">
        <v>2</v>
      </c>
      <c r="I445" s="6">
        <v>1.5277777777777779E-3</v>
      </c>
      <c r="J445" s="2" t="s">
        <v>18</v>
      </c>
      <c r="K445" s="2" t="s">
        <v>19</v>
      </c>
      <c r="L445" s="2" t="s">
        <v>25</v>
      </c>
      <c r="M445" s="2" t="s">
        <v>78</v>
      </c>
      <c r="N445" s="2" t="s">
        <v>62</v>
      </c>
    </row>
    <row r="446" spans="1:14" x14ac:dyDescent="0.3">
      <c r="A446" s="2" t="s">
        <v>14</v>
      </c>
      <c r="B446" s="3">
        <v>8</v>
      </c>
      <c r="C446" s="4" t="s">
        <v>37</v>
      </c>
      <c r="D446" s="2" t="s">
        <v>16</v>
      </c>
      <c r="E446" s="2" t="s">
        <v>45</v>
      </c>
      <c r="F446" s="5">
        <v>4</v>
      </c>
      <c r="G446" s="1">
        <v>20000000</v>
      </c>
      <c r="H446" s="2">
        <v>3</v>
      </c>
      <c r="I446" s="6">
        <v>1.5277777777777779E-3</v>
      </c>
      <c r="J446" s="2" t="s">
        <v>18</v>
      </c>
      <c r="K446" s="2" t="s">
        <v>29</v>
      </c>
      <c r="L446" s="2" t="s">
        <v>48</v>
      </c>
      <c r="M446" s="2" t="s">
        <v>77</v>
      </c>
      <c r="N446" s="2" t="s">
        <v>54</v>
      </c>
    </row>
    <row r="447" spans="1:14" x14ac:dyDescent="0.3">
      <c r="A447" s="2" t="s">
        <v>14</v>
      </c>
      <c r="B447" s="3">
        <v>23</v>
      </c>
      <c r="C447" s="4" t="s">
        <v>37</v>
      </c>
      <c r="D447" s="2" t="s">
        <v>16</v>
      </c>
      <c r="E447" s="2" t="s">
        <v>42</v>
      </c>
      <c r="F447" s="5">
        <v>3</v>
      </c>
      <c r="G447" s="1">
        <v>15000000</v>
      </c>
      <c r="H447" s="2">
        <v>1</v>
      </c>
      <c r="I447" s="6">
        <v>1.5277777777777779E-3</v>
      </c>
      <c r="J447" s="2" t="s">
        <v>18</v>
      </c>
      <c r="K447" s="2" t="s">
        <v>29</v>
      </c>
      <c r="L447" s="2" t="s">
        <v>51</v>
      </c>
      <c r="M447" s="2" t="s">
        <v>66</v>
      </c>
      <c r="N447" s="2" t="s">
        <v>67</v>
      </c>
    </row>
    <row r="448" spans="1:14" x14ac:dyDescent="0.3">
      <c r="A448" s="2" t="s">
        <v>14</v>
      </c>
      <c r="B448" s="3">
        <v>22</v>
      </c>
      <c r="C448" s="4" t="s">
        <v>44</v>
      </c>
      <c r="D448" s="2" t="s">
        <v>32</v>
      </c>
      <c r="E448" s="2" t="s">
        <v>42</v>
      </c>
      <c r="F448" s="5">
        <v>2</v>
      </c>
      <c r="G448" s="1">
        <v>38000000</v>
      </c>
      <c r="H448" s="2">
        <v>3</v>
      </c>
      <c r="I448" s="6">
        <v>1.5277777777777779E-3</v>
      </c>
      <c r="J448" s="2" t="s">
        <v>46</v>
      </c>
      <c r="K448" s="2" t="s">
        <v>64</v>
      </c>
      <c r="L448" s="2" t="s">
        <v>25</v>
      </c>
      <c r="M448" s="2" t="s">
        <v>78</v>
      </c>
      <c r="N448" s="2" t="s">
        <v>62</v>
      </c>
    </row>
    <row r="449" spans="1:14" x14ac:dyDescent="0.3">
      <c r="A449" s="2" t="s">
        <v>14</v>
      </c>
      <c r="B449" s="3">
        <v>3</v>
      </c>
      <c r="C449" s="4" t="s">
        <v>44</v>
      </c>
      <c r="D449" s="2" t="s">
        <v>32</v>
      </c>
      <c r="E449" s="2" t="s">
        <v>23</v>
      </c>
      <c r="F449" s="5">
        <v>1</v>
      </c>
      <c r="G449" s="1">
        <v>19000000</v>
      </c>
      <c r="H449" s="2">
        <v>3</v>
      </c>
      <c r="I449" s="6">
        <v>1.5277777777777779E-3</v>
      </c>
      <c r="J449" s="2" t="s">
        <v>46</v>
      </c>
      <c r="K449" s="2" t="s">
        <v>29</v>
      </c>
      <c r="L449" s="2" t="s">
        <v>48</v>
      </c>
      <c r="M449" s="2" t="s">
        <v>76</v>
      </c>
      <c r="N449" s="2" t="s">
        <v>31</v>
      </c>
    </row>
    <row r="450" spans="1:14" x14ac:dyDescent="0.3">
      <c r="A450" s="2" t="s">
        <v>14</v>
      </c>
      <c r="B450" s="3">
        <v>6</v>
      </c>
      <c r="C450" s="4" t="s">
        <v>44</v>
      </c>
      <c r="D450" s="2" t="s">
        <v>32</v>
      </c>
      <c r="E450" s="2" t="s">
        <v>23</v>
      </c>
      <c r="F450" s="5">
        <v>3</v>
      </c>
      <c r="G450" s="1">
        <v>11000000</v>
      </c>
      <c r="H450" s="2">
        <v>5</v>
      </c>
      <c r="I450" s="6">
        <v>1.5277777777777779E-3</v>
      </c>
      <c r="J450" s="2" t="s">
        <v>18</v>
      </c>
      <c r="K450" s="2" t="s">
        <v>50</v>
      </c>
      <c r="L450" s="2" t="s">
        <v>30</v>
      </c>
      <c r="M450" s="2" t="s">
        <v>66</v>
      </c>
      <c r="N450" s="2" t="s">
        <v>67</v>
      </c>
    </row>
    <row r="451" spans="1:14" x14ac:dyDescent="0.3">
      <c r="A451" s="2" t="s">
        <v>14</v>
      </c>
      <c r="B451" s="3">
        <v>22</v>
      </c>
      <c r="C451" s="4" t="s">
        <v>44</v>
      </c>
      <c r="D451" s="2" t="s">
        <v>32</v>
      </c>
      <c r="E451" s="2" t="s">
        <v>42</v>
      </c>
      <c r="F451" s="5">
        <v>5</v>
      </c>
      <c r="G451" s="1">
        <v>25000000</v>
      </c>
      <c r="H451" s="2">
        <v>2</v>
      </c>
      <c r="I451" s="6">
        <v>1.5277777777777779E-3</v>
      </c>
      <c r="J451" s="2" t="s">
        <v>18</v>
      </c>
      <c r="K451" s="2" t="s">
        <v>39</v>
      </c>
      <c r="L451" s="2" t="s">
        <v>43</v>
      </c>
      <c r="M451" s="2" t="s">
        <v>78</v>
      </c>
      <c r="N451" s="2" t="s">
        <v>41</v>
      </c>
    </row>
    <row r="452" spans="1:14" x14ac:dyDescent="0.3">
      <c r="A452" s="2" t="s">
        <v>14</v>
      </c>
      <c r="B452" s="3">
        <v>22</v>
      </c>
      <c r="C452" s="4" t="s">
        <v>44</v>
      </c>
      <c r="D452" s="2" t="s">
        <v>49</v>
      </c>
      <c r="E452" s="2" t="s">
        <v>17</v>
      </c>
      <c r="F452" s="5">
        <v>2</v>
      </c>
      <c r="G452" s="1">
        <v>12000000</v>
      </c>
      <c r="H452" s="2">
        <v>1</v>
      </c>
      <c r="I452" s="6">
        <v>1.5277777777777779E-3</v>
      </c>
      <c r="J452" s="2" t="s">
        <v>18</v>
      </c>
      <c r="K452" s="2" t="s">
        <v>64</v>
      </c>
      <c r="L452" s="2" t="s">
        <v>33</v>
      </c>
      <c r="M452" s="2" t="s">
        <v>78</v>
      </c>
      <c r="N452" s="2" t="s">
        <v>62</v>
      </c>
    </row>
    <row r="453" spans="1:14" x14ac:dyDescent="0.3">
      <c r="A453" s="2" t="s">
        <v>14</v>
      </c>
      <c r="B453" s="3">
        <v>11</v>
      </c>
      <c r="C453" s="4" t="s">
        <v>44</v>
      </c>
      <c r="D453" s="2" t="s">
        <v>28</v>
      </c>
      <c r="E453" s="2" t="s">
        <v>42</v>
      </c>
      <c r="F453" s="5">
        <v>3</v>
      </c>
      <c r="G453" s="1">
        <v>15000000</v>
      </c>
      <c r="H453" s="2">
        <v>1</v>
      </c>
      <c r="I453" s="6">
        <v>1.5277777777777779E-3</v>
      </c>
      <c r="J453" s="2" t="s">
        <v>18</v>
      </c>
      <c r="K453" s="2" t="s">
        <v>50</v>
      </c>
      <c r="L453" s="2" t="s">
        <v>48</v>
      </c>
      <c r="M453" s="2" t="s">
        <v>78</v>
      </c>
      <c r="N453" s="2" t="s">
        <v>41</v>
      </c>
    </row>
    <row r="454" spans="1:14" x14ac:dyDescent="0.3">
      <c r="A454" s="2" t="s">
        <v>14</v>
      </c>
      <c r="B454" s="3">
        <v>17</v>
      </c>
      <c r="C454" s="4" t="s">
        <v>44</v>
      </c>
      <c r="D454" s="2" t="s">
        <v>16</v>
      </c>
      <c r="E454" s="2" t="s">
        <v>23</v>
      </c>
      <c r="F454" s="5">
        <v>3</v>
      </c>
      <c r="G454" s="1">
        <v>15000000</v>
      </c>
      <c r="H454" s="2">
        <v>5</v>
      </c>
      <c r="I454" s="6">
        <v>1.5277777777777779E-3</v>
      </c>
      <c r="J454" s="2" t="s">
        <v>18</v>
      </c>
      <c r="K454" s="2" t="s">
        <v>39</v>
      </c>
      <c r="L454" s="2" t="s">
        <v>48</v>
      </c>
      <c r="M454" s="2" t="s">
        <v>76</v>
      </c>
      <c r="N454" s="2" t="s">
        <v>26</v>
      </c>
    </row>
    <row r="455" spans="1:14" x14ac:dyDescent="0.3">
      <c r="A455" s="2" t="s">
        <v>14</v>
      </c>
      <c r="B455" s="3">
        <v>1</v>
      </c>
      <c r="C455" s="4" t="s">
        <v>44</v>
      </c>
      <c r="D455" s="2" t="s">
        <v>28</v>
      </c>
      <c r="E455" s="2" t="s">
        <v>42</v>
      </c>
      <c r="F455" s="5">
        <v>4</v>
      </c>
      <c r="G455" s="1">
        <v>20000000</v>
      </c>
      <c r="H455" s="2">
        <v>1</v>
      </c>
      <c r="I455" s="6">
        <v>1.5277777777777779E-3</v>
      </c>
      <c r="J455" s="2" t="s">
        <v>18</v>
      </c>
      <c r="K455" s="2" t="s">
        <v>29</v>
      </c>
      <c r="L455" s="2" t="s">
        <v>51</v>
      </c>
      <c r="M455" s="2" t="s">
        <v>76</v>
      </c>
      <c r="N455" s="2" t="s">
        <v>52</v>
      </c>
    </row>
    <row r="456" spans="1:14" x14ac:dyDescent="0.3">
      <c r="A456" s="2" t="s">
        <v>14</v>
      </c>
      <c r="B456" s="3">
        <v>11</v>
      </c>
      <c r="C456" s="4" t="s">
        <v>69</v>
      </c>
      <c r="D456" s="2" t="s">
        <v>49</v>
      </c>
      <c r="E456" s="2" t="s">
        <v>23</v>
      </c>
      <c r="F456" s="5">
        <v>4</v>
      </c>
      <c r="G456" s="1">
        <v>20000000</v>
      </c>
      <c r="H456" s="2">
        <v>3</v>
      </c>
      <c r="I456" s="6">
        <v>1.5277777777777779E-3</v>
      </c>
      <c r="J456" s="2" t="s">
        <v>61</v>
      </c>
      <c r="K456" s="2" t="s">
        <v>64</v>
      </c>
      <c r="L456" s="2" t="s">
        <v>33</v>
      </c>
      <c r="M456" s="2" t="s">
        <v>77</v>
      </c>
      <c r="N456" s="2" t="s">
        <v>65</v>
      </c>
    </row>
    <row r="457" spans="1:14" x14ac:dyDescent="0.3">
      <c r="A457" s="2" t="s">
        <v>14</v>
      </c>
      <c r="B457" s="3">
        <v>25</v>
      </c>
      <c r="C457" s="4" t="s">
        <v>69</v>
      </c>
      <c r="D457" s="2" t="s">
        <v>49</v>
      </c>
      <c r="E457" s="2" t="s">
        <v>42</v>
      </c>
      <c r="F457" s="5">
        <v>2</v>
      </c>
      <c r="G457" s="1">
        <v>12000000</v>
      </c>
      <c r="H457" s="2">
        <v>2</v>
      </c>
      <c r="I457" s="6">
        <v>1.5277777777777779E-3</v>
      </c>
      <c r="J457" s="2" t="s">
        <v>18</v>
      </c>
      <c r="K457" s="2" t="s">
        <v>29</v>
      </c>
      <c r="L457" s="2" t="s">
        <v>33</v>
      </c>
      <c r="M457" s="2" t="s">
        <v>77</v>
      </c>
      <c r="N457" s="2" t="s">
        <v>65</v>
      </c>
    </row>
    <row r="458" spans="1:14" x14ac:dyDescent="0.3">
      <c r="A458" s="2" t="s">
        <v>14</v>
      </c>
      <c r="B458" s="3">
        <v>24</v>
      </c>
      <c r="C458" s="4" t="s">
        <v>69</v>
      </c>
      <c r="D458" s="2" t="s">
        <v>16</v>
      </c>
      <c r="E458" s="2" t="s">
        <v>17</v>
      </c>
      <c r="F458" s="5">
        <v>3</v>
      </c>
      <c r="G458" s="1">
        <v>15000000</v>
      </c>
      <c r="H458" s="2">
        <v>3</v>
      </c>
      <c r="I458" s="6">
        <v>1.5277777777777779E-3</v>
      </c>
      <c r="J458" s="2" t="s">
        <v>18</v>
      </c>
      <c r="K458" s="2" t="s">
        <v>19</v>
      </c>
      <c r="L458" s="2" t="s">
        <v>43</v>
      </c>
      <c r="M458" s="2" t="s">
        <v>66</v>
      </c>
      <c r="N458" s="2" t="s">
        <v>67</v>
      </c>
    </row>
    <row r="459" spans="1:14" x14ac:dyDescent="0.3">
      <c r="A459" s="2" t="s">
        <v>14</v>
      </c>
      <c r="B459" s="3">
        <v>31</v>
      </c>
      <c r="C459" s="4" t="s">
        <v>69</v>
      </c>
      <c r="D459" s="2" t="s">
        <v>16</v>
      </c>
      <c r="E459" s="2" t="s">
        <v>23</v>
      </c>
      <c r="F459" s="5">
        <v>2</v>
      </c>
      <c r="G459" s="1">
        <v>12000000</v>
      </c>
      <c r="H459" s="2">
        <v>2</v>
      </c>
      <c r="I459" s="6">
        <v>1.5277777777777779E-3</v>
      </c>
      <c r="J459" s="2" t="s">
        <v>18</v>
      </c>
      <c r="K459" s="2" t="s">
        <v>24</v>
      </c>
      <c r="L459" s="2" t="s">
        <v>51</v>
      </c>
      <c r="M459" s="2" t="s">
        <v>76</v>
      </c>
      <c r="N459" s="2" t="s">
        <v>26</v>
      </c>
    </row>
    <row r="460" spans="1:14" x14ac:dyDescent="0.3">
      <c r="A460" s="2" t="s">
        <v>14</v>
      </c>
      <c r="B460" s="3">
        <v>11</v>
      </c>
      <c r="C460" s="4" t="s">
        <v>55</v>
      </c>
      <c r="D460" s="2" t="s">
        <v>49</v>
      </c>
      <c r="E460" s="2" t="s">
        <v>17</v>
      </c>
      <c r="F460" s="5">
        <v>5</v>
      </c>
      <c r="G460" s="1">
        <v>25000000</v>
      </c>
      <c r="H460" s="2">
        <v>3</v>
      </c>
      <c r="I460" s="6">
        <v>1.5277777777777779E-3</v>
      </c>
      <c r="J460" s="2" t="s">
        <v>18</v>
      </c>
      <c r="K460" s="2" t="s">
        <v>47</v>
      </c>
      <c r="L460" s="2" t="s">
        <v>20</v>
      </c>
      <c r="M460" s="2" t="s">
        <v>66</v>
      </c>
      <c r="N460" s="2" t="s">
        <v>36</v>
      </c>
    </row>
    <row r="461" spans="1:14" x14ac:dyDescent="0.3">
      <c r="A461" s="2" t="s">
        <v>14</v>
      </c>
      <c r="B461" s="3">
        <v>15</v>
      </c>
      <c r="C461" s="4" t="s">
        <v>55</v>
      </c>
      <c r="D461" s="2" t="s">
        <v>32</v>
      </c>
      <c r="E461" s="2" t="s">
        <v>42</v>
      </c>
      <c r="F461" s="5">
        <v>2</v>
      </c>
      <c r="G461" s="1">
        <v>12000000</v>
      </c>
      <c r="H461" s="2">
        <v>1</v>
      </c>
      <c r="I461" s="6">
        <v>1.5277777777777779E-3</v>
      </c>
      <c r="J461" s="2" t="s">
        <v>18</v>
      </c>
      <c r="K461" s="2" t="s">
        <v>29</v>
      </c>
      <c r="L461" s="2" t="s">
        <v>43</v>
      </c>
      <c r="M461" s="2" t="s">
        <v>76</v>
      </c>
      <c r="N461" s="2" t="s">
        <v>31</v>
      </c>
    </row>
    <row r="462" spans="1:14" x14ac:dyDescent="0.3">
      <c r="A462" s="2" t="s">
        <v>14</v>
      </c>
      <c r="B462" s="3">
        <v>14</v>
      </c>
      <c r="C462" s="4" t="s">
        <v>57</v>
      </c>
      <c r="D462" s="2" t="s">
        <v>28</v>
      </c>
      <c r="E462" s="2" t="s">
        <v>23</v>
      </c>
      <c r="F462" s="5">
        <v>2</v>
      </c>
      <c r="G462" s="1">
        <v>12000000</v>
      </c>
      <c r="H462" s="2">
        <v>1</v>
      </c>
      <c r="I462" s="6">
        <v>1.5277777777777779E-3</v>
      </c>
      <c r="J462" s="2" t="s">
        <v>18</v>
      </c>
      <c r="K462" s="2" t="s">
        <v>47</v>
      </c>
      <c r="L462" s="2" t="s">
        <v>30</v>
      </c>
      <c r="M462" s="2" t="s">
        <v>77</v>
      </c>
      <c r="N462" s="2" t="s">
        <v>65</v>
      </c>
    </row>
    <row r="463" spans="1:14" x14ac:dyDescent="0.3">
      <c r="A463" s="2" t="s">
        <v>14</v>
      </c>
      <c r="B463" s="3">
        <v>11</v>
      </c>
      <c r="C463" s="4" t="s">
        <v>57</v>
      </c>
      <c r="D463" s="2" t="s">
        <v>16</v>
      </c>
      <c r="E463" s="2" t="s">
        <v>42</v>
      </c>
      <c r="F463" s="5">
        <v>1</v>
      </c>
      <c r="G463" s="1">
        <v>7000000</v>
      </c>
      <c r="H463" s="2">
        <v>1</v>
      </c>
      <c r="I463" s="6">
        <v>1.5277777777777779E-3</v>
      </c>
      <c r="J463" s="2" t="s">
        <v>18</v>
      </c>
      <c r="K463" s="2" t="s">
        <v>39</v>
      </c>
      <c r="L463" s="2" t="s">
        <v>33</v>
      </c>
      <c r="M463" s="2" t="s">
        <v>76</v>
      </c>
      <c r="N463" s="2" t="s">
        <v>31</v>
      </c>
    </row>
    <row r="464" spans="1:14" x14ac:dyDescent="0.3">
      <c r="A464" s="2" t="s">
        <v>14</v>
      </c>
      <c r="B464" s="3">
        <v>1</v>
      </c>
      <c r="C464" s="4" t="s">
        <v>59</v>
      </c>
      <c r="D464" s="2" t="s">
        <v>28</v>
      </c>
      <c r="E464" s="2" t="s">
        <v>17</v>
      </c>
      <c r="F464" s="5">
        <v>4</v>
      </c>
      <c r="G464" s="1">
        <v>20000000</v>
      </c>
      <c r="H464" s="2">
        <v>2</v>
      </c>
      <c r="I464" s="6">
        <v>1.5277777777777779E-3</v>
      </c>
      <c r="J464" s="2" t="s">
        <v>61</v>
      </c>
      <c r="K464" s="2" t="s">
        <v>29</v>
      </c>
      <c r="L464" s="2" t="s">
        <v>25</v>
      </c>
      <c r="M464" s="2" t="s">
        <v>78</v>
      </c>
      <c r="N464" s="2" t="s">
        <v>53</v>
      </c>
    </row>
    <row r="465" spans="1:14" x14ac:dyDescent="0.3">
      <c r="A465" s="2" t="s">
        <v>14</v>
      </c>
      <c r="B465" s="3">
        <v>7</v>
      </c>
      <c r="C465" s="4" t="s">
        <v>59</v>
      </c>
      <c r="D465" s="2" t="s">
        <v>28</v>
      </c>
      <c r="E465" s="2" t="s">
        <v>42</v>
      </c>
      <c r="F465" s="5">
        <v>3</v>
      </c>
      <c r="G465" s="1">
        <v>15000000</v>
      </c>
      <c r="H465" s="2">
        <v>1</v>
      </c>
      <c r="I465" s="6">
        <v>1.5277777777777779E-3</v>
      </c>
      <c r="J465" s="2" t="s">
        <v>18</v>
      </c>
      <c r="K465" s="2" t="s">
        <v>47</v>
      </c>
      <c r="L465" s="2" t="s">
        <v>43</v>
      </c>
      <c r="M465" s="2" t="s">
        <v>78</v>
      </c>
      <c r="N465" s="2" t="s">
        <v>41</v>
      </c>
    </row>
    <row r="466" spans="1:14" x14ac:dyDescent="0.3">
      <c r="A466" s="2" t="s">
        <v>14</v>
      </c>
      <c r="B466" s="3">
        <v>1</v>
      </c>
      <c r="C466" s="4" t="s">
        <v>59</v>
      </c>
      <c r="D466" s="2" t="s">
        <v>32</v>
      </c>
      <c r="E466" s="2" t="s">
        <v>23</v>
      </c>
      <c r="F466" s="5">
        <v>3</v>
      </c>
      <c r="G466" s="1">
        <v>15000000</v>
      </c>
      <c r="H466" s="2">
        <v>2</v>
      </c>
      <c r="I466" s="6">
        <v>1.5277777777777779E-3</v>
      </c>
      <c r="J466" s="2" t="s">
        <v>18</v>
      </c>
      <c r="K466" s="2" t="s">
        <v>19</v>
      </c>
      <c r="L466" s="2" t="s">
        <v>51</v>
      </c>
      <c r="M466" s="2" t="s">
        <v>76</v>
      </c>
      <c r="N466" s="2" t="s">
        <v>52</v>
      </c>
    </row>
    <row r="467" spans="1:14" x14ac:dyDescent="0.3">
      <c r="A467" s="2" t="s">
        <v>14</v>
      </c>
      <c r="B467" s="3">
        <v>6</v>
      </c>
      <c r="C467" s="4" t="s">
        <v>72</v>
      </c>
      <c r="D467" s="2" t="s">
        <v>49</v>
      </c>
      <c r="E467" s="2" t="s">
        <v>42</v>
      </c>
      <c r="F467" s="5">
        <v>2</v>
      </c>
      <c r="G467" s="1">
        <v>38000000</v>
      </c>
      <c r="H467" s="2">
        <v>1</v>
      </c>
      <c r="I467" s="6">
        <v>1.5277777777777779E-3</v>
      </c>
      <c r="J467" s="2" t="s">
        <v>46</v>
      </c>
      <c r="K467" s="2" t="s">
        <v>29</v>
      </c>
      <c r="L467" s="2" t="s">
        <v>20</v>
      </c>
      <c r="M467" s="2" t="s">
        <v>78</v>
      </c>
      <c r="N467" s="2" t="s">
        <v>62</v>
      </c>
    </row>
    <row r="468" spans="1:14" x14ac:dyDescent="0.3">
      <c r="A468" s="2" t="s">
        <v>14</v>
      </c>
      <c r="B468" s="3">
        <v>31</v>
      </c>
      <c r="C468" s="4" t="s">
        <v>22</v>
      </c>
      <c r="D468" s="2" t="s">
        <v>28</v>
      </c>
      <c r="E468" s="2" t="s">
        <v>23</v>
      </c>
      <c r="F468" s="5">
        <v>1</v>
      </c>
      <c r="G468" s="1">
        <v>19000000</v>
      </c>
      <c r="H468" s="2">
        <v>2</v>
      </c>
      <c r="I468" s="6">
        <v>1.5277777777777779E-3</v>
      </c>
      <c r="J468" s="2" t="s">
        <v>46</v>
      </c>
      <c r="K468" s="2" t="s">
        <v>19</v>
      </c>
      <c r="L468" s="2" t="s">
        <v>30</v>
      </c>
      <c r="M468" s="2" t="s">
        <v>76</v>
      </c>
      <c r="N468" s="2" t="s">
        <v>52</v>
      </c>
    </row>
    <row r="469" spans="1:14" x14ac:dyDescent="0.3">
      <c r="A469" s="2" t="s">
        <v>70</v>
      </c>
      <c r="B469" s="3">
        <v>14</v>
      </c>
      <c r="C469" s="4" t="s">
        <v>58</v>
      </c>
      <c r="D469" s="2" t="s">
        <v>38</v>
      </c>
      <c r="E469" s="2" t="s">
        <v>42</v>
      </c>
      <c r="F469" s="5">
        <v>0</v>
      </c>
      <c r="G469" s="1">
        <v>0</v>
      </c>
      <c r="H469" s="2">
        <v>4</v>
      </c>
      <c r="I469" s="6">
        <v>1.5277777777777779E-3</v>
      </c>
      <c r="J469" s="2"/>
      <c r="K469" s="2"/>
      <c r="L469" s="2" t="s">
        <v>33</v>
      </c>
      <c r="M469" s="2" t="s">
        <v>76</v>
      </c>
      <c r="N469" s="2" t="s">
        <v>52</v>
      </c>
    </row>
    <row r="470" spans="1:14" x14ac:dyDescent="0.3">
      <c r="A470" s="2" t="s">
        <v>70</v>
      </c>
      <c r="B470" s="3">
        <v>3</v>
      </c>
      <c r="C470" s="4" t="s">
        <v>59</v>
      </c>
      <c r="D470" s="2" t="s">
        <v>16</v>
      </c>
      <c r="E470" s="2" t="s">
        <v>45</v>
      </c>
      <c r="F470" s="5">
        <v>0</v>
      </c>
      <c r="G470" s="1">
        <v>0</v>
      </c>
      <c r="H470" s="2">
        <v>1</v>
      </c>
      <c r="I470" s="6">
        <v>1.5277777777777779E-3</v>
      </c>
      <c r="J470" s="2"/>
      <c r="K470" s="2"/>
      <c r="L470" s="2" t="s">
        <v>51</v>
      </c>
      <c r="M470" s="2" t="s">
        <v>76</v>
      </c>
      <c r="N470" s="2" t="s">
        <v>26</v>
      </c>
    </row>
    <row r="471" spans="1:14" x14ac:dyDescent="0.3">
      <c r="A471" s="2" t="s">
        <v>70</v>
      </c>
      <c r="B471" s="3">
        <v>8</v>
      </c>
      <c r="C471" s="4" t="s">
        <v>60</v>
      </c>
      <c r="D471" s="2" t="s">
        <v>16</v>
      </c>
      <c r="E471" s="2" t="s">
        <v>45</v>
      </c>
      <c r="F471" s="5">
        <v>0</v>
      </c>
      <c r="G471" s="1">
        <v>0</v>
      </c>
      <c r="H471" s="2">
        <v>2</v>
      </c>
      <c r="I471" s="6">
        <v>1.5277777777777779E-3</v>
      </c>
      <c r="J471" s="2"/>
      <c r="K471" s="2"/>
      <c r="L471" s="2" t="s">
        <v>33</v>
      </c>
      <c r="M471" s="2" t="s">
        <v>78</v>
      </c>
      <c r="N471" s="2" t="s">
        <v>63</v>
      </c>
    </row>
    <row r="472" spans="1:14" x14ac:dyDescent="0.3">
      <c r="A472" s="2" t="s">
        <v>70</v>
      </c>
      <c r="B472" s="3">
        <v>30</v>
      </c>
      <c r="C472" s="4" t="s">
        <v>22</v>
      </c>
      <c r="D472" s="2" t="s">
        <v>32</v>
      </c>
      <c r="E472" s="2" t="s">
        <v>42</v>
      </c>
      <c r="F472" s="5">
        <v>0</v>
      </c>
      <c r="G472" s="1">
        <v>0</v>
      </c>
      <c r="H472" s="2">
        <v>1</v>
      </c>
      <c r="I472" s="6">
        <v>1.5277777777777779E-3</v>
      </c>
      <c r="J472" s="2"/>
      <c r="K472" s="2"/>
      <c r="L472" s="2" t="s">
        <v>43</v>
      </c>
      <c r="M472" s="2" t="s">
        <v>78</v>
      </c>
      <c r="N472" s="2" t="s">
        <v>53</v>
      </c>
    </row>
    <row r="473" spans="1:14" x14ac:dyDescent="0.3">
      <c r="A473" s="2" t="s">
        <v>70</v>
      </c>
      <c r="B473" s="3">
        <v>27</v>
      </c>
      <c r="C473" s="4" t="s">
        <v>27</v>
      </c>
      <c r="D473" s="2" t="s">
        <v>16</v>
      </c>
      <c r="E473" s="2" t="s">
        <v>42</v>
      </c>
      <c r="F473" s="5">
        <v>0</v>
      </c>
      <c r="G473" s="1">
        <v>0</v>
      </c>
      <c r="H473" s="2">
        <v>3</v>
      </c>
      <c r="I473" s="6">
        <v>1.5277777777777779E-3</v>
      </c>
      <c r="J473" s="2"/>
      <c r="K473" s="2"/>
      <c r="L473" s="2" t="s">
        <v>43</v>
      </c>
      <c r="M473" s="2" t="s">
        <v>66</v>
      </c>
      <c r="N473" s="2" t="s">
        <v>67</v>
      </c>
    </row>
    <row r="474" spans="1:14" x14ac:dyDescent="0.3">
      <c r="A474" s="2" t="s">
        <v>70</v>
      </c>
      <c r="B474" s="3">
        <v>16</v>
      </c>
      <c r="C474" s="4" t="s">
        <v>27</v>
      </c>
      <c r="D474" s="2" t="s">
        <v>28</v>
      </c>
      <c r="E474" s="2" t="s">
        <v>45</v>
      </c>
      <c r="F474" s="5">
        <v>0</v>
      </c>
      <c r="G474" s="1">
        <v>0</v>
      </c>
      <c r="H474" s="2">
        <v>5</v>
      </c>
      <c r="I474" s="6">
        <v>1.5277777777777779E-3</v>
      </c>
      <c r="J474" s="2"/>
      <c r="K474" s="2"/>
      <c r="L474" s="2" t="s">
        <v>25</v>
      </c>
      <c r="M474" s="2" t="s">
        <v>78</v>
      </c>
      <c r="N474" s="2" t="s">
        <v>63</v>
      </c>
    </row>
    <row r="475" spans="1:14" x14ac:dyDescent="0.3">
      <c r="A475" s="2" t="s">
        <v>70</v>
      </c>
      <c r="B475" s="3">
        <v>9</v>
      </c>
      <c r="C475" s="4" t="s">
        <v>37</v>
      </c>
      <c r="D475" s="2" t="s">
        <v>28</v>
      </c>
      <c r="E475" s="2" t="s">
        <v>23</v>
      </c>
      <c r="F475" s="5">
        <v>0</v>
      </c>
      <c r="G475" s="1">
        <v>0</v>
      </c>
      <c r="H475" s="2">
        <v>5</v>
      </c>
      <c r="I475" s="6">
        <v>1.5277777777777779E-3</v>
      </c>
      <c r="J475" s="2"/>
      <c r="K475" s="2"/>
      <c r="L475" s="2" t="s">
        <v>30</v>
      </c>
      <c r="M475" s="2" t="s">
        <v>77</v>
      </c>
      <c r="N475" s="2" t="s">
        <v>65</v>
      </c>
    </row>
    <row r="476" spans="1:14" x14ac:dyDescent="0.3">
      <c r="A476" s="2" t="s">
        <v>70</v>
      </c>
      <c r="B476" s="3">
        <v>9</v>
      </c>
      <c r="C476" s="4" t="s">
        <v>37</v>
      </c>
      <c r="D476" s="2" t="s">
        <v>38</v>
      </c>
      <c r="E476" s="2" t="s">
        <v>23</v>
      </c>
      <c r="F476" s="5">
        <v>0</v>
      </c>
      <c r="G476" s="1">
        <v>0</v>
      </c>
      <c r="H476" s="2">
        <v>2</v>
      </c>
      <c r="I476" s="6">
        <v>1.5277777777777779E-3</v>
      </c>
      <c r="J476" s="2"/>
      <c r="K476" s="2"/>
      <c r="L476" s="2" t="s">
        <v>30</v>
      </c>
      <c r="M476" s="2" t="s">
        <v>78</v>
      </c>
      <c r="N476" s="2" t="s">
        <v>53</v>
      </c>
    </row>
    <row r="477" spans="1:14" x14ac:dyDescent="0.3">
      <c r="A477" s="2" t="s">
        <v>70</v>
      </c>
      <c r="B477" s="3">
        <v>29</v>
      </c>
      <c r="C477" s="4" t="s">
        <v>37</v>
      </c>
      <c r="D477" s="2" t="s">
        <v>16</v>
      </c>
      <c r="E477" s="2" t="s">
        <v>17</v>
      </c>
      <c r="F477" s="5">
        <v>0</v>
      </c>
      <c r="G477" s="1">
        <v>0</v>
      </c>
      <c r="H477" s="2">
        <v>4</v>
      </c>
      <c r="I477" s="6">
        <v>1.5277777777777779E-3</v>
      </c>
      <c r="J477" s="2"/>
      <c r="K477" s="2"/>
      <c r="L477" s="2" t="s">
        <v>43</v>
      </c>
      <c r="M477" s="2" t="s">
        <v>78</v>
      </c>
      <c r="N477" s="2" t="s">
        <v>41</v>
      </c>
    </row>
    <row r="478" spans="1:14" x14ac:dyDescent="0.3">
      <c r="A478" s="2" t="s">
        <v>70</v>
      </c>
      <c r="B478" s="3">
        <v>29</v>
      </c>
      <c r="C478" s="4" t="s">
        <v>37</v>
      </c>
      <c r="D478" s="2" t="s">
        <v>73</v>
      </c>
      <c r="E478" s="2" t="s">
        <v>42</v>
      </c>
      <c r="F478" s="5">
        <v>0</v>
      </c>
      <c r="G478" s="1">
        <v>0</v>
      </c>
      <c r="H478" s="2">
        <v>2</v>
      </c>
      <c r="I478" s="6">
        <v>1.5277777777777779E-3</v>
      </c>
      <c r="J478" s="2"/>
      <c r="K478" s="2"/>
      <c r="L478" s="2" t="s">
        <v>43</v>
      </c>
      <c r="M478" s="2" t="s">
        <v>78</v>
      </c>
      <c r="N478" s="2" t="s">
        <v>66</v>
      </c>
    </row>
    <row r="479" spans="1:14" x14ac:dyDescent="0.3">
      <c r="A479" s="2" t="s">
        <v>70</v>
      </c>
      <c r="B479" s="3">
        <v>21</v>
      </c>
      <c r="C479" s="4" t="s">
        <v>44</v>
      </c>
      <c r="D479" s="2" t="s">
        <v>49</v>
      </c>
      <c r="E479" s="2" t="s">
        <v>42</v>
      </c>
      <c r="F479" s="5">
        <v>0</v>
      </c>
      <c r="G479" s="1">
        <v>0</v>
      </c>
      <c r="H479" s="2">
        <v>2</v>
      </c>
      <c r="I479" s="6">
        <v>1.5277777777777779E-3</v>
      </c>
      <c r="J479" s="2"/>
      <c r="K479" s="2"/>
      <c r="L479" s="2" t="s">
        <v>43</v>
      </c>
      <c r="M479" s="2" t="s">
        <v>77</v>
      </c>
      <c r="N479" s="2" t="s">
        <v>54</v>
      </c>
    </row>
    <row r="480" spans="1:14" x14ac:dyDescent="0.3">
      <c r="A480" s="2" t="s">
        <v>70</v>
      </c>
      <c r="B480" s="3">
        <v>21</v>
      </c>
      <c r="C480" s="4" t="s">
        <v>69</v>
      </c>
      <c r="D480" s="2" t="s">
        <v>16</v>
      </c>
      <c r="E480" s="2" t="s">
        <v>42</v>
      </c>
      <c r="F480" s="5">
        <v>0</v>
      </c>
      <c r="G480" s="1">
        <v>0</v>
      </c>
      <c r="H480" s="2">
        <v>1</v>
      </c>
      <c r="I480" s="6">
        <v>1.5277777777777779E-3</v>
      </c>
      <c r="J480" s="2"/>
      <c r="K480" s="2"/>
      <c r="L480" s="2" t="s">
        <v>43</v>
      </c>
      <c r="M480" s="2" t="s">
        <v>78</v>
      </c>
      <c r="N480" s="2" t="s">
        <v>53</v>
      </c>
    </row>
    <row r="481" spans="1:14" x14ac:dyDescent="0.3">
      <c r="A481" s="2" t="s">
        <v>70</v>
      </c>
      <c r="B481" s="3">
        <v>14</v>
      </c>
      <c r="C481" s="4" t="s">
        <v>58</v>
      </c>
      <c r="D481" s="2" t="s">
        <v>38</v>
      </c>
      <c r="E481" s="2" t="s">
        <v>42</v>
      </c>
      <c r="F481" s="5">
        <v>0</v>
      </c>
      <c r="G481" s="1">
        <v>0</v>
      </c>
      <c r="H481" s="2">
        <v>4</v>
      </c>
      <c r="I481" s="6">
        <v>1.5277777777777779E-3</v>
      </c>
      <c r="J481" s="2"/>
      <c r="K481" s="2"/>
      <c r="L481" s="2" t="s">
        <v>33</v>
      </c>
      <c r="M481" s="2" t="s">
        <v>76</v>
      </c>
      <c r="N481" s="2" t="s">
        <v>52</v>
      </c>
    </row>
    <row r="482" spans="1:14" x14ac:dyDescent="0.3">
      <c r="A482" s="2" t="s">
        <v>70</v>
      </c>
      <c r="B482" s="3">
        <v>3</v>
      </c>
      <c r="C482" s="4" t="s">
        <v>59</v>
      </c>
      <c r="D482" s="2" t="s">
        <v>16</v>
      </c>
      <c r="E482" s="2" t="s">
        <v>45</v>
      </c>
      <c r="F482" s="5">
        <v>0</v>
      </c>
      <c r="G482" s="1">
        <v>0</v>
      </c>
      <c r="H482" s="2">
        <v>1</v>
      </c>
      <c r="I482" s="6">
        <v>1.5277777777777779E-3</v>
      </c>
      <c r="J482" s="2"/>
      <c r="K482" s="2"/>
      <c r="L482" s="2" t="s">
        <v>51</v>
      </c>
      <c r="M482" s="2" t="s">
        <v>76</v>
      </c>
      <c r="N482" s="2" t="s">
        <v>26</v>
      </c>
    </row>
    <row r="483" spans="1:14" x14ac:dyDescent="0.3">
      <c r="A483" s="2" t="s">
        <v>70</v>
      </c>
      <c r="B483" s="3">
        <v>8</v>
      </c>
      <c r="C483" s="4" t="s">
        <v>60</v>
      </c>
      <c r="D483" s="2" t="s">
        <v>16</v>
      </c>
      <c r="E483" s="2" t="s">
        <v>45</v>
      </c>
      <c r="F483" s="5">
        <v>0</v>
      </c>
      <c r="G483" s="1">
        <v>0</v>
      </c>
      <c r="H483" s="2">
        <v>2</v>
      </c>
      <c r="I483" s="6">
        <v>1.5277777777777779E-3</v>
      </c>
      <c r="J483" s="2"/>
      <c r="K483" s="2"/>
      <c r="L483" s="2" t="s">
        <v>33</v>
      </c>
      <c r="M483" s="2" t="s">
        <v>78</v>
      </c>
      <c r="N483" s="2" t="s">
        <v>63</v>
      </c>
    </row>
    <row r="484" spans="1:14" x14ac:dyDescent="0.3">
      <c r="A484" s="2" t="s">
        <v>14</v>
      </c>
      <c r="B484" s="3">
        <v>11</v>
      </c>
      <c r="C484" s="4" t="s">
        <v>55</v>
      </c>
      <c r="D484" s="2" t="s">
        <v>38</v>
      </c>
      <c r="E484" s="2" t="s">
        <v>68</v>
      </c>
      <c r="F484" s="5">
        <v>3</v>
      </c>
      <c r="G484" s="1">
        <v>15000000</v>
      </c>
      <c r="H484" s="2">
        <v>2</v>
      </c>
      <c r="I484" s="6">
        <v>1.5972222222222221E-3</v>
      </c>
      <c r="J484" s="2" t="s">
        <v>18</v>
      </c>
      <c r="K484" s="2" t="s">
        <v>19</v>
      </c>
      <c r="L484" s="2" t="s">
        <v>51</v>
      </c>
      <c r="M484" s="2" t="s">
        <v>77</v>
      </c>
      <c r="N484" s="2" t="s">
        <v>54</v>
      </c>
    </row>
    <row r="485" spans="1:14" x14ac:dyDescent="0.3">
      <c r="A485" s="2" t="s">
        <v>14</v>
      </c>
      <c r="B485" s="3">
        <v>30</v>
      </c>
      <c r="C485" s="4" t="s">
        <v>27</v>
      </c>
      <c r="D485" s="2" t="s">
        <v>49</v>
      </c>
      <c r="E485" s="2" t="s">
        <v>42</v>
      </c>
      <c r="F485" s="5">
        <v>5</v>
      </c>
      <c r="G485" s="1">
        <v>25000000</v>
      </c>
      <c r="H485" s="2">
        <v>2</v>
      </c>
      <c r="I485" s="6">
        <v>1.5972222222222221E-3</v>
      </c>
      <c r="J485" s="2" t="s">
        <v>18</v>
      </c>
      <c r="K485" s="2" t="s">
        <v>39</v>
      </c>
      <c r="L485" s="2" t="s">
        <v>30</v>
      </c>
      <c r="M485" s="2" t="s">
        <v>76</v>
      </c>
      <c r="N485" s="2" t="s">
        <v>31</v>
      </c>
    </row>
    <row r="486" spans="1:14" x14ac:dyDescent="0.3">
      <c r="A486" s="2" t="s">
        <v>14</v>
      </c>
      <c r="B486" s="3">
        <v>1</v>
      </c>
      <c r="C486" s="4" t="s">
        <v>37</v>
      </c>
      <c r="D486" s="2" t="s">
        <v>49</v>
      </c>
      <c r="E486" s="2" t="s">
        <v>42</v>
      </c>
      <c r="F486" s="5">
        <v>4</v>
      </c>
      <c r="G486" s="1">
        <v>11000000</v>
      </c>
      <c r="H486" s="2">
        <v>2</v>
      </c>
      <c r="I486" s="6">
        <v>1.5972222222222221E-3</v>
      </c>
      <c r="J486" s="2" t="s">
        <v>61</v>
      </c>
      <c r="K486" s="2" t="s">
        <v>35</v>
      </c>
      <c r="L486" s="2" t="s">
        <v>51</v>
      </c>
      <c r="M486" s="2" t="s">
        <v>78</v>
      </c>
      <c r="N486" s="2" t="s">
        <v>63</v>
      </c>
    </row>
    <row r="487" spans="1:14" x14ac:dyDescent="0.3">
      <c r="A487" s="2" t="s">
        <v>14</v>
      </c>
      <c r="B487" s="3">
        <v>28</v>
      </c>
      <c r="C487" s="4" t="s">
        <v>37</v>
      </c>
      <c r="D487" s="2" t="s">
        <v>49</v>
      </c>
      <c r="E487" s="2" t="s">
        <v>42</v>
      </c>
      <c r="F487" s="5">
        <v>2</v>
      </c>
      <c r="G487" s="1">
        <v>12000000</v>
      </c>
      <c r="H487" s="2">
        <v>1</v>
      </c>
      <c r="I487" s="6">
        <v>1.5972222222222221E-3</v>
      </c>
      <c r="J487" s="2" t="s">
        <v>18</v>
      </c>
      <c r="K487" s="2" t="s">
        <v>64</v>
      </c>
      <c r="L487" s="2" t="s">
        <v>30</v>
      </c>
      <c r="M487" s="2" t="s">
        <v>78</v>
      </c>
      <c r="N487" s="2" t="s">
        <v>62</v>
      </c>
    </row>
    <row r="488" spans="1:14" x14ac:dyDescent="0.3">
      <c r="A488" s="2" t="s">
        <v>14</v>
      </c>
      <c r="B488" s="3">
        <v>4</v>
      </c>
      <c r="C488" s="4" t="s">
        <v>44</v>
      </c>
      <c r="D488" s="2" t="s">
        <v>16</v>
      </c>
      <c r="E488" s="2" t="s">
        <v>42</v>
      </c>
      <c r="F488" s="5">
        <v>2</v>
      </c>
      <c r="G488" s="1">
        <v>12000000</v>
      </c>
      <c r="H488" s="2">
        <v>5</v>
      </c>
      <c r="I488" s="6">
        <v>1.5972222222222221E-3</v>
      </c>
      <c r="J488" s="2" t="s">
        <v>18</v>
      </c>
      <c r="K488" s="2" t="s">
        <v>47</v>
      </c>
      <c r="L488" s="2" t="s">
        <v>51</v>
      </c>
      <c r="M488" s="2" t="s">
        <v>78</v>
      </c>
      <c r="N488" s="2" t="s">
        <v>21</v>
      </c>
    </row>
    <row r="489" spans="1:14" x14ac:dyDescent="0.3">
      <c r="A489" s="2" t="s">
        <v>14</v>
      </c>
      <c r="B489" s="3">
        <v>19</v>
      </c>
      <c r="C489" s="4" t="s">
        <v>44</v>
      </c>
      <c r="D489" s="2" t="s">
        <v>49</v>
      </c>
      <c r="E489" s="2" t="s">
        <v>42</v>
      </c>
      <c r="F489" s="5">
        <v>5</v>
      </c>
      <c r="G489" s="1">
        <v>21000000</v>
      </c>
      <c r="H489" s="2">
        <v>1</v>
      </c>
      <c r="I489" s="6">
        <v>1.5972222222222221E-3</v>
      </c>
      <c r="J489" s="2" t="s">
        <v>18</v>
      </c>
      <c r="K489" s="2" t="s">
        <v>39</v>
      </c>
      <c r="L489" s="2" t="s">
        <v>33</v>
      </c>
      <c r="M489" s="2" t="s">
        <v>76</v>
      </c>
      <c r="N489" s="2" t="s">
        <v>52</v>
      </c>
    </row>
    <row r="490" spans="1:14" x14ac:dyDescent="0.3">
      <c r="A490" s="2" t="s">
        <v>14</v>
      </c>
      <c r="B490" s="3">
        <v>8</v>
      </c>
      <c r="C490" s="4" t="s">
        <v>44</v>
      </c>
      <c r="D490" s="2" t="s">
        <v>16</v>
      </c>
      <c r="E490" s="2" t="s">
        <v>17</v>
      </c>
      <c r="F490" s="5">
        <v>4</v>
      </c>
      <c r="G490" s="1">
        <v>20000000</v>
      </c>
      <c r="H490" s="2">
        <v>1</v>
      </c>
      <c r="I490" s="6">
        <v>1.5972222222222221E-3</v>
      </c>
      <c r="J490" s="2" t="s">
        <v>18</v>
      </c>
      <c r="K490" s="2" t="s">
        <v>56</v>
      </c>
      <c r="L490" s="2" t="s">
        <v>48</v>
      </c>
      <c r="M490" s="2" t="s">
        <v>66</v>
      </c>
      <c r="N490" s="2" t="s">
        <v>36</v>
      </c>
    </row>
    <row r="491" spans="1:14" x14ac:dyDescent="0.3">
      <c r="A491" s="2" t="s">
        <v>14</v>
      </c>
      <c r="B491" s="3">
        <v>13</v>
      </c>
      <c r="C491" s="4" t="s">
        <v>69</v>
      </c>
      <c r="D491" s="2" t="s">
        <v>32</v>
      </c>
      <c r="E491" s="2" t="s">
        <v>42</v>
      </c>
      <c r="F491" s="5">
        <v>1</v>
      </c>
      <c r="G491" s="1">
        <v>19000000</v>
      </c>
      <c r="H491" s="2">
        <v>3</v>
      </c>
      <c r="I491" s="6">
        <v>1.5972222222222221E-3</v>
      </c>
      <c r="J491" s="2" t="s">
        <v>46</v>
      </c>
      <c r="K491" s="2" t="s">
        <v>19</v>
      </c>
      <c r="L491" s="2" t="s">
        <v>25</v>
      </c>
      <c r="M491" s="2" t="s">
        <v>66</v>
      </c>
      <c r="N491" s="2" t="s">
        <v>36</v>
      </c>
    </row>
    <row r="492" spans="1:14" x14ac:dyDescent="0.3">
      <c r="A492" s="2" t="s">
        <v>14</v>
      </c>
      <c r="B492" s="3">
        <v>16</v>
      </c>
      <c r="C492" s="4" t="s">
        <v>69</v>
      </c>
      <c r="D492" s="2" t="s">
        <v>16</v>
      </c>
      <c r="E492" s="2" t="s">
        <v>17</v>
      </c>
      <c r="F492" s="5">
        <v>3</v>
      </c>
      <c r="G492" s="1">
        <v>15000000</v>
      </c>
      <c r="H492" s="2">
        <v>3</v>
      </c>
      <c r="I492" s="6">
        <v>1.5972222222222221E-3</v>
      </c>
      <c r="J492" s="2" t="s">
        <v>18</v>
      </c>
      <c r="K492" s="2" t="s">
        <v>64</v>
      </c>
      <c r="L492" s="2" t="s">
        <v>40</v>
      </c>
      <c r="M492" s="2" t="s">
        <v>78</v>
      </c>
      <c r="N492" s="2" t="s">
        <v>21</v>
      </c>
    </row>
    <row r="493" spans="1:14" x14ac:dyDescent="0.3">
      <c r="A493" s="2" t="s">
        <v>14</v>
      </c>
      <c r="B493" s="3">
        <v>11</v>
      </c>
      <c r="C493" s="4" t="s">
        <v>55</v>
      </c>
      <c r="D493" s="2" t="s">
        <v>38</v>
      </c>
      <c r="E493" s="2" t="s">
        <v>68</v>
      </c>
      <c r="F493" s="5">
        <v>3</v>
      </c>
      <c r="G493" s="1">
        <v>15000000</v>
      </c>
      <c r="H493" s="2">
        <v>2</v>
      </c>
      <c r="I493" s="6">
        <v>1.5972222222222221E-3</v>
      </c>
      <c r="J493" s="2" t="s">
        <v>18</v>
      </c>
      <c r="K493" s="2" t="s">
        <v>19</v>
      </c>
      <c r="L493" s="2" t="s">
        <v>51</v>
      </c>
      <c r="M493" s="2" t="s">
        <v>77</v>
      </c>
      <c r="N493" s="2" t="s">
        <v>54</v>
      </c>
    </row>
    <row r="494" spans="1:14" x14ac:dyDescent="0.3">
      <c r="A494" s="2" t="s">
        <v>70</v>
      </c>
      <c r="B494" s="3">
        <v>11</v>
      </c>
      <c r="C494" s="4" t="s">
        <v>55</v>
      </c>
      <c r="D494" s="2" t="s">
        <v>73</v>
      </c>
      <c r="E494" s="2" t="s">
        <v>42</v>
      </c>
      <c r="F494" s="5">
        <v>0</v>
      </c>
      <c r="G494" s="1">
        <v>0</v>
      </c>
      <c r="H494" s="2">
        <v>4</v>
      </c>
      <c r="I494" s="6">
        <v>1.5972222222222221E-3</v>
      </c>
      <c r="J494" s="2"/>
      <c r="K494" s="2"/>
      <c r="L494" s="2" t="s">
        <v>33</v>
      </c>
      <c r="M494" s="2" t="s">
        <v>78</v>
      </c>
      <c r="N494" s="2" t="s">
        <v>63</v>
      </c>
    </row>
    <row r="495" spans="1:14" x14ac:dyDescent="0.3">
      <c r="A495" s="2" t="s">
        <v>70</v>
      </c>
      <c r="B495" s="3">
        <v>12</v>
      </c>
      <c r="C495" s="4" t="s">
        <v>58</v>
      </c>
      <c r="D495" s="2" t="s">
        <v>16</v>
      </c>
      <c r="E495" s="2" t="s">
        <v>68</v>
      </c>
      <c r="F495" s="5">
        <v>0</v>
      </c>
      <c r="G495" s="1">
        <v>0</v>
      </c>
      <c r="H495" s="2">
        <v>4</v>
      </c>
      <c r="I495" s="6">
        <v>1.5972222222222221E-3</v>
      </c>
      <c r="J495" s="2"/>
      <c r="K495" s="2"/>
      <c r="L495" s="2" t="s">
        <v>20</v>
      </c>
      <c r="M495" s="2" t="s">
        <v>76</v>
      </c>
      <c r="N495" s="2" t="s">
        <v>52</v>
      </c>
    </row>
    <row r="496" spans="1:14" x14ac:dyDescent="0.3">
      <c r="A496" s="2" t="s">
        <v>70</v>
      </c>
      <c r="B496" s="3">
        <v>30</v>
      </c>
      <c r="C496" s="4" t="s">
        <v>59</v>
      </c>
      <c r="D496" s="2" t="s">
        <v>28</v>
      </c>
      <c r="E496" s="2" t="s">
        <v>42</v>
      </c>
      <c r="F496" s="5">
        <v>0</v>
      </c>
      <c r="G496" s="1">
        <v>0</v>
      </c>
      <c r="H496" s="2">
        <v>3</v>
      </c>
      <c r="I496" s="6">
        <v>1.5972222222222221E-3</v>
      </c>
      <c r="J496" s="2"/>
      <c r="K496" s="2"/>
      <c r="L496" s="2" t="s">
        <v>43</v>
      </c>
      <c r="M496" s="2" t="s">
        <v>77</v>
      </c>
      <c r="N496" s="2" t="s">
        <v>65</v>
      </c>
    </row>
    <row r="497" spans="1:14" x14ac:dyDescent="0.3">
      <c r="A497" s="2" t="s">
        <v>70</v>
      </c>
      <c r="B497" s="3">
        <v>6</v>
      </c>
      <c r="C497" s="4" t="s">
        <v>69</v>
      </c>
      <c r="D497" s="2" t="s">
        <v>28</v>
      </c>
      <c r="E497" s="2" t="s">
        <v>42</v>
      </c>
      <c r="F497" s="5">
        <v>0</v>
      </c>
      <c r="G497" s="1">
        <v>0</v>
      </c>
      <c r="H497" s="2">
        <v>2</v>
      </c>
      <c r="I497" s="6">
        <v>1.5972222222222221E-3</v>
      </c>
      <c r="J497" s="2"/>
      <c r="K497" s="2"/>
      <c r="L497" s="2" t="s">
        <v>48</v>
      </c>
      <c r="M497" s="2" t="s">
        <v>76</v>
      </c>
      <c r="N497" s="2" t="s">
        <v>71</v>
      </c>
    </row>
    <row r="498" spans="1:14" x14ac:dyDescent="0.3">
      <c r="A498" s="2" t="s">
        <v>70</v>
      </c>
      <c r="B498" s="3">
        <v>11</v>
      </c>
      <c r="C498" s="4" t="s">
        <v>55</v>
      </c>
      <c r="D498" s="2" t="s">
        <v>73</v>
      </c>
      <c r="E498" s="2" t="s">
        <v>42</v>
      </c>
      <c r="F498" s="5">
        <v>0</v>
      </c>
      <c r="G498" s="1">
        <v>0</v>
      </c>
      <c r="H498" s="2">
        <v>4</v>
      </c>
      <c r="I498" s="6">
        <v>1.5972222222222221E-3</v>
      </c>
      <c r="J498" s="2"/>
      <c r="K498" s="2"/>
      <c r="L498" s="2" t="s">
        <v>33</v>
      </c>
      <c r="M498" s="2" t="s">
        <v>78</v>
      </c>
      <c r="N498" s="2" t="s">
        <v>63</v>
      </c>
    </row>
    <row r="499" spans="1:14" x14ac:dyDescent="0.3">
      <c r="A499" s="2" t="s">
        <v>70</v>
      </c>
      <c r="B499" s="3">
        <v>12</v>
      </c>
      <c r="C499" s="4" t="s">
        <v>58</v>
      </c>
      <c r="D499" s="2" t="s">
        <v>16</v>
      </c>
      <c r="E499" s="2" t="s">
        <v>68</v>
      </c>
      <c r="F499" s="5">
        <v>0</v>
      </c>
      <c r="G499" s="1">
        <v>0</v>
      </c>
      <c r="H499" s="2">
        <v>4</v>
      </c>
      <c r="I499" s="6">
        <v>1.5972222222222221E-3</v>
      </c>
      <c r="J499" s="2"/>
      <c r="K499" s="2"/>
      <c r="L499" s="2" t="s">
        <v>20</v>
      </c>
      <c r="M499" s="2" t="s">
        <v>76</v>
      </c>
      <c r="N499" s="2" t="s">
        <v>52</v>
      </c>
    </row>
    <row r="500" spans="1:14" x14ac:dyDescent="0.3">
      <c r="A500" s="2" t="s">
        <v>70</v>
      </c>
      <c r="B500" s="3">
        <v>30</v>
      </c>
      <c r="C500" s="4" t="s">
        <v>59</v>
      </c>
      <c r="D500" s="2" t="s">
        <v>28</v>
      </c>
      <c r="E500" s="2" t="s">
        <v>42</v>
      </c>
      <c r="F500" s="5">
        <v>0</v>
      </c>
      <c r="G500" s="1">
        <v>0</v>
      </c>
      <c r="H500" s="2">
        <v>3</v>
      </c>
      <c r="I500" s="6">
        <v>1.5972222222222221E-3</v>
      </c>
      <c r="J500" s="2"/>
      <c r="K500" s="2"/>
      <c r="L500" s="2" t="s">
        <v>43</v>
      </c>
      <c r="M500" s="2" t="s">
        <v>77</v>
      </c>
      <c r="N500" s="2" t="s">
        <v>65</v>
      </c>
    </row>
    <row r="501" spans="1:14" x14ac:dyDescent="0.3">
      <c r="A501" s="2" t="s">
        <v>14</v>
      </c>
      <c r="B501" s="3">
        <v>15</v>
      </c>
      <c r="C501" s="4" t="s">
        <v>55</v>
      </c>
      <c r="D501" s="2" t="s">
        <v>38</v>
      </c>
      <c r="E501" s="2" t="s">
        <v>42</v>
      </c>
      <c r="F501" s="5">
        <v>4</v>
      </c>
      <c r="G501" s="1">
        <v>20000000</v>
      </c>
      <c r="H501" s="2">
        <v>3</v>
      </c>
      <c r="I501" s="6">
        <v>1.6782407407407406E-3</v>
      </c>
      <c r="J501" s="2" t="s">
        <v>61</v>
      </c>
      <c r="K501" s="2" t="s">
        <v>35</v>
      </c>
      <c r="L501" s="2" t="s">
        <v>51</v>
      </c>
      <c r="M501" s="2" t="s">
        <v>78</v>
      </c>
      <c r="N501" s="2" t="s">
        <v>41</v>
      </c>
    </row>
    <row r="502" spans="1:14" x14ac:dyDescent="0.3">
      <c r="A502" s="2" t="s">
        <v>14</v>
      </c>
      <c r="B502" s="3">
        <v>1</v>
      </c>
      <c r="C502" s="4" t="s">
        <v>59</v>
      </c>
      <c r="D502" s="2" t="s">
        <v>38</v>
      </c>
      <c r="E502" s="2" t="s">
        <v>42</v>
      </c>
      <c r="F502" s="5">
        <v>2</v>
      </c>
      <c r="G502" s="1">
        <v>38000000</v>
      </c>
      <c r="H502" s="2">
        <v>2</v>
      </c>
      <c r="I502" s="6">
        <v>1.6782407407407406E-3</v>
      </c>
      <c r="J502" s="2" t="s">
        <v>46</v>
      </c>
      <c r="K502" s="2" t="s">
        <v>24</v>
      </c>
      <c r="L502" s="2" t="s">
        <v>30</v>
      </c>
      <c r="M502" s="2" t="s">
        <v>77</v>
      </c>
      <c r="N502" s="2" t="s">
        <v>34</v>
      </c>
    </row>
    <row r="503" spans="1:14" x14ac:dyDescent="0.3">
      <c r="A503" s="2" t="s">
        <v>14</v>
      </c>
      <c r="B503" s="3">
        <v>1</v>
      </c>
      <c r="C503" s="4" t="s">
        <v>59</v>
      </c>
      <c r="D503" s="2" t="s">
        <v>32</v>
      </c>
      <c r="E503" s="2" t="s">
        <v>23</v>
      </c>
      <c r="F503" s="5">
        <v>2</v>
      </c>
      <c r="G503" s="1">
        <v>12000000</v>
      </c>
      <c r="H503" s="2">
        <v>3</v>
      </c>
      <c r="I503" s="6">
        <v>1.6782407407407406E-3</v>
      </c>
      <c r="J503" s="2" t="s">
        <v>18</v>
      </c>
      <c r="K503" s="2" t="s">
        <v>29</v>
      </c>
      <c r="L503" s="2" t="s">
        <v>48</v>
      </c>
      <c r="M503" s="2" t="s">
        <v>78</v>
      </c>
      <c r="N503" s="2" t="s">
        <v>53</v>
      </c>
    </row>
    <row r="504" spans="1:14" x14ac:dyDescent="0.3">
      <c r="A504" s="2" t="s">
        <v>14</v>
      </c>
      <c r="B504" s="3">
        <v>20</v>
      </c>
      <c r="C504" s="4" t="s">
        <v>59</v>
      </c>
      <c r="D504" s="2" t="s">
        <v>32</v>
      </c>
      <c r="E504" s="2" t="s">
        <v>45</v>
      </c>
      <c r="F504" s="5">
        <v>3</v>
      </c>
      <c r="G504" s="1">
        <v>15000000</v>
      </c>
      <c r="H504" s="2">
        <v>2</v>
      </c>
      <c r="I504" s="6">
        <v>1.6782407407407406E-3</v>
      </c>
      <c r="J504" s="2" t="s">
        <v>18</v>
      </c>
      <c r="K504" s="2" t="s">
        <v>39</v>
      </c>
      <c r="L504" s="2" t="s">
        <v>51</v>
      </c>
      <c r="M504" s="2" t="s">
        <v>78</v>
      </c>
      <c r="N504" s="2" t="s">
        <v>41</v>
      </c>
    </row>
    <row r="505" spans="1:14" x14ac:dyDescent="0.3">
      <c r="A505" s="2" t="s">
        <v>14</v>
      </c>
      <c r="B505" s="3">
        <v>10</v>
      </c>
      <c r="C505" s="4" t="s">
        <v>27</v>
      </c>
      <c r="D505" s="2" t="s">
        <v>32</v>
      </c>
      <c r="E505" s="2" t="s">
        <v>42</v>
      </c>
      <c r="F505" s="5">
        <v>1</v>
      </c>
      <c r="G505" s="1">
        <v>19000000</v>
      </c>
      <c r="H505" s="2">
        <v>3</v>
      </c>
      <c r="I505" s="6">
        <v>1.6782407407407406E-3</v>
      </c>
      <c r="J505" s="2" t="s">
        <v>46</v>
      </c>
      <c r="K505" s="2" t="s">
        <v>56</v>
      </c>
      <c r="L505" s="2" t="s">
        <v>25</v>
      </c>
      <c r="M505" s="2" t="s">
        <v>76</v>
      </c>
      <c r="N505" s="2" t="s">
        <v>52</v>
      </c>
    </row>
    <row r="506" spans="1:14" x14ac:dyDescent="0.3">
      <c r="A506" s="2" t="s">
        <v>14</v>
      </c>
      <c r="B506" s="3">
        <v>14</v>
      </c>
      <c r="C506" s="4" t="s">
        <v>27</v>
      </c>
      <c r="D506" s="2" t="s">
        <v>38</v>
      </c>
      <c r="E506" s="2" t="s">
        <v>17</v>
      </c>
      <c r="F506" s="5">
        <v>3</v>
      </c>
      <c r="G506" s="1">
        <v>11000000</v>
      </c>
      <c r="H506" s="2">
        <v>2</v>
      </c>
      <c r="I506" s="6">
        <v>1.6782407407407406E-3</v>
      </c>
      <c r="J506" s="2" t="s">
        <v>18</v>
      </c>
      <c r="K506" s="2" t="s">
        <v>29</v>
      </c>
      <c r="L506" s="2" t="s">
        <v>33</v>
      </c>
      <c r="M506" s="2" t="s">
        <v>78</v>
      </c>
      <c r="N506" s="2" t="s">
        <v>66</v>
      </c>
    </row>
    <row r="507" spans="1:14" x14ac:dyDescent="0.3">
      <c r="A507" s="2" t="s">
        <v>14</v>
      </c>
      <c r="B507" s="3">
        <v>1</v>
      </c>
      <c r="C507" s="4" t="s">
        <v>37</v>
      </c>
      <c r="D507" s="2" t="s">
        <v>32</v>
      </c>
      <c r="E507" s="2" t="s">
        <v>23</v>
      </c>
      <c r="F507" s="5">
        <v>1</v>
      </c>
      <c r="G507" s="1">
        <v>19000000</v>
      </c>
      <c r="H507" s="2">
        <v>1</v>
      </c>
      <c r="I507" s="6">
        <v>1.6782407407407406E-3</v>
      </c>
      <c r="J507" s="2" t="s">
        <v>46</v>
      </c>
      <c r="K507" s="2" t="s">
        <v>39</v>
      </c>
      <c r="L507" s="2" t="s">
        <v>30</v>
      </c>
      <c r="M507" s="2" t="s">
        <v>76</v>
      </c>
      <c r="N507" s="2" t="s">
        <v>71</v>
      </c>
    </row>
    <row r="508" spans="1:14" x14ac:dyDescent="0.3">
      <c r="A508" s="2" t="s">
        <v>14</v>
      </c>
      <c r="B508" s="3">
        <v>11</v>
      </c>
      <c r="C508" s="4" t="s">
        <v>37</v>
      </c>
      <c r="D508" s="2" t="s">
        <v>16</v>
      </c>
      <c r="E508" s="2" t="s">
        <v>23</v>
      </c>
      <c r="F508" s="5">
        <v>5</v>
      </c>
      <c r="G508" s="1">
        <v>21000000</v>
      </c>
      <c r="H508" s="2">
        <v>1</v>
      </c>
      <c r="I508" s="6">
        <v>1.6782407407407406E-3</v>
      </c>
      <c r="J508" s="2" t="s">
        <v>18</v>
      </c>
      <c r="K508" s="2" t="s">
        <v>19</v>
      </c>
      <c r="L508" s="2" t="s">
        <v>30</v>
      </c>
      <c r="M508" s="2" t="s">
        <v>78</v>
      </c>
      <c r="N508" s="2" t="s">
        <v>66</v>
      </c>
    </row>
    <row r="509" spans="1:14" x14ac:dyDescent="0.3">
      <c r="A509" s="2" t="s">
        <v>14</v>
      </c>
      <c r="B509" s="3">
        <v>15</v>
      </c>
      <c r="C509" s="4" t="s">
        <v>37</v>
      </c>
      <c r="D509" s="2" t="s">
        <v>16</v>
      </c>
      <c r="E509" s="2" t="s">
        <v>42</v>
      </c>
      <c r="F509" s="5">
        <v>2</v>
      </c>
      <c r="G509" s="1">
        <v>10000000</v>
      </c>
      <c r="H509" s="2">
        <v>4</v>
      </c>
      <c r="I509" s="6">
        <v>1.6782407407407406E-3</v>
      </c>
      <c r="J509" s="2" t="s">
        <v>18</v>
      </c>
      <c r="K509" s="2" t="s">
        <v>47</v>
      </c>
      <c r="L509" s="2" t="s">
        <v>51</v>
      </c>
      <c r="M509" s="2" t="s">
        <v>66</v>
      </c>
      <c r="N509" s="2" t="s">
        <v>67</v>
      </c>
    </row>
    <row r="510" spans="1:14" x14ac:dyDescent="0.3">
      <c r="A510" s="2" t="s">
        <v>14</v>
      </c>
      <c r="B510" s="3">
        <v>29</v>
      </c>
      <c r="C510" s="4" t="s">
        <v>37</v>
      </c>
      <c r="D510" s="2" t="s">
        <v>16</v>
      </c>
      <c r="E510" s="2" t="s">
        <v>42</v>
      </c>
      <c r="F510" s="5">
        <v>3</v>
      </c>
      <c r="G510" s="1">
        <v>15000000</v>
      </c>
      <c r="H510" s="2">
        <v>1</v>
      </c>
      <c r="I510" s="6">
        <v>1.6782407407407406E-3</v>
      </c>
      <c r="J510" s="2" t="s">
        <v>18</v>
      </c>
      <c r="K510" s="2" t="s">
        <v>39</v>
      </c>
      <c r="L510" s="2" t="s">
        <v>20</v>
      </c>
      <c r="M510" s="2" t="s">
        <v>78</v>
      </c>
      <c r="N510" s="2" t="s">
        <v>66</v>
      </c>
    </row>
    <row r="511" spans="1:14" x14ac:dyDescent="0.3">
      <c r="A511" s="2" t="s">
        <v>14</v>
      </c>
      <c r="B511" s="3">
        <v>8</v>
      </c>
      <c r="C511" s="4" t="s">
        <v>37</v>
      </c>
      <c r="D511" s="2" t="s">
        <v>32</v>
      </c>
      <c r="E511" s="2" t="s">
        <v>42</v>
      </c>
      <c r="F511" s="5">
        <v>2</v>
      </c>
      <c r="G511" s="1">
        <v>12000000</v>
      </c>
      <c r="H511" s="2">
        <v>5</v>
      </c>
      <c r="I511" s="6">
        <v>1.6782407407407406E-3</v>
      </c>
      <c r="J511" s="2" t="s">
        <v>18</v>
      </c>
      <c r="K511" s="2" t="s">
        <v>50</v>
      </c>
      <c r="L511" s="2" t="s">
        <v>25</v>
      </c>
      <c r="M511" s="2" t="s">
        <v>76</v>
      </c>
      <c r="N511" s="2" t="s">
        <v>52</v>
      </c>
    </row>
    <row r="512" spans="1:14" x14ac:dyDescent="0.3">
      <c r="A512" s="2" t="s">
        <v>14</v>
      </c>
      <c r="B512" s="3">
        <v>8</v>
      </c>
      <c r="C512" s="4" t="s">
        <v>37</v>
      </c>
      <c r="D512" s="2" t="s">
        <v>38</v>
      </c>
      <c r="E512" s="2" t="s">
        <v>17</v>
      </c>
      <c r="F512" s="5">
        <v>5</v>
      </c>
      <c r="G512" s="1">
        <v>25000000</v>
      </c>
      <c r="H512" s="2">
        <v>3</v>
      </c>
      <c r="I512" s="6">
        <v>1.6782407407407406E-3</v>
      </c>
      <c r="J512" s="2" t="s">
        <v>18</v>
      </c>
      <c r="K512" s="2" t="s">
        <v>39</v>
      </c>
      <c r="L512" s="2" t="s">
        <v>48</v>
      </c>
      <c r="M512" s="2" t="s">
        <v>76</v>
      </c>
      <c r="N512" s="2" t="s">
        <v>52</v>
      </c>
    </row>
    <row r="513" spans="1:14" x14ac:dyDescent="0.3">
      <c r="A513" s="2" t="s">
        <v>14</v>
      </c>
      <c r="B513" s="3">
        <v>10</v>
      </c>
      <c r="C513" s="4" t="s">
        <v>44</v>
      </c>
      <c r="D513" s="2" t="s">
        <v>38</v>
      </c>
      <c r="E513" s="2" t="s">
        <v>23</v>
      </c>
      <c r="F513" s="5">
        <v>1</v>
      </c>
      <c r="G513" s="1">
        <v>7000000</v>
      </c>
      <c r="H513" s="2">
        <v>6</v>
      </c>
      <c r="I513" s="6">
        <v>1.6782407407407406E-3</v>
      </c>
      <c r="J513" s="2" t="s">
        <v>18</v>
      </c>
      <c r="K513" s="2" t="s">
        <v>19</v>
      </c>
      <c r="L513" s="2" t="s">
        <v>43</v>
      </c>
      <c r="M513" s="2" t="s">
        <v>77</v>
      </c>
      <c r="N513" s="2" t="s">
        <v>65</v>
      </c>
    </row>
    <row r="514" spans="1:14" x14ac:dyDescent="0.3">
      <c r="A514" s="2" t="s">
        <v>14</v>
      </c>
      <c r="B514" s="3">
        <v>11</v>
      </c>
      <c r="C514" s="4" t="s">
        <v>44</v>
      </c>
      <c r="D514" s="2" t="s">
        <v>28</v>
      </c>
      <c r="E514" s="2" t="s">
        <v>23</v>
      </c>
      <c r="F514" s="5">
        <v>4</v>
      </c>
      <c r="G514" s="1">
        <v>20000000</v>
      </c>
      <c r="H514" s="2">
        <v>2</v>
      </c>
      <c r="I514" s="6">
        <v>1.6782407407407406E-3</v>
      </c>
      <c r="J514" s="2" t="s">
        <v>18</v>
      </c>
      <c r="K514" s="2" t="s">
        <v>47</v>
      </c>
      <c r="L514" s="2" t="s">
        <v>33</v>
      </c>
      <c r="M514" s="2" t="s">
        <v>76</v>
      </c>
      <c r="N514" s="2" t="s">
        <v>31</v>
      </c>
    </row>
    <row r="515" spans="1:14" x14ac:dyDescent="0.3">
      <c r="A515" s="2" t="s">
        <v>14</v>
      </c>
      <c r="B515" s="3">
        <v>22</v>
      </c>
      <c r="C515" s="4" t="s">
        <v>44</v>
      </c>
      <c r="D515" s="2" t="s">
        <v>73</v>
      </c>
      <c r="E515" s="2" t="s">
        <v>17</v>
      </c>
      <c r="F515" s="5">
        <v>2</v>
      </c>
      <c r="G515" s="1">
        <v>12000000</v>
      </c>
      <c r="H515" s="2">
        <v>2</v>
      </c>
      <c r="I515" s="6">
        <v>1.6782407407407406E-3</v>
      </c>
      <c r="J515" s="2" t="s">
        <v>18</v>
      </c>
      <c r="K515" s="2" t="s">
        <v>56</v>
      </c>
      <c r="L515" s="2" t="s">
        <v>33</v>
      </c>
      <c r="M515" s="2" t="s">
        <v>76</v>
      </c>
      <c r="N515" s="2" t="s">
        <v>26</v>
      </c>
    </row>
    <row r="516" spans="1:14" x14ac:dyDescent="0.3">
      <c r="A516" s="2" t="s">
        <v>14</v>
      </c>
      <c r="B516" s="3">
        <v>18</v>
      </c>
      <c r="C516" s="4" t="s">
        <v>44</v>
      </c>
      <c r="D516" s="2" t="s">
        <v>32</v>
      </c>
      <c r="E516" s="2" t="s">
        <v>68</v>
      </c>
      <c r="F516" s="5">
        <v>5</v>
      </c>
      <c r="G516" s="1">
        <v>25000000</v>
      </c>
      <c r="H516" s="2">
        <v>4</v>
      </c>
      <c r="I516" s="6">
        <v>1.6782407407407406E-3</v>
      </c>
      <c r="J516" s="2" t="s">
        <v>18</v>
      </c>
      <c r="K516" s="2" t="s">
        <v>19</v>
      </c>
      <c r="L516" s="2" t="s">
        <v>43</v>
      </c>
      <c r="M516" s="2" t="s">
        <v>77</v>
      </c>
      <c r="N516" s="2" t="s">
        <v>54</v>
      </c>
    </row>
    <row r="517" spans="1:14" x14ac:dyDescent="0.3">
      <c r="A517" s="2" t="s">
        <v>14</v>
      </c>
      <c r="B517" s="3">
        <v>15</v>
      </c>
      <c r="C517" s="4" t="s">
        <v>55</v>
      </c>
      <c r="D517" s="2" t="s">
        <v>38</v>
      </c>
      <c r="E517" s="2" t="s">
        <v>42</v>
      </c>
      <c r="F517" s="5">
        <v>4</v>
      </c>
      <c r="G517" s="1">
        <v>20000000</v>
      </c>
      <c r="H517" s="2">
        <v>3</v>
      </c>
      <c r="I517" s="6">
        <v>1.6782407407407406E-3</v>
      </c>
      <c r="J517" s="2" t="s">
        <v>61</v>
      </c>
      <c r="K517" s="2" t="s">
        <v>35</v>
      </c>
      <c r="L517" s="2" t="s">
        <v>51</v>
      </c>
      <c r="M517" s="2" t="s">
        <v>78</v>
      </c>
      <c r="N517" s="2" t="s">
        <v>41</v>
      </c>
    </row>
    <row r="518" spans="1:14" x14ac:dyDescent="0.3">
      <c r="A518" s="2" t="s">
        <v>14</v>
      </c>
      <c r="B518" s="3">
        <v>1</v>
      </c>
      <c r="C518" s="4" t="s">
        <v>59</v>
      </c>
      <c r="D518" s="2" t="s">
        <v>38</v>
      </c>
      <c r="E518" s="2" t="s">
        <v>42</v>
      </c>
      <c r="F518" s="5">
        <v>2</v>
      </c>
      <c r="G518" s="1">
        <v>38000000</v>
      </c>
      <c r="H518" s="2">
        <v>2</v>
      </c>
      <c r="I518" s="6">
        <v>1.6782407407407406E-3</v>
      </c>
      <c r="J518" s="2" t="s">
        <v>46</v>
      </c>
      <c r="K518" s="2" t="s">
        <v>24</v>
      </c>
      <c r="L518" s="2" t="s">
        <v>30</v>
      </c>
      <c r="M518" s="2" t="s">
        <v>77</v>
      </c>
      <c r="N518" s="2" t="s">
        <v>34</v>
      </c>
    </row>
    <row r="519" spans="1:14" x14ac:dyDescent="0.3">
      <c r="A519" s="2" t="s">
        <v>14</v>
      </c>
      <c r="B519" s="3">
        <v>1</v>
      </c>
      <c r="C519" s="4" t="s">
        <v>59</v>
      </c>
      <c r="D519" s="2" t="s">
        <v>32</v>
      </c>
      <c r="E519" s="2" t="s">
        <v>23</v>
      </c>
      <c r="F519" s="5">
        <v>2</v>
      </c>
      <c r="G519" s="1">
        <v>12000000</v>
      </c>
      <c r="H519" s="2">
        <v>3</v>
      </c>
      <c r="I519" s="6">
        <v>1.6782407407407406E-3</v>
      </c>
      <c r="J519" s="2" t="s">
        <v>18</v>
      </c>
      <c r="K519" s="2" t="s">
        <v>29</v>
      </c>
      <c r="L519" s="2" t="s">
        <v>48</v>
      </c>
      <c r="M519" s="2" t="s">
        <v>78</v>
      </c>
      <c r="N519" s="2" t="s">
        <v>53</v>
      </c>
    </row>
    <row r="520" spans="1:14" x14ac:dyDescent="0.3">
      <c r="A520" s="2" t="s">
        <v>14</v>
      </c>
      <c r="B520" s="3">
        <v>20</v>
      </c>
      <c r="C520" s="4" t="s">
        <v>59</v>
      </c>
      <c r="D520" s="2" t="s">
        <v>32</v>
      </c>
      <c r="E520" s="2" t="s">
        <v>45</v>
      </c>
      <c r="F520" s="5">
        <v>3</v>
      </c>
      <c r="G520" s="1">
        <v>15000000</v>
      </c>
      <c r="H520" s="2">
        <v>2</v>
      </c>
      <c r="I520" s="6">
        <v>1.6782407407407406E-3</v>
      </c>
      <c r="J520" s="2" t="s">
        <v>18</v>
      </c>
      <c r="K520" s="2" t="s">
        <v>39</v>
      </c>
      <c r="L520" s="2" t="s">
        <v>51</v>
      </c>
      <c r="M520" s="2" t="s">
        <v>78</v>
      </c>
      <c r="N520" s="2" t="s">
        <v>41</v>
      </c>
    </row>
    <row r="521" spans="1:14" x14ac:dyDescent="0.3">
      <c r="A521" s="2" t="s">
        <v>70</v>
      </c>
      <c r="B521" s="3">
        <v>12</v>
      </c>
      <c r="C521" s="4" t="s">
        <v>59</v>
      </c>
      <c r="D521" s="2" t="s">
        <v>16</v>
      </c>
      <c r="E521" s="2" t="s">
        <v>23</v>
      </c>
      <c r="F521" s="5">
        <v>0</v>
      </c>
      <c r="G521" s="1">
        <v>0</v>
      </c>
      <c r="H521" s="2">
        <v>2</v>
      </c>
      <c r="I521" s="6">
        <v>1.6782407407407406E-3</v>
      </c>
      <c r="J521" s="2"/>
      <c r="K521" s="2"/>
      <c r="L521" s="2" t="s">
        <v>43</v>
      </c>
      <c r="M521" s="2" t="s">
        <v>66</v>
      </c>
      <c r="N521" s="2" t="s">
        <v>67</v>
      </c>
    </row>
    <row r="522" spans="1:14" x14ac:dyDescent="0.3">
      <c r="A522" s="2" t="s">
        <v>70</v>
      </c>
      <c r="B522" s="3">
        <v>14</v>
      </c>
      <c r="C522" s="4" t="s">
        <v>60</v>
      </c>
      <c r="D522" s="2" t="s">
        <v>16</v>
      </c>
      <c r="E522" s="2" t="s">
        <v>42</v>
      </c>
      <c r="F522" s="5">
        <v>0</v>
      </c>
      <c r="G522" s="1">
        <v>0</v>
      </c>
      <c r="H522" s="2">
        <v>1</v>
      </c>
      <c r="I522" s="6">
        <v>1.6782407407407406E-3</v>
      </c>
      <c r="J522" s="2"/>
      <c r="K522" s="2"/>
      <c r="L522" s="2" t="s">
        <v>51</v>
      </c>
      <c r="M522" s="2" t="s">
        <v>76</v>
      </c>
      <c r="N522" s="2" t="s">
        <v>31</v>
      </c>
    </row>
    <row r="523" spans="1:14" x14ac:dyDescent="0.3">
      <c r="A523" s="2" t="s">
        <v>70</v>
      </c>
      <c r="B523" s="3">
        <v>15</v>
      </c>
      <c r="C523" s="4" t="s">
        <v>22</v>
      </c>
      <c r="D523" s="2" t="s">
        <v>16</v>
      </c>
      <c r="E523" s="2" t="s">
        <v>23</v>
      </c>
      <c r="F523" s="5">
        <v>0</v>
      </c>
      <c r="G523" s="1">
        <v>0</v>
      </c>
      <c r="H523" s="2">
        <v>2</v>
      </c>
      <c r="I523" s="6">
        <v>1.6782407407407406E-3</v>
      </c>
      <c r="J523" s="2"/>
      <c r="K523" s="2"/>
      <c r="L523" s="2" t="s">
        <v>40</v>
      </c>
      <c r="M523" s="2" t="s">
        <v>78</v>
      </c>
      <c r="N523" s="2" t="s">
        <v>62</v>
      </c>
    </row>
    <row r="524" spans="1:14" x14ac:dyDescent="0.3">
      <c r="A524" s="2" t="s">
        <v>70</v>
      </c>
      <c r="B524" s="3">
        <v>20</v>
      </c>
      <c r="C524" s="4" t="s">
        <v>27</v>
      </c>
      <c r="D524" s="2" t="s">
        <v>49</v>
      </c>
      <c r="E524" s="2" t="s">
        <v>23</v>
      </c>
      <c r="F524" s="5">
        <v>0</v>
      </c>
      <c r="G524" s="1">
        <v>0</v>
      </c>
      <c r="H524" s="2">
        <v>1</v>
      </c>
      <c r="I524" s="6">
        <v>1.6782407407407406E-3</v>
      </c>
      <c r="J524" s="2"/>
      <c r="K524" s="2"/>
      <c r="L524" s="2" t="s">
        <v>25</v>
      </c>
      <c r="M524" s="2" t="s">
        <v>77</v>
      </c>
      <c r="N524" s="2" t="s">
        <v>54</v>
      </c>
    </row>
    <row r="525" spans="1:14" x14ac:dyDescent="0.3">
      <c r="A525" s="2" t="s">
        <v>70</v>
      </c>
      <c r="B525" s="3">
        <v>2</v>
      </c>
      <c r="C525" s="4" t="s">
        <v>37</v>
      </c>
      <c r="D525" s="2" t="s">
        <v>16</v>
      </c>
      <c r="E525" s="2" t="s">
        <v>23</v>
      </c>
      <c r="F525" s="5">
        <v>0</v>
      </c>
      <c r="G525" s="1">
        <v>0</v>
      </c>
      <c r="H525" s="2">
        <v>2</v>
      </c>
      <c r="I525" s="6">
        <v>1.6782407407407406E-3</v>
      </c>
      <c r="J525" s="2"/>
      <c r="K525" s="2"/>
      <c r="L525" s="2" t="s">
        <v>30</v>
      </c>
      <c r="M525" s="2" t="s">
        <v>76</v>
      </c>
      <c r="N525" s="2" t="s">
        <v>75</v>
      </c>
    </row>
    <row r="526" spans="1:14" x14ac:dyDescent="0.3">
      <c r="A526" s="2" t="s">
        <v>70</v>
      </c>
      <c r="B526" s="3">
        <v>21</v>
      </c>
      <c r="C526" s="4" t="s">
        <v>37</v>
      </c>
      <c r="D526" s="2" t="s">
        <v>32</v>
      </c>
      <c r="E526" s="2" t="s">
        <v>42</v>
      </c>
      <c r="F526" s="5">
        <v>0</v>
      </c>
      <c r="G526" s="1">
        <v>0</v>
      </c>
      <c r="H526" s="2">
        <v>3</v>
      </c>
      <c r="I526" s="6">
        <v>1.6782407407407406E-3</v>
      </c>
      <c r="J526" s="2"/>
      <c r="K526" s="2"/>
      <c r="L526" s="2" t="s">
        <v>30</v>
      </c>
      <c r="M526" s="2" t="s">
        <v>78</v>
      </c>
      <c r="N526" s="2" t="s">
        <v>62</v>
      </c>
    </row>
    <row r="527" spans="1:14" x14ac:dyDescent="0.3">
      <c r="A527" s="2" t="s">
        <v>70</v>
      </c>
      <c r="B527" s="3">
        <v>23</v>
      </c>
      <c r="C527" s="4" t="s">
        <v>37</v>
      </c>
      <c r="D527" s="2" t="s">
        <v>49</v>
      </c>
      <c r="E527" s="2" t="s">
        <v>42</v>
      </c>
      <c r="F527" s="5">
        <v>0</v>
      </c>
      <c r="G527" s="1">
        <v>0</v>
      </c>
      <c r="H527" s="2">
        <v>3</v>
      </c>
      <c r="I527" s="6">
        <v>1.6782407407407406E-3</v>
      </c>
      <c r="J527" s="2"/>
      <c r="K527" s="2"/>
      <c r="L527" s="2" t="s">
        <v>48</v>
      </c>
      <c r="M527" s="2" t="s">
        <v>66</v>
      </c>
      <c r="N527" s="2" t="s">
        <v>67</v>
      </c>
    </row>
    <row r="528" spans="1:14" x14ac:dyDescent="0.3">
      <c r="A528" s="2" t="s">
        <v>70</v>
      </c>
      <c r="B528" s="3">
        <v>14</v>
      </c>
      <c r="C528" s="4" t="s">
        <v>44</v>
      </c>
      <c r="D528" s="2" t="s">
        <v>16</v>
      </c>
      <c r="E528" s="2" t="s">
        <v>42</v>
      </c>
      <c r="F528" s="5">
        <v>0</v>
      </c>
      <c r="G528" s="1">
        <v>0</v>
      </c>
      <c r="H528" s="2">
        <v>2</v>
      </c>
      <c r="I528" s="6">
        <v>1.6782407407407406E-3</v>
      </c>
      <c r="J528" s="2"/>
      <c r="K528" s="2"/>
      <c r="L528" s="2" t="s">
        <v>43</v>
      </c>
      <c r="M528" s="2" t="s">
        <v>76</v>
      </c>
      <c r="N528" s="2" t="s">
        <v>52</v>
      </c>
    </row>
    <row r="529" spans="1:14" x14ac:dyDescent="0.3">
      <c r="A529" s="2" t="s">
        <v>70</v>
      </c>
      <c r="B529" s="3">
        <v>16</v>
      </c>
      <c r="C529" s="4" t="s">
        <v>44</v>
      </c>
      <c r="D529" s="2" t="s">
        <v>38</v>
      </c>
      <c r="E529" s="2" t="s">
        <v>42</v>
      </c>
      <c r="F529" s="5">
        <v>0</v>
      </c>
      <c r="G529" s="1">
        <v>0</v>
      </c>
      <c r="H529" s="2">
        <v>3</v>
      </c>
      <c r="I529" s="6">
        <v>1.6782407407407406E-3</v>
      </c>
      <c r="J529" s="2"/>
      <c r="K529" s="2"/>
      <c r="L529" s="2" t="s">
        <v>43</v>
      </c>
      <c r="M529" s="2" t="s">
        <v>77</v>
      </c>
      <c r="N529" s="2" t="s">
        <v>65</v>
      </c>
    </row>
    <row r="530" spans="1:14" x14ac:dyDescent="0.3">
      <c r="A530" s="2" t="s">
        <v>70</v>
      </c>
      <c r="B530" s="3">
        <v>12</v>
      </c>
      <c r="C530" s="4" t="s">
        <v>59</v>
      </c>
      <c r="D530" s="2" t="s">
        <v>16</v>
      </c>
      <c r="E530" s="2" t="s">
        <v>23</v>
      </c>
      <c r="F530" s="5">
        <v>0</v>
      </c>
      <c r="G530" s="1">
        <v>0</v>
      </c>
      <c r="H530" s="2">
        <v>2</v>
      </c>
      <c r="I530" s="6">
        <v>1.6782407407407406E-3</v>
      </c>
      <c r="J530" s="2"/>
      <c r="K530" s="2"/>
      <c r="L530" s="2" t="s">
        <v>43</v>
      </c>
      <c r="M530" s="2" t="s">
        <v>66</v>
      </c>
      <c r="N530" s="2" t="s">
        <v>67</v>
      </c>
    </row>
    <row r="531" spans="1:14" x14ac:dyDescent="0.3">
      <c r="A531" s="2" t="s">
        <v>70</v>
      </c>
      <c r="B531" s="3">
        <v>14</v>
      </c>
      <c r="C531" s="4" t="s">
        <v>60</v>
      </c>
      <c r="D531" s="2" t="s">
        <v>16</v>
      </c>
      <c r="E531" s="2" t="s">
        <v>42</v>
      </c>
      <c r="F531" s="5">
        <v>0</v>
      </c>
      <c r="G531" s="1">
        <v>0</v>
      </c>
      <c r="H531" s="2">
        <v>1</v>
      </c>
      <c r="I531" s="6">
        <v>1.6782407407407406E-3</v>
      </c>
      <c r="J531" s="2"/>
      <c r="K531" s="2"/>
      <c r="L531" s="2" t="s">
        <v>51</v>
      </c>
      <c r="M531" s="2" t="s">
        <v>76</v>
      </c>
      <c r="N531" s="2" t="s">
        <v>31</v>
      </c>
    </row>
    <row r="532" spans="1:14" x14ac:dyDescent="0.3">
      <c r="A532" s="2" t="s">
        <v>14</v>
      </c>
      <c r="B532" s="3">
        <v>11</v>
      </c>
      <c r="C532" s="4" t="s">
        <v>55</v>
      </c>
      <c r="D532" s="2" t="s">
        <v>38</v>
      </c>
      <c r="E532" s="2" t="s">
        <v>42</v>
      </c>
      <c r="F532" s="5">
        <v>5</v>
      </c>
      <c r="G532" s="1">
        <v>20000000</v>
      </c>
      <c r="H532" s="2">
        <v>1</v>
      </c>
      <c r="I532" s="6">
        <v>1.736111111111111E-3</v>
      </c>
      <c r="J532" s="2" t="s">
        <v>18</v>
      </c>
      <c r="K532" s="2" t="s">
        <v>29</v>
      </c>
      <c r="L532" s="2" t="s">
        <v>48</v>
      </c>
      <c r="M532" s="2" t="s">
        <v>77</v>
      </c>
      <c r="N532" s="2" t="s">
        <v>54</v>
      </c>
    </row>
    <row r="533" spans="1:14" x14ac:dyDescent="0.3">
      <c r="A533" s="2" t="s">
        <v>14</v>
      </c>
      <c r="B533" s="3">
        <v>14</v>
      </c>
      <c r="C533" s="4" t="s">
        <v>57</v>
      </c>
      <c r="D533" s="2" t="s">
        <v>49</v>
      </c>
      <c r="E533" s="2" t="s">
        <v>42</v>
      </c>
      <c r="F533" s="5">
        <v>2</v>
      </c>
      <c r="G533" s="1">
        <v>10000000</v>
      </c>
      <c r="H533" s="2">
        <v>7</v>
      </c>
      <c r="I533" s="6">
        <v>1.736111111111111E-3</v>
      </c>
      <c r="J533" s="2" t="s">
        <v>18</v>
      </c>
      <c r="K533" s="2" t="s">
        <v>29</v>
      </c>
      <c r="L533" s="2" t="s">
        <v>43</v>
      </c>
      <c r="M533" s="2" t="s">
        <v>78</v>
      </c>
      <c r="N533" s="2" t="s">
        <v>53</v>
      </c>
    </row>
    <row r="534" spans="1:14" x14ac:dyDescent="0.3">
      <c r="A534" s="2" t="s">
        <v>14</v>
      </c>
      <c r="B534" s="3">
        <v>10</v>
      </c>
      <c r="C534" s="4" t="s">
        <v>72</v>
      </c>
      <c r="D534" s="2" t="s">
        <v>32</v>
      </c>
      <c r="E534" s="2" t="s">
        <v>23</v>
      </c>
      <c r="F534" s="5">
        <v>1</v>
      </c>
      <c r="G534" s="1">
        <v>7000000</v>
      </c>
      <c r="H534" s="2">
        <v>1</v>
      </c>
      <c r="I534" s="6">
        <v>1.736111111111111E-3</v>
      </c>
      <c r="J534" s="2" t="s">
        <v>18</v>
      </c>
      <c r="K534" s="2" t="s">
        <v>47</v>
      </c>
      <c r="L534" s="2" t="s">
        <v>30</v>
      </c>
      <c r="M534" s="2" t="s">
        <v>78</v>
      </c>
      <c r="N534" s="2" t="s">
        <v>53</v>
      </c>
    </row>
    <row r="535" spans="1:14" x14ac:dyDescent="0.3">
      <c r="A535" s="2" t="s">
        <v>14</v>
      </c>
      <c r="B535" s="3">
        <v>12</v>
      </c>
      <c r="C535" s="4" t="s">
        <v>72</v>
      </c>
      <c r="D535" s="2" t="s">
        <v>28</v>
      </c>
      <c r="E535" s="2" t="s">
        <v>23</v>
      </c>
      <c r="F535" s="5">
        <v>5</v>
      </c>
      <c r="G535" s="1">
        <v>25000000</v>
      </c>
      <c r="H535" s="2">
        <v>2</v>
      </c>
      <c r="I535" s="6">
        <v>1.736111111111111E-3</v>
      </c>
      <c r="J535" s="2" t="s">
        <v>18</v>
      </c>
      <c r="K535" s="2" t="s">
        <v>19</v>
      </c>
      <c r="L535" s="2" t="s">
        <v>20</v>
      </c>
      <c r="M535" s="2" t="s">
        <v>77</v>
      </c>
      <c r="N535" s="2" t="s">
        <v>65</v>
      </c>
    </row>
    <row r="536" spans="1:14" x14ac:dyDescent="0.3">
      <c r="A536" s="2" t="s">
        <v>14</v>
      </c>
      <c r="B536" s="3">
        <v>22</v>
      </c>
      <c r="C536" s="4" t="s">
        <v>27</v>
      </c>
      <c r="D536" s="2" t="s">
        <v>32</v>
      </c>
      <c r="E536" s="2" t="s">
        <v>42</v>
      </c>
      <c r="F536" s="5">
        <v>1</v>
      </c>
      <c r="G536" s="1">
        <v>19000000</v>
      </c>
      <c r="H536" s="2">
        <v>2</v>
      </c>
      <c r="I536" s="6">
        <v>1.736111111111111E-3</v>
      </c>
      <c r="J536" s="2" t="s">
        <v>46</v>
      </c>
      <c r="K536" s="2" t="s">
        <v>39</v>
      </c>
      <c r="L536" s="2" t="s">
        <v>51</v>
      </c>
      <c r="M536" s="2" t="s">
        <v>66</v>
      </c>
      <c r="N536" s="2" t="s">
        <v>67</v>
      </c>
    </row>
    <row r="537" spans="1:14" x14ac:dyDescent="0.3">
      <c r="A537" s="2" t="s">
        <v>14</v>
      </c>
      <c r="B537" s="3">
        <v>27</v>
      </c>
      <c r="C537" s="4" t="s">
        <v>27</v>
      </c>
      <c r="D537" s="2" t="s">
        <v>16</v>
      </c>
      <c r="E537" s="2" t="s">
        <v>42</v>
      </c>
      <c r="F537" s="5">
        <v>5</v>
      </c>
      <c r="G537" s="1">
        <v>21000000</v>
      </c>
      <c r="H537" s="2">
        <v>3</v>
      </c>
      <c r="I537" s="6">
        <v>1.736111111111111E-3</v>
      </c>
      <c r="J537" s="2" t="s">
        <v>18</v>
      </c>
      <c r="K537" s="2" t="s">
        <v>39</v>
      </c>
      <c r="L537" s="2" t="s">
        <v>43</v>
      </c>
      <c r="M537" s="2" t="s">
        <v>76</v>
      </c>
      <c r="N537" s="2" t="s">
        <v>52</v>
      </c>
    </row>
    <row r="538" spans="1:14" x14ac:dyDescent="0.3">
      <c r="A538" s="2" t="s">
        <v>14</v>
      </c>
      <c r="B538" s="3">
        <v>21</v>
      </c>
      <c r="C538" s="4" t="s">
        <v>37</v>
      </c>
      <c r="D538" s="2" t="s">
        <v>38</v>
      </c>
      <c r="E538" s="2" t="s">
        <v>17</v>
      </c>
      <c r="F538" s="5">
        <v>2</v>
      </c>
      <c r="G538" s="1">
        <v>38000000</v>
      </c>
      <c r="H538" s="2">
        <v>3</v>
      </c>
      <c r="I538" s="6">
        <v>1.736111111111111E-3</v>
      </c>
      <c r="J538" s="2" t="s">
        <v>46</v>
      </c>
      <c r="K538" s="2" t="s">
        <v>35</v>
      </c>
      <c r="L538" s="2" t="s">
        <v>30</v>
      </c>
      <c r="M538" s="2" t="s">
        <v>77</v>
      </c>
      <c r="N538" s="2" t="s">
        <v>54</v>
      </c>
    </row>
    <row r="539" spans="1:14" x14ac:dyDescent="0.3">
      <c r="A539" s="2" t="s">
        <v>14</v>
      </c>
      <c r="B539" s="3">
        <v>24</v>
      </c>
      <c r="C539" s="4" t="s">
        <v>37</v>
      </c>
      <c r="D539" s="2" t="s">
        <v>16</v>
      </c>
      <c r="E539" s="2" t="s">
        <v>23</v>
      </c>
      <c r="F539" s="5">
        <v>4</v>
      </c>
      <c r="G539" s="1">
        <v>20000000</v>
      </c>
      <c r="H539" s="2">
        <v>2</v>
      </c>
      <c r="I539" s="6">
        <v>1.736111111111111E-3</v>
      </c>
      <c r="J539" s="2" t="s">
        <v>61</v>
      </c>
      <c r="K539" s="2" t="s">
        <v>47</v>
      </c>
      <c r="L539" s="2" t="s">
        <v>30</v>
      </c>
      <c r="M539" s="2" t="s">
        <v>77</v>
      </c>
      <c r="N539" s="2" t="s">
        <v>54</v>
      </c>
    </row>
    <row r="540" spans="1:14" x14ac:dyDescent="0.3">
      <c r="A540" s="2" t="s">
        <v>14</v>
      </c>
      <c r="B540" s="3">
        <v>5</v>
      </c>
      <c r="C540" s="4" t="s">
        <v>37</v>
      </c>
      <c r="D540" s="2" t="s">
        <v>16</v>
      </c>
      <c r="E540" s="2" t="s">
        <v>17</v>
      </c>
      <c r="F540" s="5">
        <v>4</v>
      </c>
      <c r="G540" s="1">
        <v>11000000</v>
      </c>
      <c r="H540" s="2">
        <v>4</v>
      </c>
      <c r="I540" s="6">
        <v>1.736111111111111E-3</v>
      </c>
      <c r="J540" s="2" t="s">
        <v>61</v>
      </c>
      <c r="K540" s="2" t="s">
        <v>19</v>
      </c>
      <c r="L540" s="2" t="s">
        <v>40</v>
      </c>
      <c r="M540" s="2" t="s">
        <v>76</v>
      </c>
      <c r="N540" s="2" t="s">
        <v>26</v>
      </c>
    </row>
    <row r="541" spans="1:14" x14ac:dyDescent="0.3">
      <c r="A541" s="2" t="s">
        <v>14</v>
      </c>
      <c r="B541" s="3">
        <v>1</v>
      </c>
      <c r="C541" s="4" t="s">
        <v>37</v>
      </c>
      <c r="D541" s="2" t="s">
        <v>32</v>
      </c>
      <c r="E541" s="2" t="s">
        <v>23</v>
      </c>
      <c r="F541" s="5">
        <v>2</v>
      </c>
      <c r="G541" s="1">
        <v>12000000</v>
      </c>
      <c r="H541" s="2">
        <v>1</v>
      </c>
      <c r="I541" s="6">
        <v>1.736111111111111E-3</v>
      </c>
      <c r="J541" s="2" t="s">
        <v>18</v>
      </c>
      <c r="K541" s="2" t="s">
        <v>29</v>
      </c>
      <c r="L541" s="2" t="s">
        <v>30</v>
      </c>
      <c r="M541" s="2" t="s">
        <v>76</v>
      </c>
      <c r="N541" s="2" t="s">
        <v>31</v>
      </c>
    </row>
    <row r="542" spans="1:14" x14ac:dyDescent="0.3">
      <c r="A542" s="2" t="s">
        <v>14</v>
      </c>
      <c r="B542" s="3">
        <v>8</v>
      </c>
      <c r="C542" s="4" t="s">
        <v>37</v>
      </c>
      <c r="D542" s="2" t="s">
        <v>38</v>
      </c>
      <c r="E542" s="2" t="s">
        <v>42</v>
      </c>
      <c r="F542" s="5">
        <v>3</v>
      </c>
      <c r="G542" s="1">
        <v>15000000</v>
      </c>
      <c r="H542" s="2">
        <v>1</v>
      </c>
      <c r="I542" s="6">
        <v>1.736111111111111E-3</v>
      </c>
      <c r="J542" s="2" t="s">
        <v>18</v>
      </c>
      <c r="K542" s="2" t="s">
        <v>39</v>
      </c>
      <c r="L542" s="2" t="s">
        <v>33</v>
      </c>
      <c r="M542" s="2" t="s">
        <v>76</v>
      </c>
      <c r="N542" s="2" t="s">
        <v>26</v>
      </c>
    </row>
    <row r="543" spans="1:14" x14ac:dyDescent="0.3">
      <c r="A543" s="2" t="s">
        <v>14</v>
      </c>
      <c r="B543" s="3">
        <v>28</v>
      </c>
      <c r="C543" s="4" t="s">
        <v>37</v>
      </c>
      <c r="D543" s="2" t="s">
        <v>32</v>
      </c>
      <c r="E543" s="2" t="s">
        <v>42</v>
      </c>
      <c r="F543" s="5">
        <v>3</v>
      </c>
      <c r="G543" s="1">
        <v>15000000</v>
      </c>
      <c r="H543" s="2">
        <v>2</v>
      </c>
      <c r="I543" s="6">
        <v>1.736111111111111E-3</v>
      </c>
      <c r="J543" s="2" t="s">
        <v>18</v>
      </c>
      <c r="K543" s="2" t="s">
        <v>50</v>
      </c>
      <c r="L543" s="2" t="s">
        <v>33</v>
      </c>
      <c r="M543" s="2" t="s">
        <v>78</v>
      </c>
      <c r="N543" s="2" t="s">
        <v>53</v>
      </c>
    </row>
    <row r="544" spans="1:14" x14ac:dyDescent="0.3">
      <c r="A544" s="2" t="s">
        <v>14</v>
      </c>
      <c r="B544" s="3">
        <v>7</v>
      </c>
      <c r="C544" s="4" t="s">
        <v>37</v>
      </c>
      <c r="D544" s="2" t="s">
        <v>38</v>
      </c>
      <c r="E544" s="2" t="s">
        <v>68</v>
      </c>
      <c r="F544" s="5">
        <v>2</v>
      </c>
      <c r="G544" s="1">
        <v>12000000</v>
      </c>
      <c r="H544" s="2">
        <v>1</v>
      </c>
      <c r="I544" s="6">
        <v>1.736111111111111E-3</v>
      </c>
      <c r="J544" s="2" t="s">
        <v>18</v>
      </c>
      <c r="K544" s="2" t="s">
        <v>35</v>
      </c>
      <c r="L544" s="2" t="s">
        <v>48</v>
      </c>
      <c r="M544" s="2" t="s">
        <v>76</v>
      </c>
      <c r="N544" s="2" t="s">
        <v>31</v>
      </c>
    </row>
    <row r="545" spans="1:14" x14ac:dyDescent="0.3">
      <c r="A545" s="2" t="s">
        <v>14</v>
      </c>
      <c r="B545" s="3">
        <v>30</v>
      </c>
      <c r="C545" s="4" t="s">
        <v>44</v>
      </c>
      <c r="D545" s="2" t="s">
        <v>32</v>
      </c>
      <c r="E545" s="2" t="s">
        <v>17</v>
      </c>
      <c r="F545" s="5">
        <v>3</v>
      </c>
      <c r="G545" s="1">
        <v>15000000</v>
      </c>
      <c r="H545" s="2">
        <v>1</v>
      </c>
      <c r="I545" s="6">
        <v>1.736111111111111E-3</v>
      </c>
      <c r="J545" s="2" t="s">
        <v>18</v>
      </c>
      <c r="K545" s="2" t="s">
        <v>29</v>
      </c>
      <c r="L545" s="2" t="s">
        <v>43</v>
      </c>
      <c r="M545" s="2" t="s">
        <v>77</v>
      </c>
      <c r="N545" s="2" t="s">
        <v>54</v>
      </c>
    </row>
    <row r="546" spans="1:14" x14ac:dyDescent="0.3">
      <c r="A546" s="2" t="s">
        <v>14</v>
      </c>
      <c r="B546" s="3">
        <v>1</v>
      </c>
      <c r="C546" s="4" t="s">
        <v>44</v>
      </c>
      <c r="D546" s="2" t="s">
        <v>28</v>
      </c>
      <c r="E546" s="2" t="s">
        <v>42</v>
      </c>
      <c r="F546" s="5">
        <v>4</v>
      </c>
      <c r="G546" s="1">
        <v>20000000</v>
      </c>
      <c r="H546" s="2">
        <v>3</v>
      </c>
      <c r="I546" s="6">
        <v>1.736111111111111E-3</v>
      </c>
      <c r="J546" s="2" t="s">
        <v>18</v>
      </c>
      <c r="K546" s="2" t="s">
        <v>56</v>
      </c>
      <c r="L546" s="2" t="s">
        <v>25</v>
      </c>
      <c r="M546" s="2" t="s">
        <v>66</v>
      </c>
      <c r="N546" s="2" t="s">
        <v>36</v>
      </c>
    </row>
    <row r="547" spans="1:14" x14ac:dyDescent="0.3">
      <c r="A547" s="2" t="s">
        <v>14</v>
      </c>
      <c r="B547" s="3">
        <v>5</v>
      </c>
      <c r="C547" s="4" t="s">
        <v>44</v>
      </c>
      <c r="D547" s="2" t="s">
        <v>38</v>
      </c>
      <c r="E547" s="2" t="s">
        <v>17</v>
      </c>
      <c r="F547" s="5">
        <v>2</v>
      </c>
      <c r="G547" s="1">
        <v>12000000</v>
      </c>
      <c r="H547" s="2">
        <v>3</v>
      </c>
      <c r="I547" s="6">
        <v>1.736111111111111E-3</v>
      </c>
      <c r="J547" s="2" t="s">
        <v>18</v>
      </c>
      <c r="K547" s="2" t="s">
        <v>19</v>
      </c>
      <c r="L547" s="2" t="s">
        <v>51</v>
      </c>
      <c r="M547" s="2" t="s">
        <v>78</v>
      </c>
      <c r="N547" s="2" t="s">
        <v>53</v>
      </c>
    </row>
    <row r="548" spans="1:14" x14ac:dyDescent="0.3">
      <c r="A548" s="2" t="s">
        <v>14</v>
      </c>
      <c r="B548" s="3">
        <v>1</v>
      </c>
      <c r="C548" s="4" t="s">
        <v>69</v>
      </c>
      <c r="D548" s="2" t="s">
        <v>32</v>
      </c>
      <c r="E548" s="2" t="s">
        <v>23</v>
      </c>
      <c r="F548" s="5">
        <v>2</v>
      </c>
      <c r="G548" s="1">
        <v>12000000</v>
      </c>
      <c r="H548" s="2">
        <v>4</v>
      </c>
      <c r="I548" s="6">
        <v>1.736111111111111E-3</v>
      </c>
      <c r="J548" s="2" t="s">
        <v>18</v>
      </c>
      <c r="K548" s="2" t="s">
        <v>19</v>
      </c>
      <c r="L548" s="2" t="s">
        <v>20</v>
      </c>
      <c r="M548" s="2" t="s">
        <v>66</v>
      </c>
      <c r="N548" s="2" t="s">
        <v>67</v>
      </c>
    </row>
    <row r="549" spans="1:14" x14ac:dyDescent="0.3">
      <c r="A549" s="2" t="s">
        <v>14</v>
      </c>
      <c r="B549" s="3">
        <v>2</v>
      </c>
      <c r="C549" s="4" t="s">
        <v>69</v>
      </c>
      <c r="D549" s="2" t="s">
        <v>16</v>
      </c>
      <c r="E549" s="2" t="s">
        <v>42</v>
      </c>
      <c r="F549" s="5">
        <v>2</v>
      </c>
      <c r="G549" s="1">
        <v>12000000</v>
      </c>
      <c r="H549" s="2">
        <v>1</v>
      </c>
      <c r="I549" s="6">
        <v>1.736111111111111E-3</v>
      </c>
      <c r="J549" s="2" t="s">
        <v>18</v>
      </c>
      <c r="K549" s="2" t="s">
        <v>64</v>
      </c>
      <c r="L549" s="2" t="s">
        <v>51</v>
      </c>
      <c r="M549" s="2" t="s">
        <v>66</v>
      </c>
      <c r="N549" s="2" t="s">
        <v>67</v>
      </c>
    </row>
    <row r="550" spans="1:14" x14ac:dyDescent="0.3">
      <c r="A550" s="2" t="s">
        <v>14</v>
      </c>
      <c r="B550" s="3">
        <v>11</v>
      </c>
      <c r="C550" s="4" t="s">
        <v>55</v>
      </c>
      <c r="D550" s="2" t="s">
        <v>38</v>
      </c>
      <c r="E550" s="2" t="s">
        <v>42</v>
      </c>
      <c r="F550" s="5">
        <v>5</v>
      </c>
      <c r="G550" s="1">
        <v>20000000</v>
      </c>
      <c r="H550" s="2">
        <v>1</v>
      </c>
      <c r="I550" s="6">
        <v>1.736111111111111E-3</v>
      </c>
      <c r="J550" s="2" t="s">
        <v>18</v>
      </c>
      <c r="K550" s="2" t="s">
        <v>29</v>
      </c>
      <c r="L550" s="2" t="s">
        <v>48</v>
      </c>
      <c r="M550" s="2" t="s">
        <v>77</v>
      </c>
      <c r="N550" s="2" t="s">
        <v>54</v>
      </c>
    </row>
    <row r="551" spans="1:14" x14ac:dyDescent="0.3">
      <c r="A551" s="2" t="s">
        <v>14</v>
      </c>
      <c r="B551" s="3">
        <v>14</v>
      </c>
      <c r="C551" s="4" t="s">
        <v>57</v>
      </c>
      <c r="D551" s="2" t="s">
        <v>49</v>
      </c>
      <c r="E551" s="2" t="s">
        <v>42</v>
      </c>
      <c r="F551" s="5">
        <v>2</v>
      </c>
      <c r="G551" s="1">
        <v>10000000</v>
      </c>
      <c r="H551" s="2">
        <v>7</v>
      </c>
      <c r="I551" s="6">
        <v>1.736111111111111E-3</v>
      </c>
      <c r="J551" s="2" t="s">
        <v>18</v>
      </c>
      <c r="K551" s="2" t="s">
        <v>29</v>
      </c>
      <c r="L551" s="2" t="s">
        <v>43</v>
      </c>
      <c r="M551" s="2" t="s">
        <v>78</v>
      </c>
      <c r="N551" s="2" t="s">
        <v>53</v>
      </c>
    </row>
    <row r="552" spans="1:14" x14ac:dyDescent="0.3">
      <c r="A552" s="2" t="s">
        <v>14</v>
      </c>
      <c r="B552" s="3">
        <v>10</v>
      </c>
      <c r="C552" s="4" t="s">
        <v>72</v>
      </c>
      <c r="D552" s="2" t="s">
        <v>32</v>
      </c>
      <c r="E552" s="2" t="s">
        <v>23</v>
      </c>
      <c r="F552" s="5">
        <v>1</v>
      </c>
      <c r="G552" s="1">
        <v>7000000</v>
      </c>
      <c r="H552" s="2">
        <v>1</v>
      </c>
      <c r="I552" s="6">
        <v>1.736111111111111E-3</v>
      </c>
      <c r="J552" s="2" t="s">
        <v>18</v>
      </c>
      <c r="K552" s="2" t="s">
        <v>47</v>
      </c>
      <c r="L552" s="2" t="s">
        <v>30</v>
      </c>
      <c r="M552" s="2" t="s">
        <v>78</v>
      </c>
      <c r="N552" s="2" t="s">
        <v>53</v>
      </c>
    </row>
    <row r="553" spans="1:14" x14ac:dyDescent="0.3">
      <c r="A553" s="2" t="s">
        <v>14</v>
      </c>
      <c r="B553" s="3">
        <v>12</v>
      </c>
      <c r="C553" s="4" t="s">
        <v>72</v>
      </c>
      <c r="D553" s="2" t="s">
        <v>28</v>
      </c>
      <c r="E553" s="2" t="s">
        <v>23</v>
      </c>
      <c r="F553" s="5">
        <v>5</v>
      </c>
      <c r="G553" s="1">
        <v>25000000</v>
      </c>
      <c r="H553" s="2">
        <v>2</v>
      </c>
      <c r="I553" s="6">
        <v>1.736111111111111E-3</v>
      </c>
      <c r="J553" s="2" t="s">
        <v>18</v>
      </c>
      <c r="K553" s="2" t="s">
        <v>19</v>
      </c>
      <c r="L553" s="2" t="s">
        <v>20</v>
      </c>
      <c r="M553" s="2" t="s">
        <v>77</v>
      </c>
      <c r="N553" s="2" t="s">
        <v>65</v>
      </c>
    </row>
    <row r="554" spans="1:14" x14ac:dyDescent="0.3">
      <c r="A554" s="2" t="s">
        <v>70</v>
      </c>
      <c r="B554" s="3">
        <v>11</v>
      </c>
      <c r="C554" s="4" t="s">
        <v>59</v>
      </c>
      <c r="D554" s="2" t="s">
        <v>16</v>
      </c>
      <c r="E554" s="2" t="s">
        <v>23</v>
      </c>
      <c r="F554" s="5">
        <v>0</v>
      </c>
      <c r="G554" s="1">
        <v>0</v>
      </c>
      <c r="H554" s="2">
        <v>2</v>
      </c>
      <c r="I554" s="6">
        <v>1.736111111111111E-3</v>
      </c>
      <c r="J554" s="2"/>
      <c r="K554" s="2"/>
      <c r="L554" s="2" t="s">
        <v>48</v>
      </c>
      <c r="M554" s="2" t="s">
        <v>66</v>
      </c>
      <c r="N554" s="2" t="s">
        <v>67</v>
      </c>
    </row>
    <row r="555" spans="1:14" x14ac:dyDescent="0.3">
      <c r="A555" s="2" t="s">
        <v>70</v>
      </c>
      <c r="B555" s="3">
        <v>27</v>
      </c>
      <c r="C555" s="4" t="s">
        <v>59</v>
      </c>
      <c r="D555" s="2" t="s">
        <v>38</v>
      </c>
      <c r="E555" s="2" t="s">
        <v>42</v>
      </c>
      <c r="F555" s="5">
        <v>0</v>
      </c>
      <c r="G555" s="1">
        <v>0</v>
      </c>
      <c r="H555" s="2">
        <v>3</v>
      </c>
      <c r="I555" s="6">
        <v>1.736111111111111E-3</v>
      </c>
      <c r="J555" s="2"/>
      <c r="K555" s="2"/>
      <c r="L555" s="2" t="s">
        <v>30</v>
      </c>
      <c r="M555" s="2" t="s">
        <v>78</v>
      </c>
      <c r="N555" s="2" t="s">
        <v>41</v>
      </c>
    </row>
    <row r="556" spans="1:14" x14ac:dyDescent="0.3">
      <c r="A556" s="2" t="s">
        <v>70</v>
      </c>
      <c r="B556" s="3">
        <v>20</v>
      </c>
      <c r="C556" s="4" t="s">
        <v>27</v>
      </c>
      <c r="D556" s="2" t="s">
        <v>16</v>
      </c>
      <c r="E556" s="2" t="s">
        <v>23</v>
      </c>
      <c r="F556" s="5">
        <v>0</v>
      </c>
      <c r="G556" s="1">
        <v>0</v>
      </c>
      <c r="H556" s="2">
        <v>2</v>
      </c>
      <c r="I556" s="6">
        <v>1.736111111111111E-3</v>
      </c>
      <c r="J556" s="2"/>
      <c r="K556" s="2"/>
      <c r="L556" s="2" t="s">
        <v>43</v>
      </c>
      <c r="M556" s="2" t="s">
        <v>76</v>
      </c>
      <c r="N556" s="2" t="s">
        <v>26</v>
      </c>
    </row>
    <row r="557" spans="1:14" x14ac:dyDescent="0.3">
      <c r="A557" s="2" t="s">
        <v>70</v>
      </c>
      <c r="B557" s="3">
        <v>1</v>
      </c>
      <c r="C557" s="4" t="s">
        <v>37</v>
      </c>
      <c r="D557" s="2" t="s">
        <v>32</v>
      </c>
      <c r="E557" s="2" t="s">
        <v>23</v>
      </c>
      <c r="F557" s="5">
        <v>0</v>
      </c>
      <c r="G557" s="1">
        <v>0</v>
      </c>
      <c r="H557" s="2">
        <v>4</v>
      </c>
      <c r="I557" s="6">
        <v>1.736111111111111E-3</v>
      </c>
      <c r="J557" s="2"/>
      <c r="K557" s="2"/>
      <c r="L557" s="2" t="s">
        <v>48</v>
      </c>
      <c r="M557" s="2" t="s">
        <v>78</v>
      </c>
      <c r="N557" s="2" t="s">
        <v>53</v>
      </c>
    </row>
    <row r="558" spans="1:14" x14ac:dyDescent="0.3">
      <c r="A558" s="2" t="s">
        <v>70</v>
      </c>
      <c r="B558" s="3">
        <v>1</v>
      </c>
      <c r="C558" s="4" t="s">
        <v>44</v>
      </c>
      <c r="D558" s="2" t="s">
        <v>16</v>
      </c>
      <c r="E558" s="2" t="s">
        <v>42</v>
      </c>
      <c r="F558" s="5">
        <v>0</v>
      </c>
      <c r="G558" s="1">
        <v>0</v>
      </c>
      <c r="H558" s="2">
        <v>4</v>
      </c>
      <c r="I558" s="6">
        <v>1.736111111111111E-3</v>
      </c>
      <c r="J558" s="2"/>
      <c r="K558" s="2"/>
      <c r="L558" s="2" t="s">
        <v>33</v>
      </c>
      <c r="M558" s="2" t="s">
        <v>76</v>
      </c>
      <c r="N558" s="2" t="s">
        <v>31</v>
      </c>
    </row>
    <row r="559" spans="1:14" x14ac:dyDescent="0.3">
      <c r="A559" s="2" t="s">
        <v>70</v>
      </c>
      <c r="B559" s="3">
        <v>25</v>
      </c>
      <c r="C559" s="4" t="s">
        <v>44</v>
      </c>
      <c r="D559" s="2" t="s">
        <v>28</v>
      </c>
      <c r="E559" s="2" t="s">
        <v>17</v>
      </c>
      <c r="F559" s="5">
        <v>0</v>
      </c>
      <c r="G559" s="1">
        <v>0</v>
      </c>
      <c r="H559" s="2">
        <v>3</v>
      </c>
      <c r="I559" s="6">
        <v>1.736111111111111E-3</v>
      </c>
      <c r="J559" s="2"/>
      <c r="K559" s="2"/>
      <c r="L559" s="2" t="s">
        <v>25</v>
      </c>
      <c r="M559" s="2" t="s">
        <v>78</v>
      </c>
      <c r="N559" s="2" t="s">
        <v>53</v>
      </c>
    </row>
    <row r="560" spans="1:14" x14ac:dyDescent="0.3">
      <c r="A560" s="2" t="s">
        <v>70</v>
      </c>
      <c r="B560" s="3">
        <v>3</v>
      </c>
      <c r="C560" s="4" t="s">
        <v>69</v>
      </c>
      <c r="D560" s="2" t="s">
        <v>38</v>
      </c>
      <c r="E560" s="2" t="s">
        <v>23</v>
      </c>
      <c r="F560" s="5">
        <v>0</v>
      </c>
      <c r="G560" s="1">
        <v>0</v>
      </c>
      <c r="H560" s="2">
        <v>1</v>
      </c>
      <c r="I560" s="6">
        <v>1.736111111111111E-3</v>
      </c>
      <c r="J560" s="2"/>
      <c r="K560" s="2"/>
      <c r="L560" s="2" t="s">
        <v>30</v>
      </c>
      <c r="M560" s="2" t="s">
        <v>77</v>
      </c>
      <c r="N560" s="2" t="s">
        <v>65</v>
      </c>
    </row>
    <row r="561" spans="1:14" x14ac:dyDescent="0.3">
      <c r="A561" s="2" t="s">
        <v>70</v>
      </c>
      <c r="B561" s="3">
        <v>10</v>
      </c>
      <c r="C561" s="4" t="s">
        <v>69</v>
      </c>
      <c r="D561" s="2" t="s">
        <v>32</v>
      </c>
      <c r="E561" s="2" t="s">
        <v>23</v>
      </c>
      <c r="F561" s="5">
        <v>0</v>
      </c>
      <c r="G561" s="1">
        <v>0</v>
      </c>
      <c r="H561" s="2">
        <v>1</v>
      </c>
      <c r="I561" s="6">
        <v>1.736111111111111E-3</v>
      </c>
      <c r="J561" s="2"/>
      <c r="K561" s="2"/>
      <c r="L561" s="2" t="s">
        <v>33</v>
      </c>
      <c r="M561" s="2" t="s">
        <v>76</v>
      </c>
      <c r="N561" s="2" t="s">
        <v>31</v>
      </c>
    </row>
    <row r="562" spans="1:14" x14ac:dyDescent="0.3">
      <c r="A562" s="2" t="s">
        <v>70</v>
      </c>
      <c r="B562" s="3">
        <v>11</v>
      </c>
      <c r="C562" s="4" t="s">
        <v>59</v>
      </c>
      <c r="D562" s="2" t="s">
        <v>16</v>
      </c>
      <c r="E562" s="2" t="s">
        <v>23</v>
      </c>
      <c r="F562" s="5">
        <v>0</v>
      </c>
      <c r="G562" s="1">
        <v>0</v>
      </c>
      <c r="H562" s="2">
        <v>2</v>
      </c>
      <c r="I562" s="6">
        <v>1.736111111111111E-3</v>
      </c>
      <c r="J562" s="2"/>
      <c r="K562" s="2"/>
      <c r="L562" s="2" t="s">
        <v>48</v>
      </c>
      <c r="M562" s="2" t="s">
        <v>66</v>
      </c>
      <c r="N562" s="2" t="s">
        <v>67</v>
      </c>
    </row>
    <row r="563" spans="1:14" x14ac:dyDescent="0.3">
      <c r="A563" s="2" t="s">
        <v>70</v>
      </c>
      <c r="B563" s="3">
        <v>27</v>
      </c>
      <c r="C563" s="4" t="s">
        <v>59</v>
      </c>
      <c r="D563" s="2" t="s">
        <v>38</v>
      </c>
      <c r="E563" s="2" t="s">
        <v>42</v>
      </c>
      <c r="F563" s="5">
        <v>0</v>
      </c>
      <c r="G563" s="1">
        <v>0</v>
      </c>
      <c r="H563" s="2">
        <v>3</v>
      </c>
      <c r="I563" s="6">
        <v>1.736111111111111E-3</v>
      </c>
      <c r="J563" s="2"/>
      <c r="K563" s="2"/>
      <c r="L563" s="2" t="s">
        <v>30</v>
      </c>
      <c r="M563" s="2" t="s">
        <v>78</v>
      </c>
      <c r="N563" s="2" t="s">
        <v>41</v>
      </c>
    </row>
    <row r="564" spans="1:14" x14ac:dyDescent="0.3">
      <c r="A564" s="2" t="s">
        <v>14</v>
      </c>
      <c r="B564" s="3">
        <v>11</v>
      </c>
      <c r="C564" s="4" t="s">
        <v>57</v>
      </c>
      <c r="D564" s="2" t="s">
        <v>16</v>
      </c>
      <c r="E564" s="2" t="s">
        <v>42</v>
      </c>
      <c r="F564" s="5">
        <v>4</v>
      </c>
      <c r="G564" s="1">
        <v>20000000</v>
      </c>
      <c r="H564" s="2">
        <v>2</v>
      </c>
      <c r="I564" s="6">
        <v>1.9675925925925928E-3</v>
      </c>
      <c r="J564" s="2" t="s">
        <v>18</v>
      </c>
      <c r="K564" s="2" t="s">
        <v>19</v>
      </c>
      <c r="L564" s="2" t="s">
        <v>43</v>
      </c>
      <c r="M564" s="2" t="s">
        <v>78</v>
      </c>
      <c r="N564" s="2" t="s">
        <v>63</v>
      </c>
    </row>
    <row r="565" spans="1:14" x14ac:dyDescent="0.3">
      <c r="A565" s="2" t="s">
        <v>14</v>
      </c>
      <c r="B565" s="3">
        <v>12</v>
      </c>
      <c r="C565" s="4" t="s">
        <v>27</v>
      </c>
      <c r="D565" s="2" t="s">
        <v>32</v>
      </c>
      <c r="E565" s="2" t="s">
        <v>45</v>
      </c>
      <c r="F565" s="5">
        <v>2</v>
      </c>
      <c r="G565" s="1">
        <v>38000000</v>
      </c>
      <c r="H565" s="2">
        <v>1</v>
      </c>
      <c r="I565" s="6">
        <v>1.9675925925925928E-3</v>
      </c>
      <c r="J565" s="2" t="s">
        <v>46</v>
      </c>
      <c r="K565" s="2" t="s">
        <v>56</v>
      </c>
      <c r="L565" s="2" t="s">
        <v>30</v>
      </c>
      <c r="M565" s="2" t="s">
        <v>76</v>
      </c>
      <c r="N565" s="2" t="s">
        <v>71</v>
      </c>
    </row>
    <row r="566" spans="1:14" x14ac:dyDescent="0.3">
      <c r="A566" s="2" t="s">
        <v>14</v>
      </c>
      <c r="B566" s="3">
        <v>30</v>
      </c>
      <c r="C566" s="4" t="s">
        <v>27</v>
      </c>
      <c r="D566" s="2" t="s">
        <v>32</v>
      </c>
      <c r="E566" s="2" t="s">
        <v>23</v>
      </c>
      <c r="F566" s="5">
        <v>5</v>
      </c>
      <c r="G566" s="1">
        <v>25000000</v>
      </c>
      <c r="H566" s="2">
        <v>2</v>
      </c>
      <c r="I566" s="6">
        <v>1.9675925925925928E-3</v>
      </c>
      <c r="J566" s="2" t="s">
        <v>18</v>
      </c>
      <c r="K566" s="2" t="s">
        <v>29</v>
      </c>
      <c r="L566" s="2" t="s">
        <v>30</v>
      </c>
      <c r="M566" s="2" t="s">
        <v>78</v>
      </c>
      <c r="N566" s="2" t="s">
        <v>66</v>
      </c>
    </row>
    <row r="567" spans="1:14" x14ac:dyDescent="0.3">
      <c r="A567" s="2" t="s">
        <v>14</v>
      </c>
      <c r="B567" s="3">
        <v>27</v>
      </c>
      <c r="C567" s="4" t="s">
        <v>37</v>
      </c>
      <c r="D567" s="2" t="s">
        <v>32</v>
      </c>
      <c r="E567" s="2" t="s">
        <v>42</v>
      </c>
      <c r="F567" s="5">
        <v>1</v>
      </c>
      <c r="G567" s="1">
        <v>19000000</v>
      </c>
      <c r="H567" s="2">
        <v>1</v>
      </c>
      <c r="I567" s="6">
        <v>1.9675925925925928E-3</v>
      </c>
      <c r="J567" s="2" t="s">
        <v>46</v>
      </c>
      <c r="K567" s="2" t="s">
        <v>39</v>
      </c>
      <c r="L567" s="2" t="s">
        <v>33</v>
      </c>
      <c r="M567" s="2" t="s">
        <v>78</v>
      </c>
      <c r="N567" s="2" t="s">
        <v>41</v>
      </c>
    </row>
    <row r="568" spans="1:14" x14ac:dyDescent="0.3">
      <c r="A568" s="2" t="s">
        <v>14</v>
      </c>
      <c r="B568" s="3">
        <v>31</v>
      </c>
      <c r="C568" s="4" t="s">
        <v>37</v>
      </c>
      <c r="D568" s="2" t="s">
        <v>28</v>
      </c>
      <c r="E568" s="2" t="s">
        <v>23</v>
      </c>
      <c r="F568" s="5">
        <v>2</v>
      </c>
      <c r="G568" s="1">
        <v>12000000</v>
      </c>
      <c r="H568" s="2">
        <v>2</v>
      </c>
      <c r="I568" s="6">
        <v>1.9675925925925928E-3</v>
      </c>
      <c r="J568" s="2" t="s">
        <v>18</v>
      </c>
      <c r="K568" s="2" t="s">
        <v>56</v>
      </c>
      <c r="L568" s="2" t="s">
        <v>33</v>
      </c>
      <c r="M568" s="2" t="s">
        <v>77</v>
      </c>
      <c r="N568" s="2" t="s">
        <v>34</v>
      </c>
    </row>
    <row r="569" spans="1:14" x14ac:dyDescent="0.3">
      <c r="A569" s="2" t="s">
        <v>14</v>
      </c>
      <c r="B569" s="3">
        <v>25</v>
      </c>
      <c r="C569" s="4" t="s">
        <v>37</v>
      </c>
      <c r="D569" s="2" t="s">
        <v>16</v>
      </c>
      <c r="E569" s="2" t="s">
        <v>42</v>
      </c>
      <c r="F569" s="5">
        <v>3</v>
      </c>
      <c r="G569" s="1">
        <v>15000000</v>
      </c>
      <c r="H569" s="2">
        <v>2</v>
      </c>
      <c r="I569" s="6">
        <v>1.9675925925925928E-3</v>
      </c>
      <c r="J569" s="2" t="s">
        <v>18</v>
      </c>
      <c r="K569" s="2" t="s">
        <v>29</v>
      </c>
      <c r="L569" s="2" t="s">
        <v>20</v>
      </c>
      <c r="M569" s="2" t="s">
        <v>76</v>
      </c>
      <c r="N569" s="2" t="s">
        <v>52</v>
      </c>
    </row>
    <row r="570" spans="1:14" x14ac:dyDescent="0.3">
      <c r="A570" s="2" t="s">
        <v>14</v>
      </c>
      <c r="B570" s="3">
        <v>27</v>
      </c>
      <c r="C570" s="4" t="s">
        <v>37</v>
      </c>
      <c r="D570" s="2" t="s">
        <v>38</v>
      </c>
      <c r="E570" s="2" t="s">
        <v>17</v>
      </c>
      <c r="F570" s="5">
        <v>2</v>
      </c>
      <c r="G570" s="1">
        <v>12000000</v>
      </c>
      <c r="H570" s="2">
        <v>2</v>
      </c>
      <c r="I570" s="6">
        <v>1.9675925925925928E-3</v>
      </c>
      <c r="J570" s="2" t="s">
        <v>18</v>
      </c>
      <c r="K570" s="2" t="s">
        <v>24</v>
      </c>
      <c r="L570" s="2" t="s">
        <v>51</v>
      </c>
      <c r="M570" s="2" t="s">
        <v>76</v>
      </c>
      <c r="N570" s="2" t="s">
        <v>31</v>
      </c>
    </row>
    <row r="571" spans="1:14" x14ac:dyDescent="0.3">
      <c r="A571" s="2" t="s">
        <v>14</v>
      </c>
      <c r="B571" s="3">
        <v>29</v>
      </c>
      <c r="C571" s="4" t="s">
        <v>44</v>
      </c>
      <c r="D571" s="2" t="s">
        <v>38</v>
      </c>
      <c r="E571" s="2" t="s">
        <v>68</v>
      </c>
      <c r="F571" s="5">
        <v>4</v>
      </c>
      <c r="G571" s="1">
        <v>11000000</v>
      </c>
      <c r="H571" s="2">
        <v>3</v>
      </c>
      <c r="I571" s="6">
        <v>1.9675925925925928E-3</v>
      </c>
      <c r="J571" s="2" t="s">
        <v>61</v>
      </c>
      <c r="K571" s="2" t="s">
        <v>56</v>
      </c>
      <c r="L571" s="2" t="s">
        <v>51</v>
      </c>
      <c r="M571" s="2" t="s">
        <v>77</v>
      </c>
      <c r="N571" s="2" t="s">
        <v>54</v>
      </c>
    </row>
    <row r="572" spans="1:14" x14ac:dyDescent="0.3">
      <c r="A572" s="2" t="s">
        <v>14</v>
      </c>
      <c r="B572" s="3">
        <v>18</v>
      </c>
      <c r="C572" s="4" t="s">
        <v>44</v>
      </c>
      <c r="D572" s="2" t="s">
        <v>32</v>
      </c>
      <c r="E572" s="2" t="s">
        <v>17</v>
      </c>
      <c r="F572" s="5">
        <v>5</v>
      </c>
      <c r="G572" s="1">
        <v>21000000</v>
      </c>
      <c r="H572" s="2">
        <v>1</v>
      </c>
      <c r="I572" s="6">
        <v>1.9675925925925928E-3</v>
      </c>
      <c r="J572" s="2" t="s">
        <v>18</v>
      </c>
      <c r="K572" s="2" t="s">
        <v>19</v>
      </c>
      <c r="L572" s="2" t="s">
        <v>48</v>
      </c>
      <c r="M572" s="2" t="s">
        <v>66</v>
      </c>
      <c r="N572" s="2" t="s">
        <v>36</v>
      </c>
    </row>
    <row r="573" spans="1:14" x14ac:dyDescent="0.3">
      <c r="A573" s="2" t="s">
        <v>14</v>
      </c>
      <c r="B573" s="3">
        <v>16</v>
      </c>
      <c r="C573" s="4" t="s">
        <v>69</v>
      </c>
      <c r="D573" s="2" t="s">
        <v>28</v>
      </c>
      <c r="E573" s="2" t="s">
        <v>42</v>
      </c>
      <c r="F573" s="5">
        <v>3</v>
      </c>
      <c r="G573" s="1">
        <v>15000000</v>
      </c>
      <c r="H573" s="2">
        <v>6</v>
      </c>
      <c r="I573" s="6">
        <v>1.9675925925925928E-3</v>
      </c>
      <c r="J573" s="2" t="s">
        <v>18</v>
      </c>
      <c r="K573" s="2" t="s">
        <v>29</v>
      </c>
      <c r="L573" s="2" t="s">
        <v>48</v>
      </c>
      <c r="M573" s="2" t="s">
        <v>76</v>
      </c>
      <c r="N573" s="2" t="s">
        <v>52</v>
      </c>
    </row>
    <row r="574" spans="1:14" x14ac:dyDescent="0.3">
      <c r="A574" s="2" t="s">
        <v>14</v>
      </c>
      <c r="B574" s="3">
        <v>11</v>
      </c>
      <c r="C574" s="4" t="s">
        <v>57</v>
      </c>
      <c r="D574" s="2" t="s">
        <v>16</v>
      </c>
      <c r="E574" s="2" t="s">
        <v>42</v>
      </c>
      <c r="F574" s="5">
        <v>4</v>
      </c>
      <c r="G574" s="1">
        <v>20000000</v>
      </c>
      <c r="H574" s="2">
        <v>2</v>
      </c>
      <c r="I574" s="6">
        <v>1.9675925925925928E-3</v>
      </c>
      <c r="J574" s="2" t="s">
        <v>18</v>
      </c>
      <c r="K574" s="2" t="s">
        <v>19</v>
      </c>
      <c r="L574" s="2" t="s">
        <v>43</v>
      </c>
      <c r="M574" s="2" t="s">
        <v>78</v>
      </c>
      <c r="N574" s="2" t="s">
        <v>63</v>
      </c>
    </row>
    <row r="575" spans="1:14" x14ac:dyDescent="0.3">
      <c r="A575" s="2" t="s">
        <v>70</v>
      </c>
      <c r="B575" s="3">
        <v>24</v>
      </c>
      <c r="C575" s="4" t="s">
        <v>27</v>
      </c>
      <c r="D575" s="2" t="s">
        <v>32</v>
      </c>
      <c r="E575" s="2" t="s">
        <v>42</v>
      </c>
      <c r="F575" s="5">
        <v>0</v>
      </c>
      <c r="G575" s="1">
        <v>0</v>
      </c>
      <c r="H575" s="2">
        <v>2</v>
      </c>
      <c r="I575" s="6">
        <v>1.9675925925925928E-3</v>
      </c>
      <c r="J575" s="2"/>
      <c r="K575" s="2"/>
      <c r="L575" s="2" t="s">
        <v>51</v>
      </c>
      <c r="M575" s="2" t="s">
        <v>66</v>
      </c>
      <c r="N575" s="2" t="s">
        <v>36</v>
      </c>
    </row>
    <row r="576" spans="1:14" x14ac:dyDescent="0.3">
      <c r="A576" s="2" t="s">
        <v>70</v>
      </c>
      <c r="B576" s="3">
        <v>28</v>
      </c>
      <c r="C576" s="4" t="s">
        <v>44</v>
      </c>
      <c r="D576" s="2" t="s">
        <v>16</v>
      </c>
      <c r="E576" s="2" t="s">
        <v>42</v>
      </c>
      <c r="F576" s="5">
        <v>0</v>
      </c>
      <c r="G576" s="1">
        <v>0</v>
      </c>
      <c r="H576" s="2">
        <v>2</v>
      </c>
      <c r="I576" s="6">
        <v>1.9675925925925928E-3</v>
      </c>
      <c r="J576" s="2"/>
      <c r="K576" s="2"/>
      <c r="L576" s="2" t="s">
        <v>33</v>
      </c>
      <c r="M576" s="2" t="s">
        <v>76</v>
      </c>
      <c r="N576" s="2" t="s">
        <v>31</v>
      </c>
    </row>
    <row r="577" spans="1:14" x14ac:dyDescent="0.3">
      <c r="A577" s="2" t="s">
        <v>70</v>
      </c>
      <c r="B577" s="3">
        <v>11</v>
      </c>
      <c r="C577" s="4" t="s">
        <v>44</v>
      </c>
      <c r="D577" s="2" t="s">
        <v>49</v>
      </c>
      <c r="E577" s="2" t="s">
        <v>23</v>
      </c>
      <c r="F577" s="5">
        <v>0</v>
      </c>
      <c r="G577" s="1">
        <v>0</v>
      </c>
      <c r="H577" s="2">
        <v>3</v>
      </c>
      <c r="I577" s="6">
        <v>1.9675925925925928E-3</v>
      </c>
      <c r="J577" s="2"/>
      <c r="K577" s="2"/>
      <c r="L577" s="2" t="s">
        <v>40</v>
      </c>
      <c r="M577" s="2" t="s">
        <v>77</v>
      </c>
      <c r="N577" s="2" t="s">
        <v>65</v>
      </c>
    </row>
    <row r="578" spans="1:14" x14ac:dyDescent="0.3">
      <c r="A578" s="2" t="s">
        <v>14</v>
      </c>
      <c r="B578" s="3">
        <v>12</v>
      </c>
      <c r="C578" s="4" t="s">
        <v>55</v>
      </c>
      <c r="D578" s="2" t="s">
        <v>16</v>
      </c>
      <c r="E578" s="2" t="s">
        <v>23</v>
      </c>
      <c r="F578" s="5">
        <v>2</v>
      </c>
      <c r="G578" s="1">
        <v>12000000</v>
      </c>
      <c r="H578" s="2">
        <v>3</v>
      </c>
      <c r="I578" s="6">
        <v>2.0370370370370373E-3</v>
      </c>
      <c r="J578" s="2" t="s">
        <v>18</v>
      </c>
      <c r="K578" s="2" t="s">
        <v>39</v>
      </c>
      <c r="L578" s="2" t="s">
        <v>33</v>
      </c>
      <c r="M578" s="2" t="s">
        <v>76</v>
      </c>
      <c r="N578" s="2" t="s">
        <v>71</v>
      </c>
    </row>
    <row r="579" spans="1:14" x14ac:dyDescent="0.3">
      <c r="A579" s="2" t="s">
        <v>14</v>
      </c>
      <c r="B579" s="3">
        <v>17</v>
      </c>
      <c r="C579" s="4" t="s">
        <v>60</v>
      </c>
      <c r="D579" s="2" t="s">
        <v>16</v>
      </c>
      <c r="E579" s="2" t="s">
        <v>42</v>
      </c>
      <c r="F579" s="5">
        <v>4</v>
      </c>
      <c r="G579" s="1">
        <v>20000000</v>
      </c>
      <c r="H579" s="2">
        <v>1</v>
      </c>
      <c r="I579" s="6">
        <v>2.0370370370370373E-3</v>
      </c>
      <c r="J579" s="2" t="s">
        <v>61</v>
      </c>
      <c r="K579" s="2" t="s">
        <v>24</v>
      </c>
      <c r="L579" s="2" t="s">
        <v>48</v>
      </c>
      <c r="M579" s="2" t="s">
        <v>78</v>
      </c>
      <c r="N579" s="2" t="s">
        <v>66</v>
      </c>
    </row>
    <row r="580" spans="1:14" x14ac:dyDescent="0.3">
      <c r="A580" s="2" t="s">
        <v>14</v>
      </c>
      <c r="B580" s="3">
        <v>27</v>
      </c>
      <c r="C580" s="4" t="s">
        <v>27</v>
      </c>
      <c r="D580" s="2" t="s">
        <v>49</v>
      </c>
      <c r="E580" s="2" t="s">
        <v>23</v>
      </c>
      <c r="F580" s="5">
        <v>5</v>
      </c>
      <c r="G580" s="1">
        <v>25000000</v>
      </c>
      <c r="H580" s="2">
        <v>1</v>
      </c>
      <c r="I580" s="6">
        <v>2.0370370370370373E-3</v>
      </c>
      <c r="J580" s="2" t="s">
        <v>18</v>
      </c>
      <c r="K580" s="2" t="s">
        <v>56</v>
      </c>
      <c r="L580" s="2" t="s">
        <v>48</v>
      </c>
      <c r="M580" s="2" t="s">
        <v>78</v>
      </c>
      <c r="N580" s="2" t="s">
        <v>62</v>
      </c>
    </row>
    <row r="581" spans="1:14" x14ac:dyDescent="0.3">
      <c r="A581" s="2" t="s">
        <v>14</v>
      </c>
      <c r="B581" s="3">
        <v>15</v>
      </c>
      <c r="C581" s="4" t="s">
        <v>27</v>
      </c>
      <c r="D581" s="2" t="s">
        <v>73</v>
      </c>
      <c r="E581" s="2" t="s">
        <v>17</v>
      </c>
      <c r="F581" s="5">
        <v>2</v>
      </c>
      <c r="G581" s="1">
        <v>10000000</v>
      </c>
      <c r="H581" s="2">
        <v>2</v>
      </c>
      <c r="I581" s="6">
        <v>2.0370370370370373E-3</v>
      </c>
      <c r="J581" s="2" t="s">
        <v>18</v>
      </c>
      <c r="K581" s="2" t="s">
        <v>29</v>
      </c>
      <c r="L581" s="2" t="s">
        <v>51</v>
      </c>
      <c r="M581" s="2" t="s">
        <v>76</v>
      </c>
      <c r="N581" s="2" t="s">
        <v>26</v>
      </c>
    </row>
    <row r="582" spans="1:14" x14ac:dyDescent="0.3">
      <c r="A582" s="2" t="s">
        <v>14</v>
      </c>
      <c r="B582" s="3">
        <v>30</v>
      </c>
      <c r="C582" s="4" t="s">
        <v>27</v>
      </c>
      <c r="D582" s="2" t="s">
        <v>73</v>
      </c>
      <c r="E582" s="2" t="s">
        <v>17</v>
      </c>
      <c r="F582" s="5">
        <v>3</v>
      </c>
      <c r="G582" s="1">
        <v>15000000</v>
      </c>
      <c r="H582" s="2">
        <v>4</v>
      </c>
      <c r="I582" s="6">
        <v>2.0370370370370373E-3</v>
      </c>
      <c r="J582" s="2" t="s">
        <v>18</v>
      </c>
      <c r="K582" s="2" t="s">
        <v>39</v>
      </c>
      <c r="L582" s="2" t="s">
        <v>51</v>
      </c>
      <c r="M582" s="2" t="s">
        <v>66</v>
      </c>
      <c r="N582" s="2" t="s">
        <v>67</v>
      </c>
    </row>
    <row r="583" spans="1:14" x14ac:dyDescent="0.3">
      <c r="A583" s="2" t="s">
        <v>14</v>
      </c>
      <c r="B583" s="3">
        <v>8</v>
      </c>
      <c r="C583" s="4" t="s">
        <v>37</v>
      </c>
      <c r="D583" s="2" t="s">
        <v>28</v>
      </c>
      <c r="E583" s="2" t="s">
        <v>17</v>
      </c>
      <c r="F583" s="5">
        <v>1</v>
      </c>
      <c r="G583" s="1">
        <v>19000000</v>
      </c>
      <c r="H583" s="2">
        <v>2</v>
      </c>
      <c r="I583" s="6">
        <v>2.0370370370370373E-3</v>
      </c>
      <c r="J583" s="2" t="s">
        <v>46</v>
      </c>
      <c r="K583" s="2" t="s">
        <v>47</v>
      </c>
      <c r="L583" s="2" t="s">
        <v>43</v>
      </c>
      <c r="M583" s="2" t="s">
        <v>78</v>
      </c>
      <c r="N583" s="2" t="s">
        <v>53</v>
      </c>
    </row>
    <row r="584" spans="1:14" x14ac:dyDescent="0.3">
      <c r="A584" s="2" t="s">
        <v>14</v>
      </c>
      <c r="B584" s="3">
        <v>6</v>
      </c>
      <c r="C584" s="4" t="s">
        <v>37</v>
      </c>
      <c r="D584" s="2" t="s">
        <v>16</v>
      </c>
      <c r="E584" s="2" t="s">
        <v>23</v>
      </c>
      <c r="F584" s="5">
        <v>1</v>
      </c>
      <c r="G584" s="1">
        <v>7000000</v>
      </c>
      <c r="H584" s="2">
        <v>2</v>
      </c>
      <c r="I584" s="6">
        <v>2.0370370370370373E-3</v>
      </c>
      <c r="J584" s="2" t="s">
        <v>18</v>
      </c>
      <c r="K584" s="2" t="s">
        <v>19</v>
      </c>
      <c r="L584" s="2" t="s">
        <v>30</v>
      </c>
      <c r="M584" s="2" t="s">
        <v>78</v>
      </c>
      <c r="N584" s="2" t="s">
        <v>63</v>
      </c>
    </row>
    <row r="585" spans="1:14" x14ac:dyDescent="0.3">
      <c r="A585" s="2" t="s">
        <v>14</v>
      </c>
      <c r="B585" s="3">
        <v>29</v>
      </c>
      <c r="C585" s="4" t="s">
        <v>37</v>
      </c>
      <c r="D585" s="2" t="s">
        <v>49</v>
      </c>
      <c r="E585" s="2" t="s">
        <v>23</v>
      </c>
      <c r="F585" s="5">
        <v>2</v>
      </c>
      <c r="G585" s="1">
        <v>12000000</v>
      </c>
      <c r="H585" s="2">
        <v>1</v>
      </c>
      <c r="I585" s="6">
        <v>2.0370370370370373E-3</v>
      </c>
      <c r="J585" s="2" t="s">
        <v>18</v>
      </c>
      <c r="K585" s="2" t="s">
        <v>35</v>
      </c>
      <c r="L585" s="2" t="s">
        <v>20</v>
      </c>
      <c r="M585" s="2" t="s">
        <v>77</v>
      </c>
      <c r="N585" s="2" t="s">
        <v>54</v>
      </c>
    </row>
    <row r="586" spans="1:14" x14ac:dyDescent="0.3">
      <c r="A586" s="2" t="s">
        <v>14</v>
      </c>
      <c r="B586" s="3">
        <v>3</v>
      </c>
      <c r="C586" s="4" t="s">
        <v>44</v>
      </c>
      <c r="D586" s="2" t="s">
        <v>16</v>
      </c>
      <c r="E586" s="2" t="s">
        <v>23</v>
      </c>
      <c r="F586" s="5">
        <v>5</v>
      </c>
      <c r="G586" s="1">
        <v>25000000</v>
      </c>
      <c r="H586" s="2">
        <v>2</v>
      </c>
      <c r="I586" s="6">
        <v>2.0370370370370373E-3</v>
      </c>
      <c r="J586" s="2" t="s">
        <v>18</v>
      </c>
      <c r="K586" s="2" t="s">
        <v>29</v>
      </c>
      <c r="L586" s="2" t="s">
        <v>20</v>
      </c>
      <c r="M586" s="2" t="s">
        <v>78</v>
      </c>
      <c r="N586" s="2" t="s">
        <v>53</v>
      </c>
    </row>
    <row r="587" spans="1:14" x14ac:dyDescent="0.3">
      <c r="A587" s="2" t="s">
        <v>14</v>
      </c>
      <c r="B587" s="3">
        <v>30</v>
      </c>
      <c r="C587" s="4" t="s">
        <v>69</v>
      </c>
      <c r="D587" s="2" t="s">
        <v>32</v>
      </c>
      <c r="E587" s="2" t="s">
        <v>42</v>
      </c>
      <c r="F587" s="5">
        <v>2</v>
      </c>
      <c r="G587" s="1">
        <v>38000000</v>
      </c>
      <c r="H587" s="2">
        <v>2</v>
      </c>
      <c r="I587" s="6">
        <v>2.0370370370370373E-3</v>
      </c>
      <c r="J587" s="2" t="s">
        <v>46</v>
      </c>
      <c r="K587" s="2" t="s">
        <v>64</v>
      </c>
      <c r="L587" s="2" t="s">
        <v>30</v>
      </c>
      <c r="M587" s="2" t="s">
        <v>78</v>
      </c>
      <c r="N587" s="2" t="s">
        <v>63</v>
      </c>
    </row>
    <row r="588" spans="1:14" x14ac:dyDescent="0.3">
      <c r="A588" s="2" t="s">
        <v>14</v>
      </c>
      <c r="B588" s="3">
        <v>21</v>
      </c>
      <c r="C588" s="4" t="s">
        <v>69</v>
      </c>
      <c r="D588" s="2" t="s">
        <v>38</v>
      </c>
      <c r="E588" s="2" t="s">
        <v>23</v>
      </c>
      <c r="F588" s="5">
        <v>3</v>
      </c>
      <c r="G588" s="1">
        <v>15000000</v>
      </c>
      <c r="H588" s="2">
        <v>3</v>
      </c>
      <c r="I588" s="6">
        <v>2.0370370370370373E-3</v>
      </c>
      <c r="J588" s="2" t="s">
        <v>18</v>
      </c>
      <c r="K588" s="2" t="s">
        <v>19</v>
      </c>
      <c r="L588" s="2" t="s">
        <v>33</v>
      </c>
      <c r="M588" s="2" t="s">
        <v>77</v>
      </c>
      <c r="N588" s="2" t="s">
        <v>65</v>
      </c>
    </row>
    <row r="589" spans="1:14" x14ac:dyDescent="0.3">
      <c r="A589" s="2" t="s">
        <v>14</v>
      </c>
      <c r="B589" s="3">
        <v>12</v>
      </c>
      <c r="C589" s="4" t="s">
        <v>55</v>
      </c>
      <c r="D589" s="2" t="s">
        <v>16</v>
      </c>
      <c r="E589" s="2" t="s">
        <v>23</v>
      </c>
      <c r="F589" s="5">
        <v>2</v>
      </c>
      <c r="G589" s="1">
        <v>12000000</v>
      </c>
      <c r="H589" s="2">
        <v>3</v>
      </c>
      <c r="I589" s="6">
        <v>2.0370370370370373E-3</v>
      </c>
      <c r="J589" s="2" t="s">
        <v>18</v>
      </c>
      <c r="K589" s="2" t="s">
        <v>39</v>
      </c>
      <c r="L589" s="2" t="s">
        <v>33</v>
      </c>
      <c r="M589" s="2" t="s">
        <v>76</v>
      </c>
      <c r="N589" s="2" t="s">
        <v>71</v>
      </c>
    </row>
    <row r="590" spans="1:14" x14ac:dyDescent="0.3">
      <c r="A590" s="2" t="s">
        <v>14</v>
      </c>
      <c r="B590" s="3">
        <v>17</v>
      </c>
      <c r="C590" s="4" t="s">
        <v>60</v>
      </c>
      <c r="D590" s="2" t="s">
        <v>16</v>
      </c>
      <c r="E590" s="2" t="s">
        <v>42</v>
      </c>
      <c r="F590" s="5">
        <v>4</v>
      </c>
      <c r="G590" s="1">
        <v>20000000</v>
      </c>
      <c r="H590" s="2">
        <v>1</v>
      </c>
      <c r="I590" s="6">
        <v>2.0370370370370373E-3</v>
      </c>
      <c r="J590" s="2" t="s">
        <v>61</v>
      </c>
      <c r="K590" s="2" t="s">
        <v>24</v>
      </c>
      <c r="L590" s="2" t="s">
        <v>48</v>
      </c>
      <c r="M590" s="2" t="s">
        <v>78</v>
      </c>
      <c r="N590" s="2" t="s">
        <v>66</v>
      </c>
    </row>
    <row r="591" spans="1:14" x14ac:dyDescent="0.3">
      <c r="A591" s="2" t="s">
        <v>70</v>
      </c>
      <c r="B591" s="3">
        <v>11</v>
      </c>
      <c r="C591" s="4" t="s">
        <v>44</v>
      </c>
      <c r="D591" s="2" t="s">
        <v>38</v>
      </c>
      <c r="E591" s="2" t="s">
        <v>23</v>
      </c>
      <c r="F591" s="5">
        <v>0</v>
      </c>
      <c r="G591" s="1">
        <v>0</v>
      </c>
      <c r="H591" s="2">
        <v>2</v>
      </c>
      <c r="I591" s="6">
        <v>2.0370370370370373E-3</v>
      </c>
      <c r="J591" s="2"/>
      <c r="K591" s="2"/>
      <c r="L591" s="2" t="s">
        <v>25</v>
      </c>
      <c r="M591" s="2" t="s">
        <v>76</v>
      </c>
      <c r="N591" s="2" t="s">
        <v>31</v>
      </c>
    </row>
    <row r="592" spans="1:14" x14ac:dyDescent="0.3">
      <c r="A592" s="2" t="s">
        <v>70</v>
      </c>
      <c r="B592" s="3">
        <v>1</v>
      </c>
      <c r="C592" s="4" t="s">
        <v>69</v>
      </c>
      <c r="D592" s="2" t="s">
        <v>16</v>
      </c>
      <c r="E592" s="2" t="s">
        <v>23</v>
      </c>
      <c r="F592" s="5">
        <v>0</v>
      </c>
      <c r="G592" s="1">
        <v>0</v>
      </c>
      <c r="H592" s="2">
        <v>2</v>
      </c>
      <c r="I592" s="6">
        <v>2.0370370370370373E-3</v>
      </c>
      <c r="J592" s="2"/>
      <c r="K592" s="2"/>
      <c r="L592" s="2" t="s">
        <v>43</v>
      </c>
      <c r="M592" s="2" t="s">
        <v>66</v>
      </c>
      <c r="N592" s="2" t="s">
        <v>67</v>
      </c>
    </row>
    <row r="593" spans="1:14" x14ac:dyDescent="0.3">
      <c r="A593" s="2" t="s">
        <v>14</v>
      </c>
      <c r="B593" s="3">
        <v>15</v>
      </c>
      <c r="C593" s="4" t="s">
        <v>57</v>
      </c>
      <c r="D593" s="2" t="s">
        <v>16</v>
      </c>
      <c r="E593" s="2" t="s">
        <v>23</v>
      </c>
      <c r="F593" s="5">
        <v>2</v>
      </c>
      <c r="G593" s="1">
        <v>12000000</v>
      </c>
      <c r="H593" s="2">
        <v>2</v>
      </c>
      <c r="I593" s="6">
        <v>2.0833333333333333E-3</v>
      </c>
      <c r="J593" s="2" t="s">
        <v>18</v>
      </c>
      <c r="K593" s="2" t="s">
        <v>29</v>
      </c>
      <c r="L593" s="2" t="s">
        <v>51</v>
      </c>
      <c r="M593" s="2" t="s">
        <v>76</v>
      </c>
      <c r="N593" s="2" t="s">
        <v>26</v>
      </c>
    </row>
    <row r="594" spans="1:14" x14ac:dyDescent="0.3">
      <c r="A594" s="2" t="s">
        <v>14</v>
      </c>
      <c r="B594" s="3">
        <v>8</v>
      </c>
      <c r="C594" s="4" t="s">
        <v>59</v>
      </c>
      <c r="D594" s="2" t="s">
        <v>16</v>
      </c>
      <c r="E594" s="2" t="s">
        <v>42</v>
      </c>
      <c r="F594" s="5">
        <v>3</v>
      </c>
      <c r="G594" s="1">
        <v>15000000</v>
      </c>
      <c r="H594" s="2">
        <v>3</v>
      </c>
      <c r="I594" s="6">
        <v>2.0833333333333333E-3</v>
      </c>
      <c r="J594" s="2" t="s">
        <v>18</v>
      </c>
      <c r="K594" s="2" t="s">
        <v>29</v>
      </c>
      <c r="L594" s="2" t="s">
        <v>40</v>
      </c>
      <c r="M594" s="2" t="s">
        <v>76</v>
      </c>
      <c r="N594" s="2" t="s">
        <v>26</v>
      </c>
    </row>
    <row r="595" spans="1:14" x14ac:dyDescent="0.3">
      <c r="A595" s="2" t="s">
        <v>14</v>
      </c>
      <c r="B595" s="3">
        <v>16</v>
      </c>
      <c r="C595" s="4" t="s">
        <v>22</v>
      </c>
      <c r="D595" s="2" t="s">
        <v>28</v>
      </c>
      <c r="E595" s="2" t="s">
        <v>23</v>
      </c>
      <c r="F595" s="5">
        <v>4</v>
      </c>
      <c r="G595" s="1">
        <v>11000000</v>
      </c>
      <c r="H595" s="2">
        <v>3</v>
      </c>
      <c r="I595" s="6">
        <v>2.0833333333333333E-3</v>
      </c>
      <c r="J595" s="2" t="s">
        <v>61</v>
      </c>
      <c r="K595" s="2" t="s">
        <v>29</v>
      </c>
      <c r="L595" s="2" t="s">
        <v>33</v>
      </c>
      <c r="M595" s="2" t="s">
        <v>78</v>
      </c>
      <c r="N595" s="2" t="s">
        <v>53</v>
      </c>
    </row>
    <row r="596" spans="1:14" x14ac:dyDescent="0.3">
      <c r="A596" s="2" t="s">
        <v>14</v>
      </c>
      <c r="B596" s="3">
        <v>8</v>
      </c>
      <c r="C596" s="4" t="s">
        <v>37</v>
      </c>
      <c r="D596" s="2" t="s">
        <v>16</v>
      </c>
      <c r="E596" s="2" t="s">
        <v>17</v>
      </c>
      <c r="F596" s="5">
        <v>5</v>
      </c>
      <c r="G596" s="1">
        <v>25000000</v>
      </c>
      <c r="H596" s="2">
        <v>2</v>
      </c>
      <c r="I596" s="6">
        <v>2.0833333333333333E-3</v>
      </c>
      <c r="J596" s="2" t="s">
        <v>18</v>
      </c>
      <c r="K596" s="2" t="s">
        <v>29</v>
      </c>
      <c r="L596" s="2" t="s">
        <v>33</v>
      </c>
      <c r="M596" s="2" t="s">
        <v>76</v>
      </c>
      <c r="N596" s="2" t="s">
        <v>52</v>
      </c>
    </row>
    <row r="597" spans="1:14" x14ac:dyDescent="0.3">
      <c r="A597" s="2" t="s">
        <v>14</v>
      </c>
      <c r="B597" s="3">
        <v>21</v>
      </c>
      <c r="C597" s="4" t="s">
        <v>37</v>
      </c>
      <c r="D597" s="2" t="s">
        <v>73</v>
      </c>
      <c r="E597" s="2" t="s">
        <v>42</v>
      </c>
      <c r="F597" s="5">
        <v>2</v>
      </c>
      <c r="G597" s="1">
        <v>12000000</v>
      </c>
      <c r="H597" s="2">
        <v>4</v>
      </c>
      <c r="I597" s="6">
        <v>2.0833333333333333E-3</v>
      </c>
      <c r="J597" s="2" t="s">
        <v>18</v>
      </c>
      <c r="K597" s="2" t="s">
        <v>56</v>
      </c>
      <c r="L597" s="2" t="s">
        <v>43</v>
      </c>
      <c r="M597" s="2" t="s">
        <v>78</v>
      </c>
      <c r="N597" s="2" t="s">
        <v>41</v>
      </c>
    </row>
    <row r="598" spans="1:14" x14ac:dyDescent="0.3">
      <c r="A598" s="2" t="s">
        <v>14</v>
      </c>
      <c r="B598" s="3">
        <v>20</v>
      </c>
      <c r="C598" s="4" t="s">
        <v>37</v>
      </c>
      <c r="D598" s="2" t="s">
        <v>49</v>
      </c>
      <c r="E598" s="2" t="s">
        <v>17</v>
      </c>
      <c r="F598" s="5">
        <v>3</v>
      </c>
      <c r="G598" s="1">
        <v>15000000</v>
      </c>
      <c r="H598" s="2">
        <v>6</v>
      </c>
      <c r="I598" s="6">
        <v>2.0833333333333333E-3</v>
      </c>
      <c r="J598" s="2" t="s">
        <v>18</v>
      </c>
      <c r="K598" s="2" t="s">
        <v>19</v>
      </c>
      <c r="L598" s="2" t="s">
        <v>48</v>
      </c>
      <c r="M598" s="2" t="s">
        <v>78</v>
      </c>
      <c r="N598" s="2" t="s">
        <v>66</v>
      </c>
    </row>
    <row r="599" spans="1:14" x14ac:dyDescent="0.3">
      <c r="A599" s="2" t="s">
        <v>14</v>
      </c>
      <c r="B599" s="3">
        <v>4</v>
      </c>
      <c r="C599" s="4" t="s">
        <v>37</v>
      </c>
      <c r="D599" s="2" t="s">
        <v>16</v>
      </c>
      <c r="E599" s="2" t="s">
        <v>68</v>
      </c>
      <c r="F599" s="5">
        <v>4</v>
      </c>
      <c r="G599" s="1">
        <v>20000000</v>
      </c>
      <c r="H599" s="2">
        <v>3</v>
      </c>
      <c r="I599" s="6">
        <v>2.0833333333333333E-3</v>
      </c>
      <c r="J599" s="2" t="s">
        <v>18</v>
      </c>
      <c r="K599" s="2" t="s">
        <v>19</v>
      </c>
      <c r="L599" s="2" t="s">
        <v>51</v>
      </c>
      <c r="M599" s="2" t="s">
        <v>77</v>
      </c>
      <c r="N599" s="2" t="s">
        <v>65</v>
      </c>
    </row>
    <row r="600" spans="1:14" x14ac:dyDescent="0.3">
      <c r="A600" s="2" t="s">
        <v>14</v>
      </c>
      <c r="B600" s="3">
        <v>22</v>
      </c>
      <c r="C600" s="4" t="s">
        <v>44</v>
      </c>
      <c r="D600" s="2" t="s">
        <v>38</v>
      </c>
      <c r="E600" s="2" t="s">
        <v>42</v>
      </c>
      <c r="F600" s="5">
        <v>3</v>
      </c>
      <c r="G600" s="1">
        <v>15000000</v>
      </c>
      <c r="H600" s="2">
        <v>6</v>
      </c>
      <c r="I600" s="6">
        <v>2.0833333333333333E-3</v>
      </c>
      <c r="J600" s="2" t="s">
        <v>18</v>
      </c>
      <c r="K600" s="2" t="s">
        <v>24</v>
      </c>
      <c r="L600" s="2" t="s">
        <v>43</v>
      </c>
      <c r="M600" s="2" t="s">
        <v>78</v>
      </c>
      <c r="N600" s="2" t="s">
        <v>66</v>
      </c>
    </row>
    <row r="601" spans="1:14" x14ac:dyDescent="0.3">
      <c r="A601" s="2" t="s">
        <v>14</v>
      </c>
      <c r="B601" s="3">
        <v>31</v>
      </c>
      <c r="C601" s="4" t="s">
        <v>69</v>
      </c>
      <c r="D601" s="2" t="s">
        <v>32</v>
      </c>
      <c r="E601" s="2" t="s">
        <v>68</v>
      </c>
      <c r="F601" s="5">
        <v>2</v>
      </c>
      <c r="G601" s="1">
        <v>38000000</v>
      </c>
      <c r="H601" s="2">
        <v>4</v>
      </c>
      <c r="I601" s="6">
        <v>2.0833333333333333E-3</v>
      </c>
      <c r="J601" s="2" t="s">
        <v>46</v>
      </c>
      <c r="K601" s="2" t="s">
        <v>56</v>
      </c>
      <c r="L601" s="2" t="s">
        <v>30</v>
      </c>
      <c r="M601" s="2" t="s">
        <v>76</v>
      </c>
      <c r="N601" s="2" t="s">
        <v>71</v>
      </c>
    </row>
    <row r="602" spans="1:14" x14ac:dyDescent="0.3">
      <c r="A602" s="2" t="s">
        <v>14</v>
      </c>
      <c r="B602" s="3">
        <v>15</v>
      </c>
      <c r="C602" s="4" t="s">
        <v>57</v>
      </c>
      <c r="D602" s="2" t="s">
        <v>16</v>
      </c>
      <c r="E602" s="2" t="s">
        <v>23</v>
      </c>
      <c r="F602" s="5">
        <v>2</v>
      </c>
      <c r="G602" s="1">
        <v>12000000</v>
      </c>
      <c r="H602" s="2">
        <v>2</v>
      </c>
      <c r="I602" s="6">
        <v>2.0833333333333333E-3</v>
      </c>
      <c r="J602" s="2" t="s">
        <v>18</v>
      </c>
      <c r="K602" s="2" t="s">
        <v>29</v>
      </c>
      <c r="L602" s="2" t="s">
        <v>51</v>
      </c>
      <c r="M602" s="2" t="s">
        <v>76</v>
      </c>
      <c r="N602" s="2" t="s">
        <v>26</v>
      </c>
    </row>
    <row r="603" spans="1:14" x14ac:dyDescent="0.3">
      <c r="A603" s="2" t="s">
        <v>14</v>
      </c>
      <c r="B603" s="3">
        <v>8</v>
      </c>
      <c r="C603" s="4" t="s">
        <v>59</v>
      </c>
      <c r="D603" s="2" t="s">
        <v>16</v>
      </c>
      <c r="E603" s="2" t="s">
        <v>42</v>
      </c>
      <c r="F603" s="5">
        <v>3</v>
      </c>
      <c r="G603" s="1">
        <v>15000000</v>
      </c>
      <c r="H603" s="2">
        <v>3</v>
      </c>
      <c r="I603" s="6">
        <v>2.0833333333333333E-3</v>
      </c>
      <c r="J603" s="2" t="s">
        <v>18</v>
      </c>
      <c r="K603" s="2" t="s">
        <v>29</v>
      </c>
      <c r="L603" s="2" t="s">
        <v>40</v>
      </c>
      <c r="M603" s="2" t="s">
        <v>76</v>
      </c>
      <c r="N603" s="2" t="s">
        <v>26</v>
      </c>
    </row>
    <row r="604" spans="1:14" x14ac:dyDescent="0.3">
      <c r="A604" s="2" t="s">
        <v>14</v>
      </c>
      <c r="B604" s="3">
        <v>16</v>
      </c>
      <c r="C604" s="4" t="s">
        <v>22</v>
      </c>
      <c r="D604" s="2" t="s">
        <v>28</v>
      </c>
      <c r="E604" s="2" t="s">
        <v>23</v>
      </c>
      <c r="F604" s="5">
        <v>4</v>
      </c>
      <c r="G604" s="1">
        <v>11000000</v>
      </c>
      <c r="H604" s="2">
        <v>3</v>
      </c>
      <c r="I604" s="6">
        <v>2.0833333333333333E-3</v>
      </c>
      <c r="J604" s="2" t="s">
        <v>61</v>
      </c>
      <c r="K604" s="2" t="s">
        <v>29</v>
      </c>
      <c r="L604" s="2" t="s">
        <v>33</v>
      </c>
      <c r="M604" s="2" t="s">
        <v>78</v>
      </c>
      <c r="N604" s="2" t="s">
        <v>53</v>
      </c>
    </row>
    <row r="605" spans="1:14" x14ac:dyDescent="0.3">
      <c r="A605" s="2" t="s">
        <v>70</v>
      </c>
      <c r="B605" s="3">
        <v>4</v>
      </c>
      <c r="C605" s="4" t="s">
        <v>59</v>
      </c>
      <c r="D605" s="2" t="s">
        <v>16</v>
      </c>
      <c r="E605" s="2" t="s">
        <v>17</v>
      </c>
      <c r="F605" s="5">
        <v>0</v>
      </c>
      <c r="G605" s="1">
        <v>0</v>
      </c>
      <c r="H605" s="2">
        <v>3</v>
      </c>
      <c r="I605" s="6">
        <v>2.0833333333333333E-3</v>
      </c>
      <c r="J605" s="2"/>
      <c r="K605" s="2"/>
      <c r="L605" s="2" t="s">
        <v>30</v>
      </c>
      <c r="M605" s="2" t="s">
        <v>76</v>
      </c>
      <c r="N605" s="2" t="s">
        <v>26</v>
      </c>
    </row>
    <row r="606" spans="1:14" x14ac:dyDescent="0.3">
      <c r="A606" s="2" t="s">
        <v>70</v>
      </c>
      <c r="B606" s="3">
        <v>28</v>
      </c>
      <c r="C606" s="4" t="s">
        <v>27</v>
      </c>
      <c r="D606" s="2" t="s">
        <v>16</v>
      </c>
      <c r="E606" s="2" t="s">
        <v>17</v>
      </c>
      <c r="F606" s="5">
        <v>0</v>
      </c>
      <c r="G606" s="1">
        <v>0</v>
      </c>
      <c r="H606" s="2">
        <v>3</v>
      </c>
      <c r="I606" s="6">
        <v>2.0833333333333333E-3</v>
      </c>
      <c r="J606" s="2"/>
      <c r="K606" s="2"/>
      <c r="L606" s="2" t="s">
        <v>51</v>
      </c>
      <c r="M606" s="2" t="s">
        <v>66</v>
      </c>
      <c r="N606" s="2" t="s">
        <v>36</v>
      </c>
    </row>
    <row r="607" spans="1:14" x14ac:dyDescent="0.3">
      <c r="A607" s="2" t="s">
        <v>70</v>
      </c>
      <c r="B607" s="3">
        <v>10</v>
      </c>
      <c r="C607" s="4" t="s">
        <v>37</v>
      </c>
      <c r="D607" s="2" t="s">
        <v>28</v>
      </c>
      <c r="E607" s="2" t="s">
        <v>42</v>
      </c>
      <c r="F607" s="5">
        <v>0</v>
      </c>
      <c r="G607" s="1">
        <v>0</v>
      </c>
      <c r="H607" s="2">
        <v>3</v>
      </c>
      <c r="I607" s="6">
        <v>2.0833333333333333E-3</v>
      </c>
      <c r="J607" s="2"/>
      <c r="K607" s="2"/>
      <c r="L607" s="2" t="s">
        <v>30</v>
      </c>
      <c r="M607" s="2" t="s">
        <v>78</v>
      </c>
      <c r="N607" s="2" t="s">
        <v>66</v>
      </c>
    </row>
    <row r="608" spans="1:14" x14ac:dyDescent="0.3">
      <c r="A608" s="2" t="s">
        <v>70</v>
      </c>
      <c r="B608" s="3">
        <v>22</v>
      </c>
      <c r="C608" s="4" t="s">
        <v>44</v>
      </c>
      <c r="D608" s="2" t="s">
        <v>49</v>
      </c>
      <c r="E608" s="2" t="s">
        <v>23</v>
      </c>
      <c r="F608" s="5">
        <v>0</v>
      </c>
      <c r="G608" s="1">
        <v>0</v>
      </c>
      <c r="H608" s="2">
        <v>1</v>
      </c>
      <c r="I608" s="6">
        <v>2.0833333333333333E-3</v>
      </c>
      <c r="J608" s="2"/>
      <c r="K608" s="2"/>
      <c r="L608" s="2" t="s">
        <v>40</v>
      </c>
      <c r="M608" s="2" t="s">
        <v>77</v>
      </c>
      <c r="N608" s="2" t="s">
        <v>54</v>
      </c>
    </row>
    <row r="609" spans="1:14" x14ac:dyDescent="0.3">
      <c r="A609" s="2" t="s">
        <v>70</v>
      </c>
      <c r="B609" s="3">
        <v>4</v>
      </c>
      <c r="C609" s="4" t="s">
        <v>59</v>
      </c>
      <c r="D609" s="2" t="s">
        <v>16</v>
      </c>
      <c r="E609" s="2" t="s">
        <v>17</v>
      </c>
      <c r="F609" s="5">
        <v>0</v>
      </c>
      <c r="G609" s="1">
        <v>0</v>
      </c>
      <c r="H609" s="2">
        <v>3</v>
      </c>
      <c r="I609" s="6">
        <v>2.0833333333333333E-3</v>
      </c>
      <c r="J609" s="2"/>
      <c r="K609" s="2"/>
      <c r="L609" s="2" t="s">
        <v>30</v>
      </c>
      <c r="M609" s="2" t="s">
        <v>76</v>
      </c>
      <c r="N609" s="2" t="s">
        <v>26</v>
      </c>
    </row>
    <row r="610" spans="1:14" x14ac:dyDescent="0.3">
      <c r="A610" s="2" t="s">
        <v>14</v>
      </c>
      <c r="B610" s="3">
        <v>4</v>
      </c>
      <c r="C610" s="4" t="s">
        <v>59</v>
      </c>
      <c r="D610" s="2" t="s">
        <v>38</v>
      </c>
      <c r="E610" s="2" t="s">
        <v>42</v>
      </c>
      <c r="F610" s="5">
        <v>1</v>
      </c>
      <c r="G610" s="1">
        <v>19000000</v>
      </c>
      <c r="H610" s="2">
        <v>1</v>
      </c>
      <c r="I610" s="6">
        <v>2.1990740740740742E-3</v>
      </c>
      <c r="J610" s="2" t="s">
        <v>46</v>
      </c>
      <c r="K610" s="2" t="s">
        <v>56</v>
      </c>
      <c r="L610" s="2" t="s">
        <v>33</v>
      </c>
      <c r="M610" s="2" t="s">
        <v>77</v>
      </c>
      <c r="N610" s="2" t="s">
        <v>34</v>
      </c>
    </row>
    <row r="611" spans="1:14" x14ac:dyDescent="0.3">
      <c r="A611" s="2" t="s">
        <v>14</v>
      </c>
      <c r="B611" s="3">
        <v>17</v>
      </c>
      <c r="C611" s="4" t="s">
        <v>22</v>
      </c>
      <c r="D611" s="2" t="s">
        <v>16</v>
      </c>
      <c r="E611" s="2" t="s">
        <v>42</v>
      </c>
      <c r="F611" s="5">
        <v>3</v>
      </c>
      <c r="G611" s="1">
        <v>15000000</v>
      </c>
      <c r="H611" s="2">
        <v>2</v>
      </c>
      <c r="I611" s="6">
        <v>2.1990740740740742E-3</v>
      </c>
      <c r="J611" s="2" t="s">
        <v>18</v>
      </c>
      <c r="K611" s="2" t="s">
        <v>39</v>
      </c>
      <c r="L611" s="2" t="s">
        <v>43</v>
      </c>
      <c r="M611" s="2" t="s">
        <v>76</v>
      </c>
      <c r="N611" s="2" t="s">
        <v>75</v>
      </c>
    </row>
    <row r="612" spans="1:14" x14ac:dyDescent="0.3">
      <c r="A612" s="2" t="s">
        <v>14</v>
      </c>
      <c r="B612" s="3">
        <v>30</v>
      </c>
      <c r="C612" s="4" t="s">
        <v>27</v>
      </c>
      <c r="D612" s="2" t="s">
        <v>16</v>
      </c>
      <c r="E612" s="2" t="s">
        <v>17</v>
      </c>
      <c r="F612" s="5">
        <v>1</v>
      </c>
      <c r="G612" s="1">
        <v>7000000</v>
      </c>
      <c r="H612" s="2">
        <v>2</v>
      </c>
      <c r="I612" s="6">
        <v>2.1990740740740742E-3</v>
      </c>
      <c r="J612" s="2" t="s">
        <v>18</v>
      </c>
      <c r="K612" s="2" t="s">
        <v>19</v>
      </c>
      <c r="L612" s="2" t="s">
        <v>40</v>
      </c>
      <c r="M612" s="2" t="s">
        <v>66</v>
      </c>
      <c r="N612" s="2" t="s">
        <v>36</v>
      </c>
    </row>
    <row r="613" spans="1:14" x14ac:dyDescent="0.3">
      <c r="A613" s="2" t="s">
        <v>14</v>
      </c>
      <c r="B613" s="3">
        <v>18</v>
      </c>
      <c r="C613" s="4" t="s">
        <v>27</v>
      </c>
      <c r="D613" s="2" t="s">
        <v>16</v>
      </c>
      <c r="E613" s="2" t="s">
        <v>42</v>
      </c>
      <c r="F613" s="5">
        <v>2</v>
      </c>
      <c r="G613" s="1">
        <v>12000000</v>
      </c>
      <c r="H613" s="2">
        <v>2</v>
      </c>
      <c r="I613" s="6">
        <v>2.1990740740740742E-3</v>
      </c>
      <c r="J613" s="2" t="s">
        <v>18</v>
      </c>
      <c r="K613" s="2" t="s">
        <v>39</v>
      </c>
      <c r="L613" s="2" t="s">
        <v>20</v>
      </c>
      <c r="M613" s="2" t="s">
        <v>76</v>
      </c>
      <c r="N613" s="2" t="s">
        <v>52</v>
      </c>
    </row>
    <row r="614" spans="1:14" x14ac:dyDescent="0.3">
      <c r="A614" s="2" t="s">
        <v>14</v>
      </c>
      <c r="B614" s="3">
        <v>27</v>
      </c>
      <c r="C614" s="4" t="s">
        <v>27</v>
      </c>
      <c r="D614" s="2" t="s">
        <v>38</v>
      </c>
      <c r="E614" s="2" t="s">
        <v>42</v>
      </c>
      <c r="F614" s="5">
        <v>3</v>
      </c>
      <c r="G614" s="1">
        <v>11000000</v>
      </c>
      <c r="H614" s="2">
        <v>4</v>
      </c>
      <c r="I614" s="6">
        <v>2.1990740740740742E-3</v>
      </c>
      <c r="J614" s="2" t="s">
        <v>18</v>
      </c>
      <c r="K614" s="2" t="s">
        <v>56</v>
      </c>
      <c r="L614" s="2" t="s">
        <v>43</v>
      </c>
      <c r="M614" s="2" t="s">
        <v>78</v>
      </c>
      <c r="N614" s="2" t="s">
        <v>53</v>
      </c>
    </row>
    <row r="615" spans="1:14" x14ac:dyDescent="0.3">
      <c r="A615" s="2" t="s">
        <v>14</v>
      </c>
      <c r="B615" s="3">
        <v>12</v>
      </c>
      <c r="C615" s="4" t="s">
        <v>37</v>
      </c>
      <c r="D615" s="2" t="s">
        <v>32</v>
      </c>
      <c r="E615" s="2" t="s">
        <v>17</v>
      </c>
      <c r="F615" s="5">
        <v>2</v>
      </c>
      <c r="G615" s="1">
        <v>38000000</v>
      </c>
      <c r="H615" s="2">
        <v>4</v>
      </c>
      <c r="I615" s="6">
        <v>2.1990740740740742E-3</v>
      </c>
      <c r="J615" s="2" t="s">
        <v>46</v>
      </c>
      <c r="K615" s="2" t="s">
        <v>29</v>
      </c>
      <c r="L615" s="2" t="s">
        <v>48</v>
      </c>
      <c r="M615" s="2" t="s">
        <v>76</v>
      </c>
      <c r="N615" s="2" t="s">
        <v>71</v>
      </c>
    </row>
    <row r="616" spans="1:14" x14ac:dyDescent="0.3">
      <c r="A616" s="2" t="s">
        <v>14</v>
      </c>
      <c r="B616" s="3">
        <v>8</v>
      </c>
      <c r="C616" s="4" t="s">
        <v>37</v>
      </c>
      <c r="D616" s="2" t="s">
        <v>16</v>
      </c>
      <c r="E616" s="2" t="s">
        <v>23</v>
      </c>
      <c r="F616" s="5">
        <v>2</v>
      </c>
      <c r="G616" s="1">
        <v>12000000</v>
      </c>
      <c r="H616" s="2">
        <v>2</v>
      </c>
      <c r="I616" s="6">
        <v>2.1990740740740742E-3</v>
      </c>
      <c r="J616" s="2" t="s">
        <v>18</v>
      </c>
      <c r="K616" s="2" t="s">
        <v>56</v>
      </c>
      <c r="L616" s="2" t="s">
        <v>25</v>
      </c>
      <c r="M616" s="2" t="s">
        <v>78</v>
      </c>
      <c r="N616" s="2" t="s">
        <v>66</v>
      </c>
    </row>
    <row r="617" spans="1:14" x14ac:dyDescent="0.3">
      <c r="A617" s="2" t="s">
        <v>14</v>
      </c>
      <c r="B617" s="3">
        <v>11</v>
      </c>
      <c r="C617" s="4" t="s">
        <v>44</v>
      </c>
      <c r="D617" s="2" t="s">
        <v>49</v>
      </c>
      <c r="E617" s="2" t="s">
        <v>42</v>
      </c>
      <c r="F617" s="5">
        <v>5</v>
      </c>
      <c r="G617" s="1">
        <v>20000000</v>
      </c>
      <c r="H617" s="2">
        <v>4</v>
      </c>
      <c r="I617" s="6">
        <v>2.1990740740740742E-3</v>
      </c>
      <c r="J617" s="2" t="s">
        <v>18</v>
      </c>
      <c r="K617" s="2" t="s">
        <v>64</v>
      </c>
      <c r="L617" s="2" t="s">
        <v>48</v>
      </c>
      <c r="M617" s="2" t="s">
        <v>77</v>
      </c>
      <c r="N617" s="2" t="s">
        <v>54</v>
      </c>
    </row>
    <row r="618" spans="1:14" x14ac:dyDescent="0.3">
      <c r="A618" s="2" t="s">
        <v>14</v>
      </c>
      <c r="B618" s="3">
        <v>2</v>
      </c>
      <c r="C618" s="4" t="s">
        <v>69</v>
      </c>
      <c r="D618" s="2" t="s">
        <v>16</v>
      </c>
      <c r="E618" s="2" t="s">
        <v>17</v>
      </c>
      <c r="F618" s="5">
        <v>4</v>
      </c>
      <c r="G618" s="1">
        <v>15000000</v>
      </c>
      <c r="H618" s="2">
        <v>1</v>
      </c>
      <c r="I618" s="6">
        <v>2.1990740740740742E-3</v>
      </c>
      <c r="J618" s="2" t="s">
        <v>18</v>
      </c>
      <c r="K618" s="2" t="s">
        <v>19</v>
      </c>
      <c r="L618" s="2" t="s">
        <v>25</v>
      </c>
      <c r="M618" s="2" t="s">
        <v>76</v>
      </c>
      <c r="N618" s="2" t="s">
        <v>31</v>
      </c>
    </row>
    <row r="619" spans="1:14" x14ac:dyDescent="0.3">
      <c r="A619" s="2" t="s">
        <v>14</v>
      </c>
      <c r="B619" s="3">
        <v>4</v>
      </c>
      <c r="C619" s="4" t="s">
        <v>59</v>
      </c>
      <c r="D619" s="2" t="s">
        <v>38</v>
      </c>
      <c r="E619" s="2" t="s">
        <v>42</v>
      </c>
      <c r="F619" s="5">
        <v>1</v>
      </c>
      <c r="G619" s="1">
        <v>19000000</v>
      </c>
      <c r="H619" s="2">
        <v>1</v>
      </c>
      <c r="I619" s="6">
        <v>2.1990740740740742E-3</v>
      </c>
      <c r="J619" s="2" t="s">
        <v>46</v>
      </c>
      <c r="K619" s="2" t="s">
        <v>56</v>
      </c>
      <c r="L619" s="2" t="s">
        <v>33</v>
      </c>
      <c r="M619" s="2" t="s">
        <v>77</v>
      </c>
      <c r="N619" s="2" t="s">
        <v>34</v>
      </c>
    </row>
    <row r="620" spans="1:14" x14ac:dyDescent="0.3">
      <c r="A620" s="2" t="s">
        <v>14</v>
      </c>
      <c r="B620" s="3">
        <v>17</v>
      </c>
      <c r="C620" s="4" t="s">
        <v>22</v>
      </c>
      <c r="D620" s="2" t="s">
        <v>16</v>
      </c>
      <c r="E620" s="2" t="s">
        <v>42</v>
      </c>
      <c r="F620" s="5">
        <v>3</v>
      </c>
      <c r="G620" s="1">
        <v>15000000</v>
      </c>
      <c r="H620" s="2">
        <v>2</v>
      </c>
      <c r="I620" s="6">
        <v>2.1990740740740742E-3</v>
      </c>
      <c r="J620" s="2" t="s">
        <v>18</v>
      </c>
      <c r="K620" s="2" t="s">
        <v>39</v>
      </c>
      <c r="L620" s="2" t="s">
        <v>43</v>
      </c>
      <c r="M620" s="2" t="s">
        <v>76</v>
      </c>
      <c r="N620" s="2" t="s">
        <v>75</v>
      </c>
    </row>
    <row r="621" spans="1:14" x14ac:dyDescent="0.3">
      <c r="A621" s="2" t="s">
        <v>70</v>
      </c>
      <c r="B621" s="3">
        <v>13</v>
      </c>
      <c r="C621" s="4" t="s">
        <v>15</v>
      </c>
      <c r="D621" s="2" t="s">
        <v>28</v>
      </c>
      <c r="E621" s="2" t="s">
        <v>42</v>
      </c>
      <c r="F621" s="5">
        <v>0</v>
      </c>
      <c r="G621" s="1">
        <v>0</v>
      </c>
      <c r="H621" s="2">
        <v>4</v>
      </c>
      <c r="I621" s="6">
        <v>2.1990740740740742E-3</v>
      </c>
      <c r="J621" s="2"/>
      <c r="K621" s="2"/>
      <c r="L621" s="2" t="s">
        <v>48</v>
      </c>
      <c r="M621" s="2" t="s">
        <v>78</v>
      </c>
      <c r="N621" s="2" t="s">
        <v>66</v>
      </c>
    </row>
    <row r="622" spans="1:14" x14ac:dyDescent="0.3">
      <c r="A622" s="2" t="s">
        <v>70</v>
      </c>
      <c r="B622" s="3">
        <v>27</v>
      </c>
      <c r="C622" s="4" t="s">
        <v>37</v>
      </c>
      <c r="D622" s="2" t="s">
        <v>28</v>
      </c>
      <c r="E622" s="2" t="s">
        <v>42</v>
      </c>
      <c r="F622" s="5">
        <v>0</v>
      </c>
      <c r="G622" s="1">
        <v>0</v>
      </c>
      <c r="H622" s="2">
        <v>2</v>
      </c>
      <c r="I622" s="6">
        <v>2.1990740740740742E-3</v>
      </c>
      <c r="J622" s="2"/>
      <c r="K622" s="2"/>
      <c r="L622" s="2" t="s">
        <v>43</v>
      </c>
      <c r="M622" s="2" t="s">
        <v>78</v>
      </c>
      <c r="N622" s="2" t="s">
        <v>62</v>
      </c>
    </row>
    <row r="623" spans="1:14" x14ac:dyDescent="0.3">
      <c r="A623" s="2" t="s">
        <v>70</v>
      </c>
      <c r="B623" s="3">
        <v>20</v>
      </c>
      <c r="C623" s="4" t="s">
        <v>37</v>
      </c>
      <c r="D623" s="2" t="s">
        <v>49</v>
      </c>
      <c r="E623" s="2" t="s">
        <v>42</v>
      </c>
      <c r="F623" s="5">
        <v>0</v>
      </c>
      <c r="G623" s="1">
        <v>0</v>
      </c>
      <c r="H623" s="2">
        <v>1</v>
      </c>
      <c r="I623" s="6">
        <v>2.1990740740740742E-3</v>
      </c>
      <c r="J623" s="2"/>
      <c r="K623" s="2"/>
      <c r="L623" s="2" t="s">
        <v>33</v>
      </c>
      <c r="M623" s="2" t="s">
        <v>66</v>
      </c>
      <c r="N623" s="2" t="s">
        <v>67</v>
      </c>
    </row>
    <row r="624" spans="1:14" x14ac:dyDescent="0.3">
      <c r="A624" s="2" t="s">
        <v>70</v>
      </c>
      <c r="B624" s="3">
        <v>18</v>
      </c>
      <c r="C624" s="4" t="s">
        <v>44</v>
      </c>
      <c r="D624" s="2" t="s">
        <v>32</v>
      </c>
      <c r="E624" s="2" t="s">
        <v>42</v>
      </c>
      <c r="F624" s="5">
        <v>0</v>
      </c>
      <c r="G624" s="1">
        <v>0</v>
      </c>
      <c r="H624" s="2">
        <v>5</v>
      </c>
      <c r="I624" s="6">
        <v>2.1990740740740742E-3</v>
      </c>
      <c r="J624" s="2"/>
      <c r="K624" s="2"/>
      <c r="L624" s="2" t="s">
        <v>51</v>
      </c>
      <c r="M624" s="2" t="s">
        <v>78</v>
      </c>
      <c r="N624" s="2" t="s">
        <v>62</v>
      </c>
    </row>
    <row r="625" spans="1:14" x14ac:dyDescent="0.3">
      <c r="A625" s="2" t="s">
        <v>70</v>
      </c>
      <c r="B625" s="3">
        <v>13</v>
      </c>
      <c r="C625" s="4" t="s">
        <v>15</v>
      </c>
      <c r="D625" s="2" t="s">
        <v>28</v>
      </c>
      <c r="E625" s="2" t="s">
        <v>42</v>
      </c>
      <c r="F625" s="5">
        <v>0</v>
      </c>
      <c r="G625" s="1">
        <v>0</v>
      </c>
      <c r="H625" s="2">
        <v>4</v>
      </c>
      <c r="I625" s="6">
        <v>2.1990740740740742E-3</v>
      </c>
      <c r="J625" s="2"/>
      <c r="K625" s="2"/>
      <c r="L625" s="2" t="s">
        <v>48</v>
      </c>
      <c r="M625" s="2" t="s">
        <v>78</v>
      </c>
      <c r="N625" s="2" t="s">
        <v>66</v>
      </c>
    </row>
    <row r="626" spans="1:14" x14ac:dyDescent="0.3">
      <c r="A626" s="2" t="s">
        <v>14</v>
      </c>
      <c r="B626" s="3">
        <v>17</v>
      </c>
      <c r="C626" s="4" t="s">
        <v>55</v>
      </c>
      <c r="D626" s="2" t="s">
        <v>49</v>
      </c>
      <c r="E626" s="2" t="s">
        <v>68</v>
      </c>
      <c r="F626" s="5">
        <v>3</v>
      </c>
      <c r="G626" s="1">
        <v>15000000</v>
      </c>
      <c r="H626" s="2">
        <v>1</v>
      </c>
      <c r="I626" s="6">
        <v>2.2222222222222222E-3</v>
      </c>
      <c r="J626" s="2" t="s">
        <v>18</v>
      </c>
      <c r="K626" s="2" t="s">
        <v>24</v>
      </c>
      <c r="L626" s="2" t="s">
        <v>30</v>
      </c>
      <c r="M626" s="2" t="s">
        <v>66</v>
      </c>
      <c r="N626" s="2" t="s">
        <v>67</v>
      </c>
    </row>
    <row r="627" spans="1:14" x14ac:dyDescent="0.3">
      <c r="A627" s="2" t="s">
        <v>14</v>
      </c>
      <c r="B627" s="3">
        <v>11</v>
      </c>
      <c r="C627" s="4" t="s">
        <v>57</v>
      </c>
      <c r="D627" s="2" t="s">
        <v>16</v>
      </c>
      <c r="E627" s="2" t="s">
        <v>42</v>
      </c>
      <c r="F627" s="5">
        <v>3</v>
      </c>
      <c r="G627" s="1">
        <v>15000000</v>
      </c>
      <c r="H627" s="2">
        <v>5</v>
      </c>
      <c r="I627" s="6">
        <v>2.2222222222222222E-3</v>
      </c>
      <c r="J627" s="2" t="s">
        <v>18</v>
      </c>
      <c r="K627" s="2" t="s">
        <v>19</v>
      </c>
      <c r="L627" s="2" t="s">
        <v>51</v>
      </c>
      <c r="M627" s="2" t="s">
        <v>66</v>
      </c>
      <c r="N627" s="2" t="s">
        <v>36</v>
      </c>
    </row>
    <row r="628" spans="1:14" x14ac:dyDescent="0.3">
      <c r="A628" s="2" t="s">
        <v>14</v>
      </c>
      <c r="B628" s="3">
        <v>1</v>
      </c>
      <c r="C628" s="4" t="s">
        <v>59</v>
      </c>
      <c r="D628" s="2" t="s">
        <v>49</v>
      </c>
      <c r="E628" s="2" t="s">
        <v>42</v>
      </c>
      <c r="F628" s="5">
        <v>4</v>
      </c>
      <c r="G628" s="1">
        <v>20000000</v>
      </c>
      <c r="H628" s="2">
        <v>3</v>
      </c>
      <c r="I628" s="6">
        <v>2.2222222222222222E-3</v>
      </c>
      <c r="J628" s="2" t="s">
        <v>18</v>
      </c>
      <c r="K628" s="2" t="s">
        <v>56</v>
      </c>
      <c r="L628" s="2" t="s">
        <v>33</v>
      </c>
      <c r="M628" s="2" t="s">
        <v>76</v>
      </c>
      <c r="N628" s="2" t="s">
        <v>52</v>
      </c>
    </row>
    <row r="629" spans="1:14" x14ac:dyDescent="0.3">
      <c r="A629" s="2" t="s">
        <v>14</v>
      </c>
      <c r="B629" s="3">
        <v>10</v>
      </c>
      <c r="C629" s="4" t="s">
        <v>72</v>
      </c>
      <c r="D629" s="2" t="s">
        <v>32</v>
      </c>
      <c r="E629" s="2" t="s">
        <v>42</v>
      </c>
      <c r="F629" s="5">
        <v>1</v>
      </c>
      <c r="G629" s="1">
        <v>7000000</v>
      </c>
      <c r="H629" s="2">
        <v>4</v>
      </c>
      <c r="I629" s="6">
        <v>2.2222222222222222E-3</v>
      </c>
      <c r="J629" s="2" t="s">
        <v>18</v>
      </c>
      <c r="K629" s="2" t="s">
        <v>19</v>
      </c>
      <c r="L629" s="2" t="s">
        <v>51</v>
      </c>
      <c r="M629" s="2" t="s">
        <v>78</v>
      </c>
      <c r="N629" s="2" t="s">
        <v>53</v>
      </c>
    </row>
    <row r="630" spans="1:14" x14ac:dyDescent="0.3">
      <c r="A630" s="2" t="s">
        <v>14</v>
      </c>
      <c r="B630" s="3">
        <v>30</v>
      </c>
      <c r="C630" s="4" t="s">
        <v>27</v>
      </c>
      <c r="D630" s="2" t="s">
        <v>16</v>
      </c>
      <c r="E630" s="2" t="s">
        <v>42</v>
      </c>
      <c r="F630" s="5">
        <v>1</v>
      </c>
      <c r="G630" s="1">
        <v>19000000</v>
      </c>
      <c r="H630" s="2">
        <v>1</v>
      </c>
      <c r="I630" s="6">
        <v>2.2222222222222222E-3</v>
      </c>
      <c r="J630" s="2" t="s">
        <v>46</v>
      </c>
      <c r="K630" s="2" t="s">
        <v>29</v>
      </c>
      <c r="L630" s="2" t="s">
        <v>20</v>
      </c>
      <c r="M630" s="2" t="s">
        <v>76</v>
      </c>
      <c r="N630" s="2" t="s">
        <v>31</v>
      </c>
    </row>
    <row r="631" spans="1:14" x14ac:dyDescent="0.3">
      <c r="A631" s="2" t="s">
        <v>14</v>
      </c>
      <c r="B631" s="3">
        <v>28</v>
      </c>
      <c r="C631" s="4" t="s">
        <v>27</v>
      </c>
      <c r="D631" s="2" t="s">
        <v>49</v>
      </c>
      <c r="E631" s="2" t="s">
        <v>45</v>
      </c>
      <c r="F631" s="5">
        <v>4</v>
      </c>
      <c r="G631" s="1">
        <v>11000000</v>
      </c>
      <c r="H631" s="2">
        <v>2</v>
      </c>
      <c r="I631" s="6">
        <v>2.2222222222222222E-3</v>
      </c>
      <c r="J631" s="2" t="s">
        <v>61</v>
      </c>
      <c r="K631" s="2" t="s">
        <v>56</v>
      </c>
      <c r="L631" s="2" t="s">
        <v>20</v>
      </c>
      <c r="M631" s="2" t="s">
        <v>76</v>
      </c>
      <c r="N631" s="2" t="s">
        <v>26</v>
      </c>
    </row>
    <row r="632" spans="1:14" x14ac:dyDescent="0.3">
      <c r="A632" s="2" t="s">
        <v>14</v>
      </c>
      <c r="B632" s="3">
        <v>22</v>
      </c>
      <c r="C632" s="4" t="s">
        <v>27</v>
      </c>
      <c r="D632" s="2" t="s">
        <v>16</v>
      </c>
      <c r="E632" s="2" t="s">
        <v>42</v>
      </c>
      <c r="F632" s="5">
        <v>5</v>
      </c>
      <c r="G632" s="1">
        <v>25000000</v>
      </c>
      <c r="H632" s="2">
        <v>3</v>
      </c>
      <c r="I632" s="6">
        <v>2.2222222222222222E-3</v>
      </c>
      <c r="J632" s="2" t="s">
        <v>18</v>
      </c>
      <c r="K632" s="2" t="s">
        <v>19</v>
      </c>
      <c r="L632" s="2" t="s">
        <v>43</v>
      </c>
      <c r="M632" s="2" t="s">
        <v>77</v>
      </c>
      <c r="N632" s="2" t="s">
        <v>65</v>
      </c>
    </row>
    <row r="633" spans="1:14" x14ac:dyDescent="0.3">
      <c r="A633" s="2" t="s">
        <v>14</v>
      </c>
      <c r="B633" s="3">
        <v>11</v>
      </c>
      <c r="C633" s="4" t="s">
        <v>27</v>
      </c>
      <c r="D633" s="2" t="s">
        <v>16</v>
      </c>
      <c r="E633" s="2" t="s">
        <v>17</v>
      </c>
      <c r="F633" s="5">
        <v>2</v>
      </c>
      <c r="G633" s="1">
        <v>12000000</v>
      </c>
      <c r="H633" s="2">
        <v>3</v>
      </c>
      <c r="I633" s="6">
        <v>2.2222222222222222E-3</v>
      </c>
      <c r="J633" s="2" t="s">
        <v>18</v>
      </c>
      <c r="K633" s="2" t="s">
        <v>19</v>
      </c>
      <c r="L633" s="2" t="s">
        <v>51</v>
      </c>
      <c r="M633" s="2" t="s">
        <v>76</v>
      </c>
      <c r="N633" s="2" t="s">
        <v>71</v>
      </c>
    </row>
    <row r="634" spans="1:14" x14ac:dyDescent="0.3">
      <c r="A634" s="2" t="s">
        <v>14</v>
      </c>
      <c r="B634" s="3">
        <v>30</v>
      </c>
      <c r="C634" s="4" t="s">
        <v>27</v>
      </c>
      <c r="D634" s="2" t="s">
        <v>38</v>
      </c>
      <c r="E634" s="2" t="s">
        <v>23</v>
      </c>
      <c r="F634" s="5">
        <v>3</v>
      </c>
      <c r="G634" s="1">
        <v>15000000</v>
      </c>
      <c r="H634" s="2">
        <v>5</v>
      </c>
      <c r="I634" s="6">
        <v>2.2222222222222222E-3</v>
      </c>
      <c r="J634" s="2" t="s">
        <v>18</v>
      </c>
      <c r="K634" s="2" t="s">
        <v>29</v>
      </c>
      <c r="L634" s="2" t="s">
        <v>51</v>
      </c>
      <c r="M634" s="2" t="s">
        <v>76</v>
      </c>
      <c r="N634" s="2" t="s">
        <v>52</v>
      </c>
    </row>
    <row r="635" spans="1:14" x14ac:dyDescent="0.3">
      <c r="A635" s="2" t="s">
        <v>14</v>
      </c>
      <c r="B635" s="3">
        <v>2</v>
      </c>
      <c r="C635" s="4" t="s">
        <v>37</v>
      </c>
      <c r="D635" s="2" t="s">
        <v>49</v>
      </c>
      <c r="E635" s="2" t="s">
        <v>42</v>
      </c>
      <c r="F635" s="5">
        <v>5</v>
      </c>
      <c r="G635" s="1">
        <v>21000000</v>
      </c>
      <c r="H635" s="2">
        <v>1</v>
      </c>
      <c r="I635" s="6">
        <v>2.2222222222222222E-3</v>
      </c>
      <c r="J635" s="2" t="s">
        <v>18</v>
      </c>
      <c r="K635" s="2" t="s">
        <v>47</v>
      </c>
      <c r="L635" s="2" t="s">
        <v>30</v>
      </c>
      <c r="M635" s="2" t="s">
        <v>77</v>
      </c>
      <c r="N635" s="2" t="s">
        <v>54</v>
      </c>
    </row>
    <row r="636" spans="1:14" x14ac:dyDescent="0.3">
      <c r="A636" s="2" t="s">
        <v>14</v>
      </c>
      <c r="B636" s="3">
        <v>25</v>
      </c>
      <c r="C636" s="4" t="s">
        <v>37</v>
      </c>
      <c r="D636" s="2" t="s">
        <v>32</v>
      </c>
      <c r="E636" s="2" t="s">
        <v>17</v>
      </c>
      <c r="F636" s="5">
        <v>5</v>
      </c>
      <c r="G636" s="1">
        <v>25000000</v>
      </c>
      <c r="H636" s="2">
        <v>2</v>
      </c>
      <c r="I636" s="6">
        <v>2.2222222222222222E-3</v>
      </c>
      <c r="J636" s="2" t="s">
        <v>18</v>
      </c>
      <c r="K636" s="2" t="s">
        <v>39</v>
      </c>
      <c r="L636" s="2" t="s">
        <v>30</v>
      </c>
      <c r="M636" s="2" t="s">
        <v>78</v>
      </c>
      <c r="N636" s="2" t="s">
        <v>63</v>
      </c>
    </row>
    <row r="637" spans="1:14" x14ac:dyDescent="0.3">
      <c r="A637" s="2" t="s">
        <v>14</v>
      </c>
      <c r="B637" s="3">
        <v>28</v>
      </c>
      <c r="C637" s="4" t="s">
        <v>37</v>
      </c>
      <c r="D637" s="2" t="s">
        <v>73</v>
      </c>
      <c r="E637" s="2" t="s">
        <v>23</v>
      </c>
      <c r="F637" s="5">
        <v>1</v>
      </c>
      <c r="G637" s="1">
        <v>7000000</v>
      </c>
      <c r="H637" s="2">
        <v>2</v>
      </c>
      <c r="I637" s="6">
        <v>2.2222222222222222E-3</v>
      </c>
      <c r="J637" s="2" t="s">
        <v>18</v>
      </c>
      <c r="K637" s="2" t="s">
        <v>24</v>
      </c>
      <c r="L637" s="2" t="s">
        <v>51</v>
      </c>
      <c r="M637" s="2" t="s">
        <v>76</v>
      </c>
      <c r="N637" s="2" t="s">
        <v>26</v>
      </c>
    </row>
    <row r="638" spans="1:14" x14ac:dyDescent="0.3">
      <c r="A638" s="2" t="s">
        <v>14</v>
      </c>
      <c r="B638" s="3">
        <v>22</v>
      </c>
      <c r="C638" s="4" t="s">
        <v>37</v>
      </c>
      <c r="D638" s="2" t="s">
        <v>32</v>
      </c>
      <c r="E638" s="2" t="s">
        <v>23</v>
      </c>
      <c r="F638" s="5">
        <v>3</v>
      </c>
      <c r="G638" s="1">
        <v>15000000</v>
      </c>
      <c r="H638" s="2">
        <v>2</v>
      </c>
      <c r="I638" s="6">
        <v>2.2222222222222222E-3</v>
      </c>
      <c r="J638" s="2" t="s">
        <v>18</v>
      </c>
      <c r="K638" s="2" t="s">
        <v>29</v>
      </c>
      <c r="L638" s="2" t="s">
        <v>48</v>
      </c>
      <c r="M638" s="2" t="s">
        <v>77</v>
      </c>
      <c r="N638" s="2" t="s">
        <v>54</v>
      </c>
    </row>
    <row r="639" spans="1:14" x14ac:dyDescent="0.3">
      <c r="A639" s="2" t="s">
        <v>14</v>
      </c>
      <c r="B639" s="3">
        <v>25</v>
      </c>
      <c r="C639" s="4" t="s">
        <v>37</v>
      </c>
      <c r="D639" s="2" t="s">
        <v>49</v>
      </c>
      <c r="E639" s="2" t="s">
        <v>42</v>
      </c>
      <c r="F639" s="5">
        <v>2</v>
      </c>
      <c r="G639" s="1">
        <v>12000000</v>
      </c>
      <c r="H639" s="2">
        <v>1</v>
      </c>
      <c r="I639" s="6">
        <v>2.2222222222222222E-3</v>
      </c>
      <c r="J639" s="2" t="s">
        <v>18</v>
      </c>
      <c r="K639" s="2" t="s">
        <v>29</v>
      </c>
      <c r="L639" s="2" t="s">
        <v>48</v>
      </c>
      <c r="M639" s="2" t="s">
        <v>77</v>
      </c>
      <c r="N639" s="2" t="s">
        <v>65</v>
      </c>
    </row>
    <row r="640" spans="1:14" x14ac:dyDescent="0.3">
      <c r="A640" s="2" t="s">
        <v>14</v>
      </c>
      <c r="B640" s="3">
        <v>29</v>
      </c>
      <c r="C640" s="4" t="s">
        <v>37</v>
      </c>
      <c r="D640" s="2" t="s">
        <v>49</v>
      </c>
      <c r="E640" s="2" t="s">
        <v>42</v>
      </c>
      <c r="F640" s="5">
        <v>2</v>
      </c>
      <c r="G640" s="1">
        <v>12000000</v>
      </c>
      <c r="H640" s="2">
        <v>1</v>
      </c>
      <c r="I640" s="6">
        <v>2.2222222222222222E-3</v>
      </c>
      <c r="J640" s="2" t="s">
        <v>18</v>
      </c>
      <c r="K640" s="2" t="s">
        <v>24</v>
      </c>
      <c r="L640" s="2" t="s">
        <v>51</v>
      </c>
      <c r="M640" s="2" t="s">
        <v>76</v>
      </c>
      <c r="N640" s="2" t="s">
        <v>26</v>
      </c>
    </row>
    <row r="641" spans="1:14" x14ac:dyDescent="0.3">
      <c r="A641" s="2" t="s">
        <v>14</v>
      </c>
      <c r="B641" s="3">
        <v>20</v>
      </c>
      <c r="C641" s="4" t="s">
        <v>44</v>
      </c>
      <c r="D641" s="2" t="s">
        <v>38</v>
      </c>
      <c r="E641" s="2" t="s">
        <v>42</v>
      </c>
      <c r="F641" s="5">
        <v>2</v>
      </c>
      <c r="G641" s="1">
        <v>38000000</v>
      </c>
      <c r="H641" s="2">
        <v>4</v>
      </c>
      <c r="I641" s="6">
        <v>2.2222222222222222E-3</v>
      </c>
      <c r="J641" s="2" t="s">
        <v>74</v>
      </c>
      <c r="K641" s="2" t="s">
        <v>19</v>
      </c>
      <c r="L641" s="2" t="s">
        <v>43</v>
      </c>
      <c r="M641" s="2" t="s">
        <v>66</v>
      </c>
      <c r="N641" s="2" t="s">
        <v>67</v>
      </c>
    </row>
    <row r="642" spans="1:14" x14ac:dyDescent="0.3">
      <c r="A642" s="2" t="s">
        <v>14</v>
      </c>
      <c r="B642" s="3">
        <v>9</v>
      </c>
      <c r="C642" s="4" t="s">
        <v>44</v>
      </c>
      <c r="D642" s="2" t="s">
        <v>32</v>
      </c>
      <c r="E642" s="2" t="s">
        <v>42</v>
      </c>
      <c r="F642" s="5">
        <v>5</v>
      </c>
      <c r="G642" s="1">
        <v>25000000</v>
      </c>
      <c r="H642" s="2">
        <v>2</v>
      </c>
      <c r="I642" s="6">
        <v>2.2222222222222222E-3</v>
      </c>
      <c r="J642" s="2" t="s">
        <v>18</v>
      </c>
      <c r="K642" s="2" t="s">
        <v>35</v>
      </c>
      <c r="L642" s="2" t="s">
        <v>33</v>
      </c>
      <c r="M642" s="2" t="s">
        <v>66</v>
      </c>
      <c r="N642" s="2" t="s">
        <v>36</v>
      </c>
    </row>
    <row r="643" spans="1:14" x14ac:dyDescent="0.3">
      <c r="A643" s="2" t="s">
        <v>14</v>
      </c>
      <c r="B643" s="3">
        <v>17</v>
      </c>
      <c r="C643" s="4" t="s">
        <v>69</v>
      </c>
      <c r="D643" s="2" t="s">
        <v>16</v>
      </c>
      <c r="E643" s="2" t="s">
        <v>23</v>
      </c>
      <c r="F643" s="5">
        <v>4</v>
      </c>
      <c r="G643" s="1">
        <v>11000000</v>
      </c>
      <c r="H643" s="2">
        <v>1</v>
      </c>
      <c r="I643" s="6">
        <v>2.2222222222222222E-3</v>
      </c>
      <c r="J643" s="2" t="s">
        <v>61</v>
      </c>
      <c r="K643" s="2" t="s">
        <v>64</v>
      </c>
      <c r="L643" s="2" t="s">
        <v>20</v>
      </c>
      <c r="M643" s="2" t="s">
        <v>76</v>
      </c>
      <c r="N643" s="2" t="s">
        <v>26</v>
      </c>
    </row>
    <row r="644" spans="1:14" x14ac:dyDescent="0.3">
      <c r="A644" s="2" t="s">
        <v>14</v>
      </c>
      <c r="B644" s="3">
        <v>10</v>
      </c>
      <c r="C644" s="4" t="s">
        <v>69</v>
      </c>
      <c r="D644" s="2" t="s">
        <v>49</v>
      </c>
      <c r="E644" s="2" t="s">
        <v>42</v>
      </c>
      <c r="F644" s="5">
        <v>2</v>
      </c>
      <c r="G644" s="1">
        <v>12000000</v>
      </c>
      <c r="H644" s="2">
        <v>4</v>
      </c>
      <c r="I644" s="6">
        <v>2.2222222222222222E-3</v>
      </c>
      <c r="J644" s="2" t="s">
        <v>18</v>
      </c>
      <c r="K644" s="2" t="s">
        <v>39</v>
      </c>
      <c r="L644" s="2" t="s">
        <v>20</v>
      </c>
      <c r="M644" s="2" t="s">
        <v>76</v>
      </c>
      <c r="N644" s="2" t="s">
        <v>52</v>
      </c>
    </row>
    <row r="645" spans="1:14" x14ac:dyDescent="0.3">
      <c r="A645" s="2" t="s">
        <v>14</v>
      </c>
      <c r="B645" s="3">
        <v>24</v>
      </c>
      <c r="C645" s="4" t="s">
        <v>69</v>
      </c>
      <c r="D645" s="2" t="s">
        <v>49</v>
      </c>
      <c r="E645" s="2" t="s">
        <v>42</v>
      </c>
      <c r="F645" s="5">
        <v>2</v>
      </c>
      <c r="G645" s="1">
        <v>12000000</v>
      </c>
      <c r="H645" s="2">
        <v>2</v>
      </c>
      <c r="I645" s="6">
        <v>2.2222222222222222E-3</v>
      </c>
      <c r="J645" s="2" t="s">
        <v>18</v>
      </c>
      <c r="K645" s="2" t="s">
        <v>29</v>
      </c>
      <c r="L645" s="2" t="s">
        <v>43</v>
      </c>
      <c r="M645" s="2" t="s">
        <v>77</v>
      </c>
      <c r="N645" s="2" t="s">
        <v>54</v>
      </c>
    </row>
    <row r="646" spans="1:14" x14ac:dyDescent="0.3">
      <c r="A646" s="2" t="s">
        <v>14</v>
      </c>
      <c r="B646" s="3">
        <v>20</v>
      </c>
      <c r="C646" s="4" t="s">
        <v>69</v>
      </c>
      <c r="D646" s="2" t="s">
        <v>38</v>
      </c>
      <c r="E646" s="2" t="s">
        <v>23</v>
      </c>
      <c r="F646" s="5">
        <v>4</v>
      </c>
      <c r="G646" s="1">
        <v>20000000</v>
      </c>
      <c r="H646" s="2">
        <v>4</v>
      </c>
      <c r="I646" s="6">
        <v>2.2222222222222222E-3</v>
      </c>
      <c r="J646" s="2" t="s">
        <v>18</v>
      </c>
      <c r="K646" s="2" t="s">
        <v>39</v>
      </c>
      <c r="L646" s="2" t="s">
        <v>48</v>
      </c>
      <c r="M646" s="2" t="s">
        <v>77</v>
      </c>
      <c r="N646" s="2" t="s">
        <v>65</v>
      </c>
    </row>
    <row r="647" spans="1:14" x14ac:dyDescent="0.3">
      <c r="A647" s="2" t="s">
        <v>14</v>
      </c>
      <c r="B647" s="3">
        <v>17</v>
      </c>
      <c r="C647" s="4" t="s">
        <v>55</v>
      </c>
      <c r="D647" s="2" t="s">
        <v>49</v>
      </c>
      <c r="E647" s="2" t="s">
        <v>68</v>
      </c>
      <c r="F647" s="5">
        <v>3</v>
      </c>
      <c r="G647" s="1">
        <v>15000000</v>
      </c>
      <c r="H647" s="2">
        <v>1</v>
      </c>
      <c r="I647" s="6">
        <v>2.2222222222222222E-3</v>
      </c>
      <c r="J647" s="2" t="s">
        <v>18</v>
      </c>
      <c r="K647" s="2" t="s">
        <v>24</v>
      </c>
      <c r="L647" s="2" t="s">
        <v>30</v>
      </c>
      <c r="M647" s="2" t="s">
        <v>66</v>
      </c>
      <c r="N647" s="2" t="s">
        <v>67</v>
      </c>
    </row>
    <row r="648" spans="1:14" x14ac:dyDescent="0.3">
      <c r="A648" s="2" t="s">
        <v>14</v>
      </c>
      <c r="B648" s="3">
        <v>11</v>
      </c>
      <c r="C648" s="4" t="s">
        <v>57</v>
      </c>
      <c r="D648" s="2" t="s">
        <v>16</v>
      </c>
      <c r="E648" s="2" t="s">
        <v>42</v>
      </c>
      <c r="F648" s="5">
        <v>3</v>
      </c>
      <c r="G648" s="1">
        <v>15000000</v>
      </c>
      <c r="H648" s="2">
        <v>5</v>
      </c>
      <c r="I648" s="6">
        <v>2.2222222222222222E-3</v>
      </c>
      <c r="J648" s="2" t="s">
        <v>18</v>
      </c>
      <c r="K648" s="2" t="s">
        <v>19</v>
      </c>
      <c r="L648" s="2" t="s">
        <v>51</v>
      </c>
      <c r="M648" s="2" t="s">
        <v>66</v>
      </c>
      <c r="N648" s="2" t="s">
        <v>36</v>
      </c>
    </row>
    <row r="649" spans="1:14" x14ac:dyDescent="0.3">
      <c r="A649" s="2" t="s">
        <v>14</v>
      </c>
      <c r="B649" s="3">
        <v>1</v>
      </c>
      <c r="C649" s="4" t="s">
        <v>59</v>
      </c>
      <c r="D649" s="2" t="s">
        <v>49</v>
      </c>
      <c r="E649" s="2" t="s">
        <v>42</v>
      </c>
      <c r="F649" s="5">
        <v>4</v>
      </c>
      <c r="G649" s="1">
        <v>20000000</v>
      </c>
      <c r="H649" s="2">
        <v>3</v>
      </c>
      <c r="I649" s="6">
        <v>2.2222222222222222E-3</v>
      </c>
      <c r="J649" s="2" t="s">
        <v>18</v>
      </c>
      <c r="K649" s="2" t="s">
        <v>56</v>
      </c>
      <c r="L649" s="2" t="s">
        <v>33</v>
      </c>
      <c r="M649" s="2" t="s">
        <v>76</v>
      </c>
      <c r="N649" s="2" t="s">
        <v>52</v>
      </c>
    </row>
    <row r="650" spans="1:14" x14ac:dyDescent="0.3">
      <c r="A650" s="2" t="s">
        <v>14</v>
      </c>
      <c r="B650" s="3">
        <v>10</v>
      </c>
      <c r="C650" s="4" t="s">
        <v>72</v>
      </c>
      <c r="D650" s="2" t="s">
        <v>32</v>
      </c>
      <c r="E650" s="2" t="s">
        <v>42</v>
      </c>
      <c r="F650" s="5">
        <v>1</v>
      </c>
      <c r="G650" s="1">
        <v>7000000</v>
      </c>
      <c r="H650" s="2">
        <v>4</v>
      </c>
      <c r="I650" s="6">
        <v>2.2222222222222222E-3</v>
      </c>
      <c r="J650" s="2" t="s">
        <v>18</v>
      </c>
      <c r="K650" s="2" t="s">
        <v>19</v>
      </c>
      <c r="L650" s="2" t="s">
        <v>51</v>
      </c>
      <c r="M650" s="2" t="s">
        <v>78</v>
      </c>
      <c r="N650" s="2" t="s">
        <v>53</v>
      </c>
    </row>
    <row r="651" spans="1:14" x14ac:dyDescent="0.3">
      <c r="A651" s="2" t="s">
        <v>70</v>
      </c>
      <c r="B651" s="3">
        <v>21</v>
      </c>
      <c r="C651" s="4" t="s">
        <v>57</v>
      </c>
      <c r="D651" s="2" t="s">
        <v>73</v>
      </c>
      <c r="E651" s="2" t="s">
        <v>42</v>
      </c>
      <c r="F651" s="5">
        <v>0</v>
      </c>
      <c r="G651" s="1">
        <v>0</v>
      </c>
      <c r="H651" s="2">
        <v>2</v>
      </c>
      <c r="I651" s="6">
        <v>2.2222222222222222E-3</v>
      </c>
      <c r="J651" s="2"/>
      <c r="K651" s="2"/>
      <c r="L651" s="2" t="s">
        <v>43</v>
      </c>
      <c r="M651" s="2" t="s">
        <v>78</v>
      </c>
      <c r="N651" s="2" t="s">
        <v>53</v>
      </c>
    </row>
    <row r="652" spans="1:14" x14ac:dyDescent="0.3">
      <c r="A652" s="2" t="s">
        <v>70</v>
      </c>
      <c r="B652" s="3">
        <v>16</v>
      </c>
      <c r="C652" s="4" t="s">
        <v>58</v>
      </c>
      <c r="D652" s="2" t="s">
        <v>28</v>
      </c>
      <c r="E652" s="2" t="s">
        <v>17</v>
      </c>
      <c r="F652" s="5">
        <v>0</v>
      </c>
      <c r="G652" s="1">
        <v>0</v>
      </c>
      <c r="H652" s="2">
        <v>5</v>
      </c>
      <c r="I652" s="6">
        <v>2.2222222222222222E-3</v>
      </c>
      <c r="J652" s="2"/>
      <c r="K652" s="2"/>
      <c r="L652" s="2" t="s">
        <v>40</v>
      </c>
      <c r="M652" s="2" t="s">
        <v>78</v>
      </c>
      <c r="N652" s="2" t="s">
        <v>53</v>
      </c>
    </row>
    <row r="653" spans="1:14" x14ac:dyDescent="0.3">
      <c r="A653" s="2" t="s">
        <v>70</v>
      </c>
      <c r="B653" s="3">
        <v>25</v>
      </c>
      <c r="C653" s="4" t="s">
        <v>27</v>
      </c>
      <c r="D653" s="2" t="s">
        <v>28</v>
      </c>
      <c r="E653" s="2" t="s">
        <v>42</v>
      </c>
      <c r="F653" s="5">
        <v>0</v>
      </c>
      <c r="G653" s="1">
        <v>0</v>
      </c>
      <c r="H653" s="2">
        <v>1</v>
      </c>
      <c r="I653" s="6">
        <v>2.2222222222222222E-3</v>
      </c>
      <c r="J653" s="2"/>
      <c r="K653" s="2"/>
      <c r="L653" s="2" t="s">
        <v>30</v>
      </c>
      <c r="M653" s="2" t="s">
        <v>78</v>
      </c>
      <c r="N653" s="2" t="s">
        <v>63</v>
      </c>
    </row>
    <row r="654" spans="1:14" x14ac:dyDescent="0.3">
      <c r="A654" s="2" t="s">
        <v>70</v>
      </c>
      <c r="B654" s="3">
        <v>7</v>
      </c>
      <c r="C654" s="4" t="s">
        <v>69</v>
      </c>
      <c r="D654" s="2" t="s">
        <v>16</v>
      </c>
      <c r="E654" s="2" t="s">
        <v>17</v>
      </c>
      <c r="F654" s="5">
        <v>0</v>
      </c>
      <c r="G654" s="1">
        <v>0</v>
      </c>
      <c r="H654" s="2">
        <v>1</v>
      </c>
      <c r="I654" s="6">
        <v>2.2222222222222222E-3</v>
      </c>
      <c r="J654" s="2"/>
      <c r="K654" s="2"/>
      <c r="L654" s="2" t="s">
        <v>33</v>
      </c>
      <c r="M654" s="2" t="s">
        <v>78</v>
      </c>
      <c r="N654" s="2" t="s">
        <v>41</v>
      </c>
    </row>
    <row r="655" spans="1:14" x14ac:dyDescent="0.3">
      <c r="A655" s="2" t="s">
        <v>70</v>
      </c>
      <c r="B655" s="3">
        <v>23</v>
      </c>
      <c r="C655" s="4" t="s">
        <v>69</v>
      </c>
      <c r="D655" s="2" t="s">
        <v>32</v>
      </c>
      <c r="E655" s="2" t="s">
        <v>42</v>
      </c>
      <c r="F655" s="5">
        <v>0</v>
      </c>
      <c r="G655" s="1">
        <v>0</v>
      </c>
      <c r="H655" s="2">
        <v>5</v>
      </c>
      <c r="I655" s="6">
        <v>2.2222222222222222E-3</v>
      </c>
      <c r="J655" s="2"/>
      <c r="K655" s="2"/>
      <c r="L655" s="2" t="s">
        <v>25</v>
      </c>
      <c r="M655" s="2" t="s">
        <v>76</v>
      </c>
      <c r="N655" s="2" t="s">
        <v>31</v>
      </c>
    </row>
    <row r="656" spans="1:14" x14ac:dyDescent="0.3">
      <c r="A656" s="2" t="s">
        <v>70</v>
      </c>
      <c r="B656" s="3">
        <v>21</v>
      </c>
      <c r="C656" s="4" t="s">
        <v>57</v>
      </c>
      <c r="D656" s="2" t="s">
        <v>73</v>
      </c>
      <c r="E656" s="2" t="s">
        <v>42</v>
      </c>
      <c r="F656" s="5">
        <v>0</v>
      </c>
      <c r="G656" s="1">
        <v>0</v>
      </c>
      <c r="H656" s="2">
        <v>2</v>
      </c>
      <c r="I656" s="6">
        <v>2.2222222222222222E-3</v>
      </c>
      <c r="J656" s="2"/>
      <c r="K656" s="2"/>
      <c r="L656" s="2" t="s">
        <v>43</v>
      </c>
      <c r="M656" s="2" t="s">
        <v>78</v>
      </c>
      <c r="N656" s="2" t="s">
        <v>53</v>
      </c>
    </row>
    <row r="657" spans="1:14" x14ac:dyDescent="0.3">
      <c r="A657" s="2" t="s">
        <v>70</v>
      </c>
      <c r="B657" s="3">
        <v>16</v>
      </c>
      <c r="C657" s="4" t="s">
        <v>58</v>
      </c>
      <c r="D657" s="2" t="s">
        <v>28</v>
      </c>
      <c r="E657" s="2" t="s">
        <v>17</v>
      </c>
      <c r="F657" s="5">
        <v>0</v>
      </c>
      <c r="G657" s="1">
        <v>0</v>
      </c>
      <c r="H657" s="2">
        <v>5</v>
      </c>
      <c r="I657" s="6">
        <v>2.2222222222222222E-3</v>
      </c>
      <c r="J657" s="2"/>
      <c r="K657" s="2"/>
      <c r="L657" s="2" t="s">
        <v>40</v>
      </c>
      <c r="M657" s="2" t="s">
        <v>78</v>
      </c>
      <c r="N657" s="2" t="s">
        <v>53</v>
      </c>
    </row>
    <row r="658" spans="1:14" x14ac:dyDescent="0.3">
      <c r="A658" s="2" t="s">
        <v>14</v>
      </c>
      <c r="B658" s="3">
        <v>30</v>
      </c>
      <c r="C658" s="4" t="s">
        <v>22</v>
      </c>
      <c r="D658" s="2" t="s">
        <v>28</v>
      </c>
      <c r="E658" s="2" t="s">
        <v>23</v>
      </c>
      <c r="F658" s="5">
        <v>5</v>
      </c>
      <c r="G658" s="1">
        <v>25000000</v>
      </c>
      <c r="H658" s="2">
        <v>1</v>
      </c>
      <c r="I658" s="6">
        <v>2.2453703703703702E-3</v>
      </c>
      <c r="J658" s="2" t="s">
        <v>18</v>
      </c>
      <c r="K658" s="2" t="s">
        <v>64</v>
      </c>
      <c r="L658" s="2" t="s">
        <v>25</v>
      </c>
      <c r="M658" s="2" t="s">
        <v>76</v>
      </c>
      <c r="N658" s="2" t="s">
        <v>26</v>
      </c>
    </row>
    <row r="659" spans="1:14" x14ac:dyDescent="0.3">
      <c r="A659" s="2" t="s">
        <v>14</v>
      </c>
      <c r="B659" s="3">
        <v>25</v>
      </c>
      <c r="C659" s="4" t="s">
        <v>27</v>
      </c>
      <c r="D659" s="2" t="s">
        <v>16</v>
      </c>
      <c r="E659" s="2" t="s">
        <v>23</v>
      </c>
      <c r="F659" s="5">
        <v>4</v>
      </c>
      <c r="G659" s="1">
        <v>20000000</v>
      </c>
      <c r="H659" s="2">
        <v>2</v>
      </c>
      <c r="I659" s="6">
        <v>2.2453703703703702E-3</v>
      </c>
      <c r="J659" s="2" t="s">
        <v>61</v>
      </c>
      <c r="K659" s="2" t="s">
        <v>19</v>
      </c>
      <c r="L659" s="2" t="s">
        <v>51</v>
      </c>
      <c r="M659" s="2" t="s">
        <v>78</v>
      </c>
      <c r="N659" s="2" t="s">
        <v>63</v>
      </c>
    </row>
    <row r="660" spans="1:14" x14ac:dyDescent="0.3">
      <c r="A660" s="2" t="s">
        <v>14</v>
      </c>
      <c r="B660" s="3">
        <v>9</v>
      </c>
      <c r="C660" s="4" t="s">
        <v>27</v>
      </c>
      <c r="D660" s="2" t="s">
        <v>28</v>
      </c>
      <c r="E660" s="2" t="s">
        <v>23</v>
      </c>
      <c r="F660" s="5">
        <v>1</v>
      </c>
      <c r="G660" s="1">
        <v>7000000</v>
      </c>
      <c r="H660" s="2">
        <v>2</v>
      </c>
      <c r="I660" s="6">
        <v>2.2453703703703702E-3</v>
      </c>
      <c r="J660" s="2" t="s">
        <v>18</v>
      </c>
      <c r="K660" s="2" t="s">
        <v>29</v>
      </c>
      <c r="L660" s="2" t="s">
        <v>43</v>
      </c>
      <c r="M660" s="2" t="s">
        <v>76</v>
      </c>
      <c r="N660" s="2" t="s">
        <v>26</v>
      </c>
    </row>
    <row r="661" spans="1:14" x14ac:dyDescent="0.3">
      <c r="A661" s="2" t="s">
        <v>14</v>
      </c>
      <c r="B661" s="3">
        <v>29</v>
      </c>
      <c r="C661" s="4" t="s">
        <v>37</v>
      </c>
      <c r="D661" s="2" t="s">
        <v>49</v>
      </c>
      <c r="E661" s="2" t="s">
        <v>42</v>
      </c>
      <c r="F661" s="5">
        <v>2</v>
      </c>
      <c r="G661" s="1">
        <v>12000000</v>
      </c>
      <c r="H661" s="2">
        <v>1</v>
      </c>
      <c r="I661" s="6">
        <v>2.2453703703703702E-3</v>
      </c>
      <c r="J661" s="2" t="s">
        <v>18</v>
      </c>
      <c r="K661" s="2" t="s">
        <v>56</v>
      </c>
      <c r="L661" s="2" t="s">
        <v>30</v>
      </c>
      <c r="M661" s="2" t="s">
        <v>77</v>
      </c>
      <c r="N661" s="2" t="s">
        <v>34</v>
      </c>
    </row>
    <row r="662" spans="1:14" x14ac:dyDescent="0.3">
      <c r="A662" s="2" t="s">
        <v>14</v>
      </c>
      <c r="B662" s="3">
        <v>13</v>
      </c>
      <c r="C662" s="4" t="s">
        <v>37</v>
      </c>
      <c r="D662" s="2" t="s">
        <v>28</v>
      </c>
      <c r="E662" s="2" t="s">
        <v>23</v>
      </c>
      <c r="F662" s="5">
        <v>2</v>
      </c>
      <c r="G662" s="1">
        <v>12000000</v>
      </c>
      <c r="H662" s="2">
        <v>2</v>
      </c>
      <c r="I662" s="6">
        <v>2.2453703703703702E-3</v>
      </c>
      <c r="J662" s="2" t="s">
        <v>18</v>
      </c>
      <c r="K662" s="2" t="s">
        <v>19</v>
      </c>
      <c r="L662" s="2" t="s">
        <v>33</v>
      </c>
      <c r="M662" s="2" t="s">
        <v>66</v>
      </c>
      <c r="N662" s="2" t="s">
        <v>36</v>
      </c>
    </row>
    <row r="663" spans="1:14" x14ac:dyDescent="0.3">
      <c r="A663" s="2" t="s">
        <v>14</v>
      </c>
      <c r="B663" s="3">
        <v>29</v>
      </c>
      <c r="C663" s="4" t="s">
        <v>37</v>
      </c>
      <c r="D663" s="2" t="s">
        <v>32</v>
      </c>
      <c r="E663" s="2" t="s">
        <v>68</v>
      </c>
      <c r="F663" s="5">
        <v>2</v>
      </c>
      <c r="G663" s="1">
        <v>12000000</v>
      </c>
      <c r="H663" s="2">
        <v>1</v>
      </c>
      <c r="I663" s="6">
        <v>2.2453703703703702E-3</v>
      </c>
      <c r="J663" s="2" t="s">
        <v>18</v>
      </c>
      <c r="K663" s="2" t="s">
        <v>47</v>
      </c>
      <c r="L663" s="2" t="s">
        <v>48</v>
      </c>
      <c r="M663" s="2" t="s">
        <v>77</v>
      </c>
      <c r="N663" s="2" t="s">
        <v>54</v>
      </c>
    </row>
    <row r="664" spans="1:14" x14ac:dyDescent="0.3">
      <c r="A664" s="2" t="s">
        <v>14</v>
      </c>
      <c r="B664" s="3">
        <v>1</v>
      </c>
      <c r="C664" s="4" t="s">
        <v>44</v>
      </c>
      <c r="D664" s="2" t="s">
        <v>28</v>
      </c>
      <c r="E664" s="2" t="s">
        <v>23</v>
      </c>
      <c r="F664" s="5">
        <v>2</v>
      </c>
      <c r="G664" s="1">
        <v>38000000</v>
      </c>
      <c r="H664" s="2">
        <v>4</v>
      </c>
      <c r="I664" s="6">
        <v>2.2453703703703702E-3</v>
      </c>
      <c r="J664" s="2" t="s">
        <v>46</v>
      </c>
      <c r="K664" s="2" t="s">
        <v>19</v>
      </c>
      <c r="L664" s="2" t="s">
        <v>30</v>
      </c>
      <c r="M664" s="2" t="s">
        <v>78</v>
      </c>
      <c r="N664" s="2" t="s">
        <v>41</v>
      </c>
    </row>
    <row r="665" spans="1:14" x14ac:dyDescent="0.3">
      <c r="A665" s="2" t="s">
        <v>14</v>
      </c>
      <c r="B665" s="3">
        <v>22</v>
      </c>
      <c r="C665" s="4" t="s">
        <v>44</v>
      </c>
      <c r="D665" s="2" t="s">
        <v>16</v>
      </c>
      <c r="E665" s="2" t="s">
        <v>45</v>
      </c>
      <c r="F665" s="5">
        <v>4</v>
      </c>
      <c r="G665" s="1">
        <v>20000000</v>
      </c>
      <c r="H665" s="2">
        <v>5</v>
      </c>
      <c r="I665" s="6">
        <v>2.2453703703703702E-3</v>
      </c>
      <c r="J665" s="2" t="s">
        <v>18</v>
      </c>
      <c r="K665" s="2" t="s">
        <v>39</v>
      </c>
      <c r="L665" s="2" t="s">
        <v>43</v>
      </c>
      <c r="M665" s="2" t="s">
        <v>78</v>
      </c>
      <c r="N665" s="2" t="s">
        <v>53</v>
      </c>
    </row>
    <row r="666" spans="1:14" x14ac:dyDescent="0.3">
      <c r="A666" s="2" t="s">
        <v>14</v>
      </c>
      <c r="B666" s="3">
        <v>1</v>
      </c>
      <c r="C666" s="4" t="s">
        <v>69</v>
      </c>
      <c r="D666" s="2" t="s">
        <v>16</v>
      </c>
      <c r="E666" s="2" t="s">
        <v>23</v>
      </c>
      <c r="F666" s="5">
        <v>5</v>
      </c>
      <c r="G666" s="1">
        <v>21000000</v>
      </c>
      <c r="H666" s="2">
        <v>2</v>
      </c>
      <c r="I666" s="6">
        <v>2.2453703703703702E-3</v>
      </c>
      <c r="J666" s="2" t="s">
        <v>18</v>
      </c>
      <c r="K666" s="2" t="s">
        <v>47</v>
      </c>
      <c r="L666" s="2" t="s">
        <v>40</v>
      </c>
      <c r="M666" s="2" t="s">
        <v>78</v>
      </c>
      <c r="N666" s="2" t="s">
        <v>66</v>
      </c>
    </row>
    <row r="667" spans="1:14" x14ac:dyDescent="0.3">
      <c r="A667" s="2" t="s">
        <v>14</v>
      </c>
      <c r="B667" s="3">
        <v>15</v>
      </c>
      <c r="C667" s="4" t="s">
        <v>69</v>
      </c>
      <c r="D667" s="2" t="s">
        <v>28</v>
      </c>
      <c r="E667" s="2" t="s">
        <v>42</v>
      </c>
      <c r="F667" s="5">
        <v>3</v>
      </c>
      <c r="G667" s="1">
        <v>15000000</v>
      </c>
      <c r="H667" s="2">
        <v>2</v>
      </c>
      <c r="I667" s="6">
        <v>2.2453703703703702E-3</v>
      </c>
      <c r="J667" s="2" t="s">
        <v>18</v>
      </c>
      <c r="K667" s="2" t="s">
        <v>29</v>
      </c>
      <c r="L667" s="2" t="s">
        <v>20</v>
      </c>
      <c r="M667" s="2" t="s">
        <v>78</v>
      </c>
      <c r="N667" s="2" t="s">
        <v>62</v>
      </c>
    </row>
    <row r="668" spans="1:14" x14ac:dyDescent="0.3">
      <c r="A668" s="2" t="s">
        <v>70</v>
      </c>
      <c r="B668" s="3">
        <v>20</v>
      </c>
      <c r="C668" s="4" t="s">
        <v>58</v>
      </c>
      <c r="D668" s="2" t="s">
        <v>16</v>
      </c>
      <c r="E668" s="2" t="s">
        <v>23</v>
      </c>
      <c r="F668" s="5">
        <v>0</v>
      </c>
      <c r="G668" s="1">
        <v>0</v>
      </c>
      <c r="H668" s="2">
        <v>2</v>
      </c>
      <c r="I668" s="6">
        <v>2.2453703703703702E-3</v>
      </c>
      <c r="J668" s="2"/>
      <c r="K668" s="2"/>
      <c r="L668" s="2" t="s">
        <v>51</v>
      </c>
      <c r="M668" s="2" t="s">
        <v>66</v>
      </c>
      <c r="N668" s="2" t="s">
        <v>36</v>
      </c>
    </row>
    <row r="669" spans="1:14" x14ac:dyDescent="0.3">
      <c r="A669" s="2" t="s">
        <v>70</v>
      </c>
      <c r="B669" s="3">
        <v>10</v>
      </c>
      <c r="C669" s="4" t="s">
        <v>69</v>
      </c>
      <c r="D669" s="2" t="s">
        <v>28</v>
      </c>
      <c r="E669" s="2" t="s">
        <v>42</v>
      </c>
      <c r="F669" s="5">
        <v>0</v>
      </c>
      <c r="G669" s="1">
        <v>0</v>
      </c>
      <c r="H669" s="2">
        <v>4</v>
      </c>
      <c r="I669" s="6">
        <v>2.2453703703703702E-3</v>
      </c>
      <c r="J669" s="2"/>
      <c r="K669" s="2"/>
      <c r="L669" s="2" t="s">
        <v>43</v>
      </c>
      <c r="M669" s="2" t="s">
        <v>78</v>
      </c>
      <c r="N669" s="2" t="s">
        <v>66</v>
      </c>
    </row>
    <row r="670" spans="1:14" x14ac:dyDescent="0.3">
      <c r="A670" s="2" t="s">
        <v>70</v>
      </c>
      <c r="B670" s="3">
        <v>20</v>
      </c>
      <c r="C670" s="4" t="s">
        <v>69</v>
      </c>
      <c r="D670" s="2" t="s">
        <v>16</v>
      </c>
      <c r="E670" s="2" t="s">
        <v>23</v>
      </c>
      <c r="F670" s="5">
        <v>0</v>
      </c>
      <c r="G670" s="1">
        <v>0</v>
      </c>
      <c r="H670" s="2">
        <v>1</v>
      </c>
      <c r="I670" s="6">
        <v>2.2453703703703702E-3</v>
      </c>
      <c r="J670" s="2"/>
      <c r="K670" s="2"/>
      <c r="L670" s="2" t="s">
        <v>33</v>
      </c>
      <c r="M670" s="2" t="s">
        <v>76</v>
      </c>
      <c r="N670" s="2" t="s">
        <v>71</v>
      </c>
    </row>
    <row r="671" spans="1:14" x14ac:dyDescent="0.3">
      <c r="A671" s="2" t="s">
        <v>70</v>
      </c>
      <c r="B671" s="3">
        <v>20</v>
      </c>
      <c r="C671" s="4" t="s">
        <v>58</v>
      </c>
      <c r="D671" s="2" t="s">
        <v>16</v>
      </c>
      <c r="E671" s="2" t="s">
        <v>23</v>
      </c>
      <c r="F671" s="5">
        <v>0</v>
      </c>
      <c r="G671" s="1">
        <v>0</v>
      </c>
      <c r="H671" s="2">
        <v>2</v>
      </c>
      <c r="I671" s="6">
        <v>2.2453703703703702E-3</v>
      </c>
      <c r="J671" s="2"/>
      <c r="K671" s="2"/>
      <c r="L671" s="2" t="s">
        <v>51</v>
      </c>
      <c r="M671" s="2" t="s">
        <v>66</v>
      </c>
      <c r="N671" s="2" t="s">
        <v>36</v>
      </c>
    </row>
    <row r="672" spans="1:14" x14ac:dyDescent="0.3">
      <c r="A672" s="2" t="s">
        <v>14</v>
      </c>
      <c r="B672" s="3">
        <v>12</v>
      </c>
      <c r="C672" s="4" t="s">
        <v>55</v>
      </c>
      <c r="D672" s="2" t="s">
        <v>16</v>
      </c>
      <c r="E672" s="2" t="s">
        <v>23</v>
      </c>
      <c r="F672" s="5">
        <v>5</v>
      </c>
      <c r="G672" s="1">
        <v>25000000</v>
      </c>
      <c r="H672" s="2">
        <v>1</v>
      </c>
      <c r="I672" s="6">
        <v>2.2685185185185182E-3</v>
      </c>
      <c r="J672" s="2" t="s">
        <v>18</v>
      </c>
      <c r="K672" s="2" t="s">
        <v>24</v>
      </c>
      <c r="L672" s="2" t="s">
        <v>30</v>
      </c>
      <c r="M672" s="2" t="s">
        <v>76</v>
      </c>
      <c r="N672" s="2" t="s">
        <v>52</v>
      </c>
    </row>
    <row r="673" spans="1:14" x14ac:dyDescent="0.3">
      <c r="A673" s="2" t="s">
        <v>14</v>
      </c>
      <c r="B673" s="3">
        <v>1</v>
      </c>
      <c r="C673" s="4" t="s">
        <v>60</v>
      </c>
      <c r="D673" s="2" t="s">
        <v>16</v>
      </c>
      <c r="E673" s="2" t="s">
        <v>23</v>
      </c>
      <c r="F673" s="5">
        <v>4</v>
      </c>
      <c r="G673" s="1">
        <v>20000000</v>
      </c>
      <c r="H673" s="2">
        <v>4</v>
      </c>
      <c r="I673" s="6">
        <v>2.2685185185185182E-3</v>
      </c>
      <c r="J673" s="2" t="s">
        <v>61</v>
      </c>
      <c r="K673" s="2" t="s">
        <v>39</v>
      </c>
      <c r="L673" s="2" t="s">
        <v>33</v>
      </c>
      <c r="M673" s="2" t="s">
        <v>66</v>
      </c>
      <c r="N673" s="2" t="s">
        <v>67</v>
      </c>
    </row>
    <row r="674" spans="1:14" x14ac:dyDescent="0.3">
      <c r="A674" s="2" t="s">
        <v>14</v>
      </c>
      <c r="B674" s="3">
        <v>28</v>
      </c>
      <c r="C674" s="4" t="s">
        <v>60</v>
      </c>
      <c r="D674" s="2" t="s">
        <v>49</v>
      </c>
      <c r="E674" s="2" t="s">
        <v>17</v>
      </c>
      <c r="F674" s="5">
        <v>4</v>
      </c>
      <c r="G674" s="1">
        <v>15000000</v>
      </c>
      <c r="H674" s="2">
        <v>2</v>
      </c>
      <c r="I674" s="6">
        <v>2.2685185185185182E-3</v>
      </c>
      <c r="J674" s="2" t="s">
        <v>18</v>
      </c>
      <c r="K674" s="2" t="s">
        <v>29</v>
      </c>
      <c r="L674" s="2" t="s">
        <v>48</v>
      </c>
      <c r="M674" s="2" t="s">
        <v>66</v>
      </c>
      <c r="N674" s="2" t="s">
        <v>67</v>
      </c>
    </row>
    <row r="675" spans="1:14" x14ac:dyDescent="0.3">
      <c r="A675" s="2" t="s">
        <v>14</v>
      </c>
      <c r="B675" s="3">
        <v>3</v>
      </c>
      <c r="C675" s="4" t="s">
        <v>27</v>
      </c>
      <c r="D675" s="2" t="s">
        <v>16</v>
      </c>
      <c r="E675" s="2" t="s">
        <v>17</v>
      </c>
      <c r="F675" s="5">
        <v>3</v>
      </c>
      <c r="G675" s="1">
        <v>12000000</v>
      </c>
      <c r="H675" s="2">
        <v>1</v>
      </c>
      <c r="I675" s="6">
        <v>2.2685185185185182E-3</v>
      </c>
      <c r="J675" s="2" t="s">
        <v>18</v>
      </c>
      <c r="K675" s="2" t="s">
        <v>29</v>
      </c>
      <c r="L675" s="2" t="s">
        <v>30</v>
      </c>
      <c r="M675" s="2" t="s">
        <v>76</v>
      </c>
      <c r="N675" s="2" t="s">
        <v>26</v>
      </c>
    </row>
    <row r="676" spans="1:14" x14ac:dyDescent="0.3">
      <c r="A676" s="2" t="s">
        <v>14</v>
      </c>
      <c r="B676" s="3">
        <v>28</v>
      </c>
      <c r="C676" s="4" t="s">
        <v>37</v>
      </c>
      <c r="D676" s="2" t="s">
        <v>38</v>
      </c>
      <c r="E676" s="2" t="s">
        <v>45</v>
      </c>
      <c r="F676" s="5">
        <v>2</v>
      </c>
      <c r="G676" s="1">
        <v>38000000</v>
      </c>
      <c r="H676" s="2">
        <v>2</v>
      </c>
      <c r="I676" s="6">
        <v>2.2685185185185182E-3</v>
      </c>
      <c r="J676" s="2" t="s">
        <v>46</v>
      </c>
      <c r="K676" s="2" t="s">
        <v>29</v>
      </c>
      <c r="L676" s="2" t="s">
        <v>25</v>
      </c>
      <c r="M676" s="2" t="s">
        <v>78</v>
      </c>
      <c r="N676" s="2" t="s">
        <v>62</v>
      </c>
    </row>
    <row r="677" spans="1:14" x14ac:dyDescent="0.3">
      <c r="A677" s="2" t="s">
        <v>14</v>
      </c>
      <c r="B677" s="3">
        <v>28</v>
      </c>
      <c r="C677" s="4" t="s">
        <v>37</v>
      </c>
      <c r="D677" s="2" t="s">
        <v>16</v>
      </c>
      <c r="E677" s="2" t="s">
        <v>17</v>
      </c>
      <c r="F677" s="5">
        <v>1</v>
      </c>
      <c r="G677" s="1">
        <v>19000000</v>
      </c>
      <c r="H677" s="2">
        <v>1</v>
      </c>
      <c r="I677" s="6">
        <v>2.2685185185185182E-3</v>
      </c>
      <c r="J677" s="2" t="s">
        <v>46</v>
      </c>
      <c r="K677" s="2" t="s">
        <v>19</v>
      </c>
      <c r="L677" s="2" t="s">
        <v>48</v>
      </c>
      <c r="M677" s="2" t="s">
        <v>78</v>
      </c>
      <c r="N677" s="2" t="s">
        <v>53</v>
      </c>
    </row>
    <row r="678" spans="1:14" x14ac:dyDescent="0.3">
      <c r="A678" s="2" t="s">
        <v>14</v>
      </c>
      <c r="B678" s="3">
        <v>23</v>
      </c>
      <c r="C678" s="4" t="s">
        <v>37</v>
      </c>
      <c r="D678" s="2" t="s">
        <v>49</v>
      </c>
      <c r="E678" s="2" t="s">
        <v>42</v>
      </c>
      <c r="F678" s="5">
        <v>2</v>
      </c>
      <c r="G678" s="1">
        <v>10000000</v>
      </c>
      <c r="H678" s="2">
        <v>2</v>
      </c>
      <c r="I678" s="6">
        <v>2.2685185185185182E-3</v>
      </c>
      <c r="J678" s="2" t="s">
        <v>18</v>
      </c>
      <c r="K678" s="2" t="s">
        <v>19</v>
      </c>
      <c r="L678" s="2" t="s">
        <v>25</v>
      </c>
      <c r="M678" s="2" t="s">
        <v>78</v>
      </c>
      <c r="N678" s="2" t="s">
        <v>53</v>
      </c>
    </row>
    <row r="679" spans="1:14" x14ac:dyDescent="0.3">
      <c r="A679" s="2" t="s">
        <v>14</v>
      </c>
      <c r="B679" s="3">
        <v>26</v>
      </c>
      <c r="C679" s="4" t="s">
        <v>37</v>
      </c>
      <c r="D679" s="2" t="s">
        <v>32</v>
      </c>
      <c r="E679" s="2" t="s">
        <v>23</v>
      </c>
      <c r="F679" s="5">
        <v>1</v>
      </c>
      <c r="G679" s="1">
        <v>7000000</v>
      </c>
      <c r="H679" s="2">
        <v>2</v>
      </c>
      <c r="I679" s="6">
        <v>2.2685185185185182E-3</v>
      </c>
      <c r="J679" s="2" t="s">
        <v>18</v>
      </c>
      <c r="K679" s="2" t="s">
        <v>29</v>
      </c>
      <c r="L679" s="2" t="s">
        <v>33</v>
      </c>
      <c r="M679" s="2" t="s">
        <v>76</v>
      </c>
      <c r="N679" s="2" t="s">
        <v>31</v>
      </c>
    </row>
    <row r="680" spans="1:14" x14ac:dyDescent="0.3">
      <c r="A680" s="2" t="s">
        <v>14</v>
      </c>
      <c r="B680" s="3">
        <v>1</v>
      </c>
      <c r="C680" s="4" t="s">
        <v>37</v>
      </c>
      <c r="D680" s="2" t="s">
        <v>38</v>
      </c>
      <c r="E680" s="2" t="s">
        <v>68</v>
      </c>
      <c r="F680" s="5">
        <v>3</v>
      </c>
      <c r="G680" s="1">
        <v>11000000</v>
      </c>
      <c r="H680" s="2">
        <v>3</v>
      </c>
      <c r="I680" s="6">
        <v>2.2685185185185182E-3</v>
      </c>
      <c r="J680" s="2" t="s">
        <v>18</v>
      </c>
      <c r="K680" s="2" t="s">
        <v>19</v>
      </c>
      <c r="L680" s="2" t="s">
        <v>40</v>
      </c>
      <c r="M680" s="2" t="s">
        <v>77</v>
      </c>
      <c r="N680" s="2" t="s">
        <v>65</v>
      </c>
    </row>
    <row r="681" spans="1:14" x14ac:dyDescent="0.3">
      <c r="A681" s="2" t="s">
        <v>14</v>
      </c>
      <c r="B681" s="3">
        <v>12</v>
      </c>
      <c r="C681" s="4" t="s">
        <v>44</v>
      </c>
      <c r="D681" s="2" t="s">
        <v>49</v>
      </c>
      <c r="E681" s="2" t="s">
        <v>17</v>
      </c>
      <c r="F681" s="5">
        <v>5</v>
      </c>
      <c r="G681" s="1">
        <v>25000000</v>
      </c>
      <c r="H681" s="2">
        <v>4</v>
      </c>
      <c r="I681" s="6">
        <v>2.2685185185185182E-3</v>
      </c>
      <c r="J681" s="2" t="s">
        <v>18</v>
      </c>
      <c r="K681" s="2" t="s">
        <v>24</v>
      </c>
      <c r="L681" s="2" t="s">
        <v>43</v>
      </c>
      <c r="M681" s="2" t="s">
        <v>76</v>
      </c>
      <c r="N681" s="2" t="s">
        <v>31</v>
      </c>
    </row>
    <row r="682" spans="1:14" x14ac:dyDescent="0.3">
      <c r="A682" s="2" t="s">
        <v>14</v>
      </c>
      <c r="B682" s="3">
        <v>12</v>
      </c>
      <c r="C682" s="4" t="s">
        <v>55</v>
      </c>
      <c r="D682" s="2" t="s">
        <v>16</v>
      </c>
      <c r="E682" s="2" t="s">
        <v>23</v>
      </c>
      <c r="F682" s="5">
        <v>5</v>
      </c>
      <c r="G682" s="1">
        <v>25000000</v>
      </c>
      <c r="H682" s="2">
        <v>1</v>
      </c>
      <c r="I682" s="6">
        <v>2.2685185185185182E-3</v>
      </c>
      <c r="J682" s="2" t="s">
        <v>18</v>
      </c>
      <c r="K682" s="2" t="s">
        <v>24</v>
      </c>
      <c r="L682" s="2" t="s">
        <v>30</v>
      </c>
      <c r="M682" s="2" t="s">
        <v>76</v>
      </c>
      <c r="N682" s="2" t="s">
        <v>52</v>
      </c>
    </row>
    <row r="683" spans="1:14" x14ac:dyDescent="0.3">
      <c r="A683" s="2" t="s">
        <v>14</v>
      </c>
      <c r="B683" s="3">
        <v>1</v>
      </c>
      <c r="C683" s="4" t="s">
        <v>60</v>
      </c>
      <c r="D683" s="2" t="s">
        <v>16</v>
      </c>
      <c r="E683" s="2" t="s">
        <v>23</v>
      </c>
      <c r="F683" s="5">
        <v>4</v>
      </c>
      <c r="G683" s="1">
        <v>20000000</v>
      </c>
      <c r="H683" s="2">
        <v>4</v>
      </c>
      <c r="I683" s="6">
        <v>2.2685185185185182E-3</v>
      </c>
      <c r="J683" s="2" t="s">
        <v>61</v>
      </c>
      <c r="K683" s="2" t="s">
        <v>39</v>
      </c>
      <c r="L683" s="2" t="s">
        <v>33</v>
      </c>
      <c r="M683" s="2" t="s">
        <v>66</v>
      </c>
      <c r="N683" s="2" t="s">
        <v>67</v>
      </c>
    </row>
    <row r="684" spans="1:14" x14ac:dyDescent="0.3">
      <c r="A684" s="2" t="s">
        <v>14</v>
      </c>
      <c r="B684" s="3">
        <v>28</v>
      </c>
      <c r="C684" s="4" t="s">
        <v>60</v>
      </c>
      <c r="D684" s="2" t="s">
        <v>49</v>
      </c>
      <c r="E684" s="2" t="s">
        <v>17</v>
      </c>
      <c r="F684" s="5">
        <v>4</v>
      </c>
      <c r="G684" s="1">
        <v>15000000</v>
      </c>
      <c r="H684" s="2">
        <v>2</v>
      </c>
      <c r="I684" s="6">
        <v>2.2685185185185182E-3</v>
      </c>
      <c r="J684" s="2" t="s">
        <v>18</v>
      </c>
      <c r="K684" s="2" t="s">
        <v>29</v>
      </c>
      <c r="L684" s="2" t="s">
        <v>48</v>
      </c>
      <c r="M684" s="2" t="s">
        <v>66</v>
      </c>
      <c r="N684" s="2" t="s">
        <v>67</v>
      </c>
    </row>
    <row r="685" spans="1:14" x14ac:dyDescent="0.3">
      <c r="A685" s="2" t="s">
        <v>70</v>
      </c>
      <c r="B685" s="3">
        <v>9</v>
      </c>
      <c r="C685" s="4" t="s">
        <v>60</v>
      </c>
      <c r="D685" s="2" t="s">
        <v>16</v>
      </c>
      <c r="E685" s="2" t="s">
        <v>17</v>
      </c>
      <c r="F685" s="5">
        <v>0</v>
      </c>
      <c r="G685" s="1">
        <v>0</v>
      </c>
      <c r="H685" s="2">
        <v>3</v>
      </c>
      <c r="I685" s="6">
        <v>2.2685185185185182E-3</v>
      </c>
      <c r="J685" s="2"/>
      <c r="K685" s="2"/>
      <c r="L685" s="2" t="s">
        <v>43</v>
      </c>
      <c r="M685" s="2" t="s">
        <v>78</v>
      </c>
      <c r="N685" s="2" t="s">
        <v>66</v>
      </c>
    </row>
    <row r="686" spans="1:14" x14ac:dyDescent="0.3">
      <c r="A686" s="2" t="s">
        <v>70</v>
      </c>
      <c r="B686" s="3">
        <v>17</v>
      </c>
      <c r="C686" s="4" t="s">
        <v>27</v>
      </c>
      <c r="D686" s="2" t="s">
        <v>28</v>
      </c>
      <c r="E686" s="2" t="s">
        <v>17</v>
      </c>
      <c r="F686" s="5">
        <v>0</v>
      </c>
      <c r="G686" s="1">
        <v>0</v>
      </c>
      <c r="H686" s="2">
        <v>2</v>
      </c>
      <c r="I686" s="6">
        <v>2.2685185185185182E-3</v>
      </c>
      <c r="J686" s="2"/>
      <c r="K686" s="2"/>
      <c r="L686" s="2" t="s">
        <v>51</v>
      </c>
      <c r="M686" s="2" t="s">
        <v>77</v>
      </c>
      <c r="N686" s="2" t="s">
        <v>54</v>
      </c>
    </row>
    <row r="687" spans="1:14" x14ac:dyDescent="0.3">
      <c r="A687" s="2" t="s">
        <v>70</v>
      </c>
      <c r="B687" s="3">
        <v>11</v>
      </c>
      <c r="C687" s="4" t="s">
        <v>44</v>
      </c>
      <c r="D687" s="2" t="s">
        <v>73</v>
      </c>
      <c r="E687" s="2" t="s">
        <v>42</v>
      </c>
      <c r="F687" s="5">
        <v>0</v>
      </c>
      <c r="G687" s="1">
        <v>0</v>
      </c>
      <c r="H687" s="2">
        <v>3</v>
      </c>
      <c r="I687" s="6">
        <v>2.2685185185185182E-3</v>
      </c>
      <c r="J687" s="2"/>
      <c r="K687" s="2"/>
      <c r="L687" s="2" t="s">
        <v>40</v>
      </c>
      <c r="M687" s="2" t="s">
        <v>76</v>
      </c>
      <c r="N687" s="2" t="s">
        <v>26</v>
      </c>
    </row>
    <row r="688" spans="1:14" x14ac:dyDescent="0.3">
      <c r="A688" s="2" t="s">
        <v>70</v>
      </c>
      <c r="B688" s="3">
        <v>9</v>
      </c>
      <c r="C688" s="4" t="s">
        <v>60</v>
      </c>
      <c r="D688" s="2" t="s">
        <v>16</v>
      </c>
      <c r="E688" s="2" t="s">
        <v>17</v>
      </c>
      <c r="F688" s="5">
        <v>0</v>
      </c>
      <c r="G688" s="1">
        <v>0</v>
      </c>
      <c r="H688" s="2">
        <v>3</v>
      </c>
      <c r="I688" s="6">
        <v>2.2685185185185182E-3</v>
      </c>
      <c r="J688" s="2"/>
      <c r="K688" s="2"/>
      <c r="L688" s="2" t="s">
        <v>43</v>
      </c>
      <c r="M688" s="2" t="s">
        <v>78</v>
      </c>
      <c r="N688" s="2" t="s">
        <v>66</v>
      </c>
    </row>
    <row r="689" spans="1:14" x14ac:dyDescent="0.3">
      <c r="A689" s="2" t="s">
        <v>14</v>
      </c>
      <c r="B689" s="3">
        <v>3</v>
      </c>
      <c r="C689" s="4" t="s">
        <v>22</v>
      </c>
      <c r="D689" s="2" t="s">
        <v>32</v>
      </c>
      <c r="E689" s="2" t="s">
        <v>42</v>
      </c>
      <c r="F689" s="5">
        <v>1</v>
      </c>
      <c r="G689" s="1">
        <v>19000000</v>
      </c>
      <c r="H689" s="2">
        <v>2</v>
      </c>
      <c r="I689" s="6">
        <v>2.2800925925925927E-3</v>
      </c>
      <c r="J689" s="2" t="s">
        <v>46</v>
      </c>
      <c r="K689" s="2" t="s">
        <v>35</v>
      </c>
      <c r="L689" s="2" t="s">
        <v>43</v>
      </c>
      <c r="M689" s="2" t="s">
        <v>66</v>
      </c>
      <c r="N689" s="2" t="s">
        <v>36</v>
      </c>
    </row>
    <row r="690" spans="1:14" x14ac:dyDescent="0.3">
      <c r="A690" s="2" t="s">
        <v>14</v>
      </c>
      <c r="B690" s="3">
        <v>30</v>
      </c>
      <c r="C690" s="4" t="s">
        <v>22</v>
      </c>
      <c r="D690" s="2" t="s">
        <v>32</v>
      </c>
      <c r="E690" s="2" t="s">
        <v>23</v>
      </c>
      <c r="F690" s="5">
        <v>2</v>
      </c>
      <c r="G690" s="1">
        <v>12000000</v>
      </c>
      <c r="H690" s="2">
        <v>2</v>
      </c>
      <c r="I690" s="6">
        <v>2.2800925925925927E-3</v>
      </c>
      <c r="J690" s="2" t="s">
        <v>18</v>
      </c>
      <c r="K690" s="2" t="s">
        <v>29</v>
      </c>
      <c r="L690" s="2" t="s">
        <v>30</v>
      </c>
      <c r="M690" s="2" t="s">
        <v>76</v>
      </c>
      <c r="N690" s="2" t="s">
        <v>31</v>
      </c>
    </row>
    <row r="691" spans="1:14" x14ac:dyDescent="0.3">
      <c r="A691" s="2" t="s">
        <v>14</v>
      </c>
      <c r="B691" s="3">
        <v>21</v>
      </c>
      <c r="C691" s="4" t="s">
        <v>27</v>
      </c>
      <c r="D691" s="2" t="s">
        <v>16</v>
      </c>
      <c r="E691" s="2" t="s">
        <v>45</v>
      </c>
      <c r="F691" s="5">
        <v>3</v>
      </c>
      <c r="G691" s="1">
        <v>15000000</v>
      </c>
      <c r="H691" s="2">
        <v>1</v>
      </c>
      <c r="I691" s="6">
        <v>2.2800925925925927E-3</v>
      </c>
      <c r="J691" s="2" t="s">
        <v>18</v>
      </c>
      <c r="K691" s="2" t="s">
        <v>29</v>
      </c>
      <c r="L691" s="2" t="s">
        <v>33</v>
      </c>
      <c r="M691" s="2" t="s">
        <v>77</v>
      </c>
      <c r="N691" s="2" t="s">
        <v>65</v>
      </c>
    </row>
    <row r="692" spans="1:14" x14ac:dyDescent="0.3">
      <c r="A692" s="2" t="s">
        <v>14</v>
      </c>
      <c r="B692" s="3">
        <v>31</v>
      </c>
      <c r="C692" s="4" t="s">
        <v>37</v>
      </c>
      <c r="D692" s="2" t="s">
        <v>38</v>
      </c>
      <c r="E692" s="2" t="s">
        <v>23</v>
      </c>
      <c r="F692" s="5">
        <v>3</v>
      </c>
      <c r="G692" s="1">
        <v>15000000</v>
      </c>
      <c r="H692" s="2">
        <v>2</v>
      </c>
      <c r="I692" s="6">
        <v>2.2800925925925927E-3</v>
      </c>
      <c r="J692" s="2" t="s">
        <v>18</v>
      </c>
      <c r="K692" s="2" t="s">
        <v>19</v>
      </c>
      <c r="L692" s="2" t="s">
        <v>20</v>
      </c>
      <c r="M692" s="2" t="s">
        <v>66</v>
      </c>
      <c r="N692" s="2" t="s">
        <v>67</v>
      </c>
    </row>
    <row r="693" spans="1:14" x14ac:dyDescent="0.3">
      <c r="A693" s="2" t="s">
        <v>14</v>
      </c>
      <c r="B693" s="3">
        <v>27</v>
      </c>
      <c r="C693" s="4" t="s">
        <v>37</v>
      </c>
      <c r="D693" s="2" t="s">
        <v>16</v>
      </c>
      <c r="E693" s="2" t="s">
        <v>23</v>
      </c>
      <c r="F693" s="5">
        <v>2</v>
      </c>
      <c r="G693" s="1">
        <v>12000000</v>
      </c>
      <c r="H693" s="2">
        <v>5</v>
      </c>
      <c r="I693" s="6">
        <v>2.2800925925925927E-3</v>
      </c>
      <c r="J693" s="2" t="s">
        <v>18</v>
      </c>
      <c r="K693" s="2" t="s">
        <v>24</v>
      </c>
      <c r="L693" s="2" t="s">
        <v>48</v>
      </c>
      <c r="M693" s="2" t="s">
        <v>78</v>
      </c>
      <c r="N693" s="2" t="s">
        <v>21</v>
      </c>
    </row>
    <row r="694" spans="1:14" x14ac:dyDescent="0.3">
      <c r="A694" s="2" t="s">
        <v>14</v>
      </c>
      <c r="B694" s="3">
        <v>30</v>
      </c>
      <c r="C694" s="4" t="s">
        <v>44</v>
      </c>
      <c r="D694" s="2" t="s">
        <v>16</v>
      </c>
      <c r="E694" s="2" t="s">
        <v>23</v>
      </c>
      <c r="F694" s="5">
        <v>5</v>
      </c>
      <c r="G694" s="1">
        <v>20000000</v>
      </c>
      <c r="H694" s="2">
        <v>2</v>
      </c>
      <c r="I694" s="6">
        <v>2.2800925925925927E-3</v>
      </c>
      <c r="J694" s="2" t="s">
        <v>18</v>
      </c>
      <c r="K694" s="2" t="s">
        <v>19</v>
      </c>
      <c r="L694" s="2" t="s">
        <v>40</v>
      </c>
      <c r="M694" s="2" t="s">
        <v>66</v>
      </c>
      <c r="N694" s="2" t="s">
        <v>36</v>
      </c>
    </row>
    <row r="695" spans="1:14" x14ac:dyDescent="0.3">
      <c r="A695" s="2" t="s">
        <v>14</v>
      </c>
      <c r="B695" s="3">
        <v>20</v>
      </c>
      <c r="C695" s="4" t="s">
        <v>44</v>
      </c>
      <c r="D695" s="2" t="s">
        <v>16</v>
      </c>
      <c r="E695" s="2" t="s">
        <v>17</v>
      </c>
      <c r="F695" s="5">
        <v>3</v>
      </c>
      <c r="G695" s="1">
        <v>15000000</v>
      </c>
      <c r="H695" s="2">
        <v>5</v>
      </c>
      <c r="I695" s="6">
        <v>2.2800925925925927E-3</v>
      </c>
      <c r="J695" s="2" t="s">
        <v>18</v>
      </c>
      <c r="K695" s="2" t="s">
        <v>29</v>
      </c>
      <c r="L695" s="2" t="s">
        <v>43</v>
      </c>
      <c r="M695" s="2" t="s">
        <v>78</v>
      </c>
      <c r="N695" s="2" t="s">
        <v>63</v>
      </c>
    </row>
    <row r="696" spans="1:14" x14ac:dyDescent="0.3">
      <c r="A696" s="2" t="s">
        <v>14</v>
      </c>
      <c r="B696" s="3">
        <v>4</v>
      </c>
      <c r="C696" s="4" t="s">
        <v>44</v>
      </c>
      <c r="D696" s="2" t="s">
        <v>38</v>
      </c>
      <c r="E696" s="2" t="s">
        <v>23</v>
      </c>
      <c r="F696" s="5">
        <v>1</v>
      </c>
      <c r="G696" s="1">
        <v>7000000</v>
      </c>
      <c r="H696" s="2">
        <v>2</v>
      </c>
      <c r="I696" s="6">
        <v>2.2800925925925927E-3</v>
      </c>
      <c r="J696" s="2" t="s">
        <v>18</v>
      </c>
      <c r="K696" s="2" t="s">
        <v>39</v>
      </c>
      <c r="L696" s="2" t="s">
        <v>25</v>
      </c>
      <c r="M696" s="2" t="s">
        <v>76</v>
      </c>
      <c r="N696" s="2" t="s">
        <v>26</v>
      </c>
    </row>
    <row r="697" spans="1:14" x14ac:dyDescent="0.3">
      <c r="A697" s="2" t="s">
        <v>14</v>
      </c>
      <c r="B697" s="3">
        <v>3</v>
      </c>
      <c r="C697" s="4" t="s">
        <v>22</v>
      </c>
      <c r="D697" s="2" t="s">
        <v>32</v>
      </c>
      <c r="E697" s="2" t="s">
        <v>42</v>
      </c>
      <c r="F697" s="5">
        <v>1</v>
      </c>
      <c r="G697" s="1">
        <v>19000000</v>
      </c>
      <c r="H697" s="2">
        <v>2</v>
      </c>
      <c r="I697" s="6">
        <v>2.2800925925925927E-3</v>
      </c>
      <c r="J697" s="2" t="s">
        <v>46</v>
      </c>
      <c r="K697" s="2" t="s">
        <v>35</v>
      </c>
      <c r="L697" s="2" t="s">
        <v>43</v>
      </c>
      <c r="M697" s="2" t="s">
        <v>66</v>
      </c>
      <c r="N697" s="2" t="s">
        <v>36</v>
      </c>
    </row>
    <row r="698" spans="1:14" x14ac:dyDescent="0.3">
      <c r="A698" s="2" t="s">
        <v>14</v>
      </c>
      <c r="B698" s="3">
        <v>30</v>
      </c>
      <c r="C698" s="4" t="s">
        <v>22</v>
      </c>
      <c r="D698" s="2" t="s">
        <v>32</v>
      </c>
      <c r="E698" s="2" t="s">
        <v>23</v>
      </c>
      <c r="F698" s="5">
        <v>2</v>
      </c>
      <c r="G698" s="1">
        <v>12000000</v>
      </c>
      <c r="H698" s="2">
        <v>2</v>
      </c>
      <c r="I698" s="6">
        <v>2.2800925925925927E-3</v>
      </c>
      <c r="J698" s="2" t="s">
        <v>18</v>
      </c>
      <c r="K698" s="2" t="s">
        <v>29</v>
      </c>
      <c r="L698" s="2" t="s">
        <v>30</v>
      </c>
      <c r="M698" s="2" t="s">
        <v>76</v>
      </c>
      <c r="N698" s="2" t="s">
        <v>31</v>
      </c>
    </row>
    <row r="699" spans="1:14" x14ac:dyDescent="0.3">
      <c r="A699" s="2" t="s">
        <v>70</v>
      </c>
      <c r="B699" s="3">
        <v>14</v>
      </c>
      <c r="C699" s="4" t="s">
        <v>37</v>
      </c>
      <c r="D699" s="2" t="s">
        <v>49</v>
      </c>
      <c r="E699" s="2" t="s">
        <v>42</v>
      </c>
      <c r="F699" s="5">
        <v>0</v>
      </c>
      <c r="G699" s="1">
        <v>0</v>
      </c>
      <c r="H699" s="2">
        <v>4</v>
      </c>
      <c r="I699" s="6">
        <v>2.2800925925925927E-3</v>
      </c>
      <c r="J699" s="2"/>
      <c r="K699" s="2"/>
      <c r="L699" s="2" t="s">
        <v>25</v>
      </c>
      <c r="M699" s="2" t="s">
        <v>78</v>
      </c>
      <c r="N699" s="2" t="s">
        <v>53</v>
      </c>
    </row>
    <row r="700" spans="1:14" x14ac:dyDescent="0.3">
      <c r="A700" s="2" t="s">
        <v>70</v>
      </c>
      <c r="B700" s="3">
        <v>5</v>
      </c>
      <c r="C700" s="4" t="s">
        <v>37</v>
      </c>
      <c r="D700" s="2" t="s">
        <v>28</v>
      </c>
      <c r="E700" s="2" t="s">
        <v>23</v>
      </c>
      <c r="F700" s="5">
        <v>0</v>
      </c>
      <c r="G700" s="1">
        <v>0</v>
      </c>
      <c r="H700" s="2">
        <v>1</v>
      </c>
      <c r="I700" s="6">
        <v>2.2800925925925927E-3</v>
      </c>
      <c r="J700" s="2"/>
      <c r="K700" s="2"/>
      <c r="L700" s="2" t="s">
        <v>51</v>
      </c>
      <c r="M700" s="2" t="s">
        <v>76</v>
      </c>
      <c r="N700" s="2" t="s">
        <v>71</v>
      </c>
    </row>
    <row r="701" spans="1:14" x14ac:dyDescent="0.3">
      <c r="A701" s="2" t="s">
        <v>70</v>
      </c>
      <c r="B701" s="3">
        <v>2</v>
      </c>
      <c r="C701" s="4" t="s">
        <v>69</v>
      </c>
      <c r="D701" s="2" t="s">
        <v>49</v>
      </c>
      <c r="E701" s="2" t="s">
        <v>42</v>
      </c>
      <c r="F701" s="5">
        <v>0</v>
      </c>
      <c r="G701" s="1">
        <v>0</v>
      </c>
      <c r="H701" s="2">
        <v>3</v>
      </c>
      <c r="I701" s="6">
        <v>2.2800925925925927E-3</v>
      </c>
      <c r="J701" s="2"/>
      <c r="K701" s="2"/>
      <c r="L701" s="2" t="s">
        <v>30</v>
      </c>
      <c r="M701" s="2" t="s">
        <v>78</v>
      </c>
      <c r="N701" s="2" t="s">
        <v>53</v>
      </c>
    </row>
    <row r="702" spans="1:14" x14ac:dyDescent="0.3">
      <c r="A702" s="2" t="s">
        <v>70</v>
      </c>
      <c r="B702" s="3">
        <v>30</v>
      </c>
      <c r="C702" s="4" t="s">
        <v>69</v>
      </c>
      <c r="D702" s="2" t="s">
        <v>38</v>
      </c>
      <c r="E702" s="2" t="s">
        <v>23</v>
      </c>
      <c r="F702" s="5">
        <v>0</v>
      </c>
      <c r="G702" s="1">
        <v>0</v>
      </c>
      <c r="H702" s="2">
        <v>2</v>
      </c>
      <c r="I702" s="6">
        <v>2.2800925925925927E-3</v>
      </c>
      <c r="J702" s="2"/>
      <c r="K702" s="2"/>
      <c r="L702" s="2" t="s">
        <v>30</v>
      </c>
      <c r="M702" s="2" t="s">
        <v>77</v>
      </c>
      <c r="N702" s="2" t="s">
        <v>54</v>
      </c>
    </row>
    <row r="703" spans="1:14" x14ac:dyDescent="0.3">
      <c r="A703" s="2" t="s">
        <v>70</v>
      </c>
      <c r="B703" s="3">
        <v>10</v>
      </c>
      <c r="C703" s="4" t="s">
        <v>69</v>
      </c>
      <c r="D703" s="2" t="s">
        <v>28</v>
      </c>
      <c r="E703" s="2" t="s">
        <v>42</v>
      </c>
      <c r="F703" s="5">
        <v>0</v>
      </c>
      <c r="G703" s="1">
        <v>0</v>
      </c>
      <c r="H703" s="2">
        <v>1</v>
      </c>
      <c r="I703" s="6">
        <v>2.2800925925925927E-3</v>
      </c>
      <c r="J703" s="2"/>
      <c r="K703" s="2"/>
      <c r="L703" s="2" t="s">
        <v>33</v>
      </c>
      <c r="M703" s="2" t="s">
        <v>77</v>
      </c>
      <c r="N703" s="2" t="s">
        <v>34</v>
      </c>
    </row>
    <row r="704" spans="1:14" x14ac:dyDescent="0.3">
      <c r="A704" s="2" t="s">
        <v>14</v>
      </c>
      <c r="B704" s="3">
        <v>1</v>
      </c>
      <c r="C704" s="4" t="s">
        <v>55</v>
      </c>
      <c r="D704" s="2" t="s">
        <v>49</v>
      </c>
      <c r="E704" s="2" t="s">
        <v>23</v>
      </c>
      <c r="F704" s="5">
        <v>1</v>
      </c>
      <c r="G704" s="1">
        <v>7000000</v>
      </c>
      <c r="H704" s="2">
        <v>3</v>
      </c>
      <c r="I704" s="6">
        <v>2.4305555555555556E-3</v>
      </c>
      <c r="J704" s="2" t="s">
        <v>18</v>
      </c>
      <c r="K704" s="2" t="s">
        <v>50</v>
      </c>
      <c r="L704" s="2" t="s">
        <v>48</v>
      </c>
      <c r="M704" s="2" t="s">
        <v>78</v>
      </c>
      <c r="N704" s="2" t="s">
        <v>41</v>
      </c>
    </row>
    <row r="705" spans="1:14" x14ac:dyDescent="0.3">
      <c r="A705" s="2" t="s">
        <v>14</v>
      </c>
      <c r="B705" s="3">
        <v>11</v>
      </c>
      <c r="C705" s="4" t="s">
        <v>57</v>
      </c>
      <c r="D705" s="2" t="s">
        <v>38</v>
      </c>
      <c r="E705" s="2" t="s">
        <v>23</v>
      </c>
      <c r="F705" s="5">
        <v>4</v>
      </c>
      <c r="G705" s="1">
        <v>20000000</v>
      </c>
      <c r="H705" s="2">
        <v>2</v>
      </c>
      <c r="I705" s="6">
        <v>2.4305555555555556E-3</v>
      </c>
      <c r="J705" s="2" t="s">
        <v>61</v>
      </c>
      <c r="K705" s="2" t="s">
        <v>29</v>
      </c>
      <c r="L705" s="2" t="s">
        <v>51</v>
      </c>
      <c r="M705" s="2" t="s">
        <v>76</v>
      </c>
      <c r="N705" s="2" t="s">
        <v>71</v>
      </c>
    </row>
    <row r="706" spans="1:14" x14ac:dyDescent="0.3">
      <c r="A706" s="2" t="s">
        <v>14</v>
      </c>
      <c r="B706" s="3">
        <v>25</v>
      </c>
      <c r="C706" s="4" t="s">
        <v>22</v>
      </c>
      <c r="D706" s="2" t="s">
        <v>16</v>
      </c>
      <c r="E706" s="2" t="s">
        <v>17</v>
      </c>
      <c r="F706" s="5">
        <v>3</v>
      </c>
      <c r="G706" s="1">
        <v>15000000</v>
      </c>
      <c r="H706" s="2">
        <v>1</v>
      </c>
      <c r="I706" s="6">
        <v>2.4305555555555556E-3</v>
      </c>
      <c r="J706" s="2" t="s">
        <v>18</v>
      </c>
      <c r="K706" s="2" t="s">
        <v>19</v>
      </c>
      <c r="L706" s="2" t="s">
        <v>25</v>
      </c>
      <c r="M706" s="2" t="s">
        <v>66</v>
      </c>
      <c r="N706" s="2" t="s">
        <v>67</v>
      </c>
    </row>
    <row r="707" spans="1:14" x14ac:dyDescent="0.3">
      <c r="A707" s="2" t="s">
        <v>14</v>
      </c>
      <c r="B707" s="3">
        <v>17</v>
      </c>
      <c r="C707" s="4" t="s">
        <v>27</v>
      </c>
      <c r="D707" s="2" t="s">
        <v>73</v>
      </c>
      <c r="E707" s="2" t="s">
        <v>17</v>
      </c>
      <c r="F707" s="5">
        <v>3</v>
      </c>
      <c r="G707" s="1">
        <v>11000000</v>
      </c>
      <c r="H707" s="2">
        <v>4</v>
      </c>
      <c r="I707" s="6">
        <v>2.4305555555555556E-3</v>
      </c>
      <c r="J707" s="2" t="s">
        <v>18</v>
      </c>
      <c r="K707" s="2" t="s">
        <v>19</v>
      </c>
      <c r="L707" s="2" t="s">
        <v>25</v>
      </c>
      <c r="M707" s="2" t="s">
        <v>66</v>
      </c>
      <c r="N707" s="2" t="s">
        <v>67</v>
      </c>
    </row>
    <row r="708" spans="1:14" x14ac:dyDescent="0.3">
      <c r="A708" s="2" t="s">
        <v>14</v>
      </c>
      <c r="B708" s="3">
        <v>30</v>
      </c>
      <c r="C708" s="4" t="s">
        <v>27</v>
      </c>
      <c r="D708" s="2" t="s">
        <v>16</v>
      </c>
      <c r="E708" s="2" t="s">
        <v>23</v>
      </c>
      <c r="F708" s="5">
        <v>5</v>
      </c>
      <c r="G708" s="1">
        <v>25000000</v>
      </c>
      <c r="H708" s="2">
        <v>3</v>
      </c>
      <c r="I708" s="6">
        <v>2.4305555555555556E-3</v>
      </c>
      <c r="J708" s="2" t="s">
        <v>18</v>
      </c>
      <c r="K708" s="2" t="s">
        <v>19</v>
      </c>
      <c r="L708" s="2" t="s">
        <v>33</v>
      </c>
      <c r="M708" s="2" t="s">
        <v>78</v>
      </c>
      <c r="N708" s="2" t="s">
        <v>41</v>
      </c>
    </row>
    <row r="709" spans="1:14" x14ac:dyDescent="0.3">
      <c r="A709" s="2" t="s">
        <v>14</v>
      </c>
      <c r="B709" s="3">
        <v>22</v>
      </c>
      <c r="C709" s="4" t="s">
        <v>37</v>
      </c>
      <c r="D709" s="2" t="s">
        <v>16</v>
      </c>
      <c r="E709" s="2" t="s">
        <v>42</v>
      </c>
      <c r="F709" s="5">
        <v>2</v>
      </c>
      <c r="G709" s="1">
        <v>38000000</v>
      </c>
      <c r="H709" s="2">
        <v>6</v>
      </c>
      <c r="I709" s="6">
        <v>2.4305555555555556E-3</v>
      </c>
      <c r="J709" s="2" t="s">
        <v>46</v>
      </c>
      <c r="K709" s="2" t="s">
        <v>29</v>
      </c>
      <c r="L709" s="2" t="s">
        <v>43</v>
      </c>
      <c r="M709" s="2" t="s">
        <v>78</v>
      </c>
      <c r="N709" s="2" t="s">
        <v>66</v>
      </c>
    </row>
    <row r="710" spans="1:14" x14ac:dyDescent="0.3">
      <c r="A710" s="2" t="s">
        <v>14</v>
      </c>
      <c r="B710" s="3">
        <v>7</v>
      </c>
      <c r="C710" s="4" t="s">
        <v>37</v>
      </c>
      <c r="D710" s="2" t="s">
        <v>16</v>
      </c>
      <c r="E710" s="2" t="s">
        <v>42</v>
      </c>
      <c r="F710" s="5">
        <v>2</v>
      </c>
      <c r="G710" s="1">
        <v>10000000</v>
      </c>
      <c r="H710" s="2">
        <v>5</v>
      </c>
      <c r="I710" s="6">
        <v>2.4305555555555556E-3</v>
      </c>
      <c r="J710" s="2" t="s">
        <v>18</v>
      </c>
      <c r="K710" s="2" t="s">
        <v>29</v>
      </c>
      <c r="L710" s="2" t="s">
        <v>30</v>
      </c>
      <c r="M710" s="2" t="s">
        <v>76</v>
      </c>
      <c r="N710" s="2" t="s">
        <v>31</v>
      </c>
    </row>
    <row r="711" spans="1:14" x14ac:dyDescent="0.3">
      <c r="A711" s="2" t="s">
        <v>14</v>
      </c>
      <c r="B711" s="3">
        <v>8</v>
      </c>
      <c r="C711" s="4" t="s">
        <v>37</v>
      </c>
      <c r="D711" s="2" t="s">
        <v>16</v>
      </c>
      <c r="E711" s="2" t="s">
        <v>42</v>
      </c>
      <c r="F711" s="5">
        <v>3</v>
      </c>
      <c r="G711" s="1">
        <v>12000000</v>
      </c>
      <c r="H711" s="2">
        <v>3</v>
      </c>
      <c r="I711" s="6">
        <v>2.4305555555555556E-3</v>
      </c>
      <c r="J711" s="2" t="s">
        <v>18</v>
      </c>
      <c r="K711" s="2" t="s">
        <v>56</v>
      </c>
      <c r="L711" s="2" t="s">
        <v>30</v>
      </c>
      <c r="M711" s="2" t="s">
        <v>77</v>
      </c>
      <c r="N711" s="2" t="s">
        <v>54</v>
      </c>
    </row>
    <row r="712" spans="1:14" x14ac:dyDescent="0.3">
      <c r="A712" s="2" t="s">
        <v>14</v>
      </c>
      <c r="B712" s="3">
        <v>19</v>
      </c>
      <c r="C712" s="4" t="s">
        <v>37</v>
      </c>
      <c r="D712" s="2" t="s">
        <v>28</v>
      </c>
      <c r="E712" s="2" t="s">
        <v>68</v>
      </c>
      <c r="F712" s="5">
        <v>4</v>
      </c>
      <c r="G712" s="1">
        <v>20000000</v>
      </c>
      <c r="H712" s="2">
        <v>1</v>
      </c>
      <c r="I712" s="6">
        <v>2.4305555555555556E-3</v>
      </c>
      <c r="J712" s="2" t="s">
        <v>18</v>
      </c>
      <c r="K712" s="2" t="s">
        <v>56</v>
      </c>
      <c r="L712" s="2" t="s">
        <v>40</v>
      </c>
      <c r="M712" s="2" t="s">
        <v>76</v>
      </c>
      <c r="N712" s="2" t="s">
        <v>75</v>
      </c>
    </row>
    <row r="713" spans="1:14" x14ac:dyDescent="0.3">
      <c r="A713" s="2" t="s">
        <v>14</v>
      </c>
      <c r="B713" s="3">
        <v>28</v>
      </c>
      <c r="C713" s="4" t="s">
        <v>37</v>
      </c>
      <c r="D713" s="2" t="s">
        <v>38</v>
      </c>
      <c r="E713" s="2" t="s">
        <v>42</v>
      </c>
      <c r="F713" s="5">
        <v>2</v>
      </c>
      <c r="G713" s="1">
        <v>12000000</v>
      </c>
      <c r="H713" s="2">
        <v>3</v>
      </c>
      <c r="I713" s="6">
        <v>2.4305555555555556E-3</v>
      </c>
      <c r="J713" s="2" t="s">
        <v>18</v>
      </c>
      <c r="K713" s="2" t="s">
        <v>47</v>
      </c>
      <c r="L713" s="2" t="s">
        <v>43</v>
      </c>
      <c r="M713" s="2" t="s">
        <v>77</v>
      </c>
      <c r="N713" s="2" t="s">
        <v>65</v>
      </c>
    </row>
    <row r="714" spans="1:14" x14ac:dyDescent="0.3">
      <c r="A714" s="2" t="s">
        <v>14</v>
      </c>
      <c r="B714" s="3">
        <v>5</v>
      </c>
      <c r="C714" s="4" t="s">
        <v>44</v>
      </c>
      <c r="D714" s="2" t="s">
        <v>16</v>
      </c>
      <c r="E714" s="2" t="s">
        <v>42</v>
      </c>
      <c r="F714" s="5">
        <v>1</v>
      </c>
      <c r="G714" s="1">
        <v>19000000</v>
      </c>
      <c r="H714" s="2">
        <v>2</v>
      </c>
      <c r="I714" s="6">
        <v>2.4305555555555556E-3</v>
      </c>
      <c r="J714" s="2" t="s">
        <v>46</v>
      </c>
      <c r="K714" s="2" t="s">
        <v>24</v>
      </c>
      <c r="L714" s="2" t="s">
        <v>25</v>
      </c>
      <c r="M714" s="2" t="s">
        <v>76</v>
      </c>
      <c r="N714" s="2" t="s">
        <v>26</v>
      </c>
    </row>
    <row r="715" spans="1:14" x14ac:dyDescent="0.3">
      <c r="A715" s="2" t="s">
        <v>14</v>
      </c>
      <c r="B715" s="3">
        <v>1</v>
      </c>
      <c r="C715" s="4" t="s">
        <v>55</v>
      </c>
      <c r="D715" s="2" t="s">
        <v>49</v>
      </c>
      <c r="E715" s="2" t="s">
        <v>23</v>
      </c>
      <c r="F715" s="5">
        <v>1</v>
      </c>
      <c r="G715" s="1">
        <v>7000000</v>
      </c>
      <c r="H715" s="2">
        <v>3</v>
      </c>
      <c r="I715" s="6">
        <v>2.4305555555555556E-3</v>
      </c>
      <c r="J715" s="2" t="s">
        <v>18</v>
      </c>
      <c r="K715" s="2" t="s">
        <v>50</v>
      </c>
      <c r="L715" s="2" t="s">
        <v>48</v>
      </c>
      <c r="M715" s="2" t="s">
        <v>78</v>
      </c>
      <c r="N715" s="2" t="s">
        <v>41</v>
      </c>
    </row>
    <row r="716" spans="1:14" x14ac:dyDescent="0.3">
      <c r="A716" s="2" t="s">
        <v>14</v>
      </c>
      <c r="B716" s="3">
        <v>11</v>
      </c>
      <c r="C716" s="4" t="s">
        <v>57</v>
      </c>
      <c r="D716" s="2" t="s">
        <v>38</v>
      </c>
      <c r="E716" s="2" t="s">
        <v>23</v>
      </c>
      <c r="F716" s="5">
        <v>4</v>
      </c>
      <c r="G716" s="1">
        <v>20000000</v>
      </c>
      <c r="H716" s="2">
        <v>2</v>
      </c>
      <c r="I716" s="6">
        <v>2.4305555555555556E-3</v>
      </c>
      <c r="J716" s="2" t="s">
        <v>61</v>
      </c>
      <c r="K716" s="2" t="s">
        <v>29</v>
      </c>
      <c r="L716" s="2" t="s">
        <v>51</v>
      </c>
      <c r="M716" s="2" t="s">
        <v>76</v>
      </c>
      <c r="N716" s="2" t="s">
        <v>71</v>
      </c>
    </row>
    <row r="717" spans="1:14" x14ac:dyDescent="0.3">
      <c r="A717" s="2" t="s">
        <v>14</v>
      </c>
      <c r="B717" s="3">
        <v>25</v>
      </c>
      <c r="C717" s="4" t="s">
        <v>22</v>
      </c>
      <c r="D717" s="2" t="s">
        <v>16</v>
      </c>
      <c r="E717" s="2" t="s">
        <v>17</v>
      </c>
      <c r="F717" s="5">
        <v>3</v>
      </c>
      <c r="G717" s="1">
        <v>15000000</v>
      </c>
      <c r="H717" s="2">
        <v>1</v>
      </c>
      <c r="I717" s="6">
        <v>2.4305555555555556E-3</v>
      </c>
      <c r="J717" s="2" t="s">
        <v>18</v>
      </c>
      <c r="K717" s="2" t="s">
        <v>19</v>
      </c>
      <c r="L717" s="2" t="s">
        <v>25</v>
      </c>
      <c r="M717" s="2" t="s">
        <v>66</v>
      </c>
      <c r="N717" s="2" t="s">
        <v>67</v>
      </c>
    </row>
    <row r="718" spans="1:14" x14ac:dyDescent="0.3">
      <c r="A718" s="2" t="s">
        <v>70</v>
      </c>
      <c r="B718" s="3">
        <v>12</v>
      </c>
      <c r="C718" s="4" t="s">
        <v>27</v>
      </c>
      <c r="D718" s="2" t="s">
        <v>32</v>
      </c>
      <c r="E718" s="2" t="s">
        <v>42</v>
      </c>
      <c r="F718" s="5">
        <v>0</v>
      </c>
      <c r="G718" s="1">
        <v>0</v>
      </c>
      <c r="H718" s="2">
        <v>1</v>
      </c>
      <c r="I718" s="6">
        <v>2.4305555555555556E-3</v>
      </c>
      <c r="J718" s="2"/>
      <c r="K718" s="2"/>
      <c r="L718" s="2" t="s">
        <v>30</v>
      </c>
      <c r="M718" s="2" t="s">
        <v>78</v>
      </c>
      <c r="N718" s="2" t="s">
        <v>62</v>
      </c>
    </row>
    <row r="719" spans="1:14" x14ac:dyDescent="0.3">
      <c r="A719" s="2" t="s">
        <v>70</v>
      </c>
      <c r="B719" s="3">
        <v>14</v>
      </c>
      <c r="C719" s="4" t="s">
        <v>69</v>
      </c>
      <c r="D719" s="2" t="s">
        <v>28</v>
      </c>
      <c r="E719" s="2" t="s">
        <v>23</v>
      </c>
      <c r="F719" s="5">
        <v>0</v>
      </c>
      <c r="G719" s="1">
        <v>0</v>
      </c>
      <c r="H719" s="2">
        <v>4</v>
      </c>
      <c r="I719" s="6">
        <v>2.4305555555555556E-3</v>
      </c>
      <c r="J719" s="2"/>
      <c r="K719" s="2"/>
      <c r="L719" s="2" t="s">
        <v>30</v>
      </c>
      <c r="M719" s="2" t="s">
        <v>76</v>
      </c>
      <c r="N719" s="2" t="s">
        <v>31</v>
      </c>
    </row>
    <row r="720" spans="1:14" x14ac:dyDescent="0.3">
      <c r="A720" s="2" t="s">
        <v>14</v>
      </c>
      <c r="B720" s="3">
        <v>11</v>
      </c>
      <c r="C720" s="4" t="s">
        <v>57</v>
      </c>
      <c r="D720" s="2" t="s">
        <v>16</v>
      </c>
      <c r="E720" s="2" t="s">
        <v>68</v>
      </c>
      <c r="F720" s="5">
        <v>3</v>
      </c>
      <c r="G720" s="1">
        <v>15000000</v>
      </c>
      <c r="H720" s="2">
        <v>1</v>
      </c>
      <c r="I720" s="6">
        <v>2.5462962962962961E-3</v>
      </c>
      <c r="J720" s="2" t="s">
        <v>18</v>
      </c>
      <c r="K720" s="2" t="s">
        <v>19</v>
      </c>
      <c r="L720" s="2" t="s">
        <v>33</v>
      </c>
      <c r="M720" s="2" t="s">
        <v>66</v>
      </c>
      <c r="N720" s="2" t="s">
        <v>67</v>
      </c>
    </row>
    <row r="721" spans="1:14" x14ac:dyDescent="0.3">
      <c r="A721" s="2" t="s">
        <v>14</v>
      </c>
      <c r="B721" s="3">
        <v>13</v>
      </c>
      <c r="C721" s="4" t="s">
        <v>72</v>
      </c>
      <c r="D721" s="2" t="s">
        <v>38</v>
      </c>
      <c r="E721" s="2" t="s">
        <v>23</v>
      </c>
      <c r="F721" s="5">
        <v>3</v>
      </c>
      <c r="G721" s="1">
        <v>15000000</v>
      </c>
      <c r="H721" s="2">
        <v>5</v>
      </c>
      <c r="I721" s="6">
        <v>2.5462962962962961E-3</v>
      </c>
      <c r="J721" s="2" t="s">
        <v>18</v>
      </c>
      <c r="K721" s="2" t="s">
        <v>47</v>
      </c>
      <c r="L721" s="2" t="s">
        <v>51</v>
      </c>
      <c r="M721" s="2" t="s">
        <v>77</v>
      </c>
      <c r="N721" s="2" t="s">
        <v>65</v>
      </c>
    </row>
    <row r="722" spans="1:14" x14ac:dyDescent="0.3">
      <c r="A722" s="2" t="s">
        <v>14</v>
      </c>
      <c r="B722" s="3">
        <v>10</v>
      </c>
      <c r="C722" s="4" t="s">
        <v>22</v>
      </c>
      <c r="D722" s="2" t="s">
        <v>16</v>
      </c>
      <c r="E722" s="2" t="s">
        <v>23</v>
      </c>
      <c r="F722" s="5">
        <v>2</v>
      </c>
      <c r="G722" s="1">
        <v>12000000</v>
      </c>
      <c r="H722" s="2">
        <v>2</v>
      </c>
      <c r="I722" s="6">
        <v>2.5462962962962961E-3</v>
      </c>
      <c r="J722" s="2" t="s">
        <v>18</v>
      </c>
      <c r="K722" s="2" t="s">
        <v>29</v>
      </c>
      <c r="L722" s="2" t="s">
        <v>48</v>
      </c>
      <c r="M722" s="2" t="s">
        <v>76</v>
      </c>
      <c r="N722" s="2" t="s">
        <v>52</v>
      </c>
    </row>
    <row r="723" spans="1:14" x14ac:dyDescent="0.3">
      <c r="A723" s="2" t="s">
        <v>14</v>
      </c>
      <c r="B723" s="3">
        <v>19</v>
      </c>
      <c r="C723" s="4" t="s">
        <v>22</v>
      </c>
      <c r="D723" s="2" t="s">
        <v>49</v>
      </c>
      <c r="E723" s="2" t="s">
        <v>42</v>
      </c>
      <c r="F723" s="5">
        <v>3</v>
      </c>
      <c r="G723" s="1">
        <v>15000000</v>
      </c>
      <c r="H723" s="2">
        <v>2</v>
      </c>
      <c r="I723" s="6">
        <v>2.5462962962962961E-3</v>
      </c>
      <c r="J723" s="2" t="s">
        <v>18</v>
      </c>
      <c r="K723" s="2" t="s">
        <v>19</v>
      </c>
      <c r="L723" s="2" t="s">
        <v>40</v>
      </c>
      <c r="M723" s="2" t="s">
        <v>77</v>
      </c>
      <c r="N723" s="2" t="s">
        <v>65</v>
      </c>
    </row>
    <row r="724" spans="1:14" x14ac:dyDescent="0.3">
      <c r="A724" s="2" t="s">
        <v>14</v>
      </c>
      <c r="B724" s="3">
        <v>11</v>
      </c>
      <c r="C724" s="4" t="s">
        <v>27</v>
      </c>
      <c r="D724" s="2" t="s">
        <v>16</v>
      </c>
      <c r="E724" s="2" t="s">
        <v>23</v>
      </c>
      <c r="F724" s="5">
        <v>5</v>
      </c>
      <c r="G724" s="1">
        <v>21000000</v>
      </c>
      <c r="H724" s="2">
        <v>5</v>
      </c>
      <c r="I724" s="6">
        <v>2.5462962962962961E-3</v>
      </c>
      <c r="J724" s="2" t="s">
        <v>18</v>
      </c>
      <c r="K724" s="2" t="s">
        <v>56</v>
      </c>
      <c r="L724" s="2" t="s">
        <v>40</v>
      </c>
      <c r="M724" s="2" t="s">
        <v>76</v>
      </c>
      <c r="N724" s="2" t="s">
        <v>75</v>
      </c>
    </row>
    <row r="725" spans="1:14" x14ac:dyDescent="0.3">
      <c r="A725" s="2" t="s">
        <v>14</v>
      </c>
      <c r="B725" s="3">
        <v>30</v>
      </c>
      <c r="C725" s="4" t="s">
        <v>27</v>
      </c>
      <c r="D725" s="2" t="s">
        <v>32</v>
      </c>
      <c r="E725" s="2" t="s">
        <v>17</v>
      </c>
      <c r="F725" s="5">
        <v>4</v>
      </c>
      <c r="G725" s="1">
        <v>20000000</v>
      </c>
      <c r="H725" s="2">
        <v>4</v>
      </c>
      <c r="I725" s="6">
        <v>2.5462962962962961E-3</v>
      </c>
      <c r="J725" s="2" t="s">
        <v>18</v>
      </c>
      <c r="K725" s="2" t="s">
        <v>50</v>
      </c>
      <c r="L725" s="2" t="s">
        <v>43</v>
      </c>
      <c r="M725" s="2" t="s">
        <v>76</v>
      </c>
      <c r="N725" s="2" t="s">
        <v>26</v>
      </c>
    </row>
    <row r="726" spans="1:14" x14ac:dyDescent="0.3">
      <c r="A726" s="2" t="s">
        <v>14</v>
      </c>
      <c r="B726" s="3">
        <v>30</v>
      </c>
      <c r="C726" s="4" t="s">
        <v>37</v>
      </c>
      <c r="D726" s="2" t="s">
        <v>28</v>
      </c>
      <c r="E726" s="2" t="s">
        <v>42</v>
      </c>
      <c r="F726" s="5">
        <v>2</v>
      </c>
      <c r="G726" s="1">
        <v>12000000</v>
      </c>
      <c r="H726" s="2">
        <v>1</v>
      </c>
      <c r="I726" s="6">
        <v>2.5462962962962961E-3</v>
      </c>
      <c r="J726" s="2" t="s">
        <v>18</v>
      </c>
      <c r="K726" s="2" t="s">
        <v>56</v>
      </c>
      <c r="L726" s="2" t="s">
        <v>48</v>
      </c>
      <c r="M726" s="2" t="s">
        <v>77</v>
      </c>
      <c r="N726" s="2" t="s">
        <v>65</v>
      </c>
    </row>
    <row r="727" spans="1:14" x14ac:dyDescent="0.3">
      <c r="A727" s="2" t="s">
        <v>14</v>
      </c>
      <c r="B727" s="3">
        <v>17</v>
      </c>
      <c r="C727" s="4" t="s">
        <v>44</v>
      </c>
      <c r="D727" s="2" t="s">
        <v>32</v>
      </c>
      <c r="E727" s="2" t="s">
        <v>17</v>
      </c>
      <c r="F727" s="5">
        <v>4</v>
      </c>
      <c r="G727" s="1">
        <v>11000000</v>
      </c>
      <c r="H727" s="2">
        <v>1</v>
      </c>
      <c r="I727" s="6">
        <v>2.5462962962962961E-3</v>
      </c>
      <c r="J727" s="2" t="s">
        <v>61</v>
      </c>
      <c r="K727" s="2" t="s">
        <v>29</v>
      </c>
      <c r="L727" s="2" t="s">
        <v>40</v>
      </c>
      <c r="M727" s="2" t="s">
        <v>66</v>
      </c>
      <c r="N727" s="2" t="s">
        <v>67</v>
      </c>
    </row>
    <row r="728" spans="1:14" x14ac:dyDescent="0.3">
      <c r="A728" s="2" t="s">
        <v>14</v>
      </c>
      <c r="B728" s="3">
        <v>16</v>
      </c>
      <c r="C728" s="4" t="s">
        <v>44</v>
      </c>
      <c r="D728" s="2" t="s">
        <v>38</v>
      </c>
      <c r="E728" s="2" t="s">
        <v>68</v>
      </c>
      <c r="F728" s="5">
        <v>5</v>
      </c>
      <c r="G728" s="1">
        <v>25000000</v>
      </c>
      <c r="H728" s="2">
        <v>1</v>
      </c>
      <c r="I728" s="6">
        <v>2.5462962962962961E-3</v>
      </c>
      <c r="J728" s="2" t="s">
        <v>18</v>
      </c>
      <c r="K728" s="2" t="s">
        <v>29</v>
      </c>
      <c r="L728" s="2" t="s">
        <v>25</v>
      </c>
      <c r="M728" s="2" t="s">
        <v>76</v>
      </c>
      <c r="N728" s="2" t="s">
        <v>52</v>
      </c>
    </row>
    <row r="729" spans="1:14" x14ac:dyDescent="0.3">
      <c r="A729" s="2" t="s">
        <v>14</v>
      </c>
      <c r="B729" s="3">
        <v>27</v>
      </c>
      <c r="C729" s="4" t="s">
        <v>69</v>
      </c>
      <c r="D729" s="2" t="s">
        <v>32</v>
      </c>
      <c r="E729" s="2" t="s">
        <v>42</v>
      </c>
      <c r="F729" s="5">
        <v>2</v>
      </c>
      <c r="G729" s="1">
        <v>38000000</v>
      </c>
      <c r="H729" s="2">
        <v>1</v>
      </c>
      <c r="I729" s="6">
        <v>2.5462962962962961E-3</v>
      </c>
      <c r="J729" s="2" t="s">
        <v>46</v>
      </c>
      <c r="K729" s="2" t="s">
        <v>19</v>
      </c>
      <c r="L729" s="2" t="s">
        <v>30</v>
      </c>
      <c r="M729" s="2" t="s">
        <v>78</v>
      </c>
      <c r="N729" s="2" t="s">
        <v>63</v>
      </c>
    </row>
    <row r="730" spans="1:14" x14ac:dyDescent="0.3">
      <c r="A730" s="2" t="s">
        <v>14</v>
      </c>
      <c r="B730" s="3">
        <v>11</v>
      </c>
      <c r="C730" s="4" t="s">
        <v>57</v>
      </c>
      <c r="D730" s="2" t="s">
        <v>16</v>
      </c>
      <c r="E730" s="2" t="s">
        <v>68</v>
      </c>
      <c r="F730" s="5">
        <v>3</v>
      </c>
      <c r="G730" s="1">
        <v>15000000</v>
      </c>
      <c r="H730" s="2">
        <v>1</v>
      </c>
      <c r="I730" s="6">
        <v>2.5462962962962961E-3</v>
      </c>
      <c r="J730" s="2" t="s">
        <v>18</v>
      </c>
      <c r="K730" s="2" t="s">
        <v>19</v>
      </c>
      <c r="L730" s="2" t="s">
        <v>33</v>
      </c>
      <c r="M730" s="2" t="s">
        <v>66</v>
      </c>
      <c r="N730" s="2" t="s">
        <v>67</v>
      </c>
    </row>
    <row r="731" spans="1:14" x14ac:dyDescent="0.3">
      <c r="A731" s="2" t="s">
        <v>14</v>
      </c>
      <c r="B731" s="3">
        <v>13</v>
      </c>
      <c r="C731" s="4" t="s">
        <v>72</v>
      </c>
      <c r="D731" s="2" t="s">
        <v>38</v>
      </c>
      <c r="E731" s="2" t="s">
        <v>23</v>
      </c>
      <c r="F731" s="5">
        <v>3</v>
      </c>
      <c r="G731" s="1">
        <v>15000000</v>
      </c>
      <c r="H731" s="2">
        <v>5</v>
      </c>
      <c r="I731" s="6">
        <v>2.5462962962962961E-3</v>
      </c>
      <c r="J731" s="2" t="s">
        <v>18</v>
      </c>
      <c r="K731" s="2" t="s">
        <v>47</v>
      </c>
      <c r="L731" s="2" t="s">
        <v>51</v>
      </c>
      <c r="M731" s="2" t="s">
        <v>77</v>
      </c>
      <c r="N731" s="2" t="s">
        <v>65</v>
      </c>
    </row>
    <row r="732" spans="1:14" x14ac:dyDescent="0.3">
      <c r="A732" s="2" t="s">
        <v>14</v>
      </c>
      <c r="B732" s="3">
        <v>10</v>
      </c>
      <c r="C732" s="4" t="s">
        <v>22</v>
      </c>
      <c r="D732" s="2" t="s">
        <v>16</v>
      </c>
      <c r="E732" s="2" t="s">
        <v>23</v>
      </c>
      <c r="F732" s="5">
        <v>2</v>
      </c>
      <c r="G732" s="1">
        <v>12000000</v>
      </c>
      <c r="H732" s="2">
        <v>2</v>
      </c>
      <c r="I732" s="6">
        <v>2.5462962962962961E-3</v>
      </c>
      <c r="J732" s="2" t="s">
        <v>18</v>
      </c>
      <c r="K732" s="2" t="s">
        <v>29</v>
      </c>
      <c r="L732" s="2" t="s">
        <v>48</v>
      </c>
      <c r="M732" s="2" t="s">
        <v>76</v>
      </c>
      <c r="N732" s="2" t="s">
        <v>52</v>
      </c>
    </row>
    <row r="733" spans="1:14" x14ac:dyDescent="0.3">
      <c r="A733" s="2" t="s">
        <v>14</v>
      </c>
      <c r="B733" s="3">
        <v>19</v>
      </c>
      <c r="C733" s="4" t="s">
        <v>22</v>
      </c>
      <c r="D733" s="2" t="s">
        <v>49</v>
      </c>
      <c r="E733" s="2" t="s">
        <v>42</v>
      </c>
      <c r="F733" s="5">
        <v>3</v>
      </c>
      <c r="G733" s="1">
        <v>15000000</v>
      </c>
      <c r="H733" s="2">
        <v>2</v>
      </c>
      <c r="I733" s="6">
        <v>2.5462962962962961E-3</v>
      </c>
      <c r="J733" s="2" t="s">
        <v>18</v>
      </c>
      <c r="K733" s="2" t="s">
        <v>19</v>
      </c>
      <c r="L733" s="2" t="s">
        <v>40</v>
      </c>
      <c r="M733" s="2" t="s">
        <v>77</v>
      </c>
      <c r="N733" s="2" t="s">
        <v>65</v>
      </c>
    </row>
    <row r="734" spans="1:14" x14ac:dyDescent="0.3">
      <c r="A734" s="2" t="s">
        <v>70</v>
      </c>
      <c r="B734" s="3">
        <v>23</v>
      </c>
      <c r="C734" s="4" t="s">
        <v>27</v>
      </c>
      <c r="D734" s="2" t="s">
        <v>32</v>
      </c>
      <c r="E734" s="2" t="s">
        <v>42</v>
      </c>
      <c r="F734" s="5">
        <v>0</v>
      </c>
      <c r="G734" s="1">
        <v>0</v>
      </c>
      <c r="H734" s="2">
        <v>1</v>
      </c>
      <c r="I734" s="6">
        <v>2.5462962962962961E-3</v>
      </c>
      <c r="J734" s="2"/>
      <c r="K734" s="2"/>
      <c r="L734" s="2" t="s">
        <v>40</v>
      </c>
      <c r="M734" s="2" t="s">
        <v>76</v>
      </c>
      <c r="N734" s="2" t="s">
        <v>26</v>
      </c>
    </row>
    <row r="735" spans="1:14" x14ac:dyDescent="0.3">
      <c r="A735" s="2" t="s">
        <v>70</v>
      </c>
      <c r="B735" s="3">
        <v>19</v>
      </c>
      <c r="C735" s="4" t="s">
        <v>37</v>
      </c>
      <c r="D735" s="2" t="s">
        <v>32</v>
      </c>
      <c r="E735" s="2" t="s">
        <v>42</v>
      </c>
      <c r="F735" s="5">
        <v>0</v>
      </c>
      <c r="G735" s="1">
        <v>0</v>
      </c>
      <c r="H735" s="2">
        <v>4</v>
      </c>
      <c r="I735" s="6">
        <v>2.5462962962962961E-3</v>
      </c>
      <c r="J735" s="2"/>
      <c r="K735" s="2"/>
      <c r="L735" s="2" t="s">
        <v>43</v>
      </c>
      <c r="M735" s="2" t="s">
        <v>78</v>
      </c>
      <c r="N735" s="2" t="s">
        <v>63</v>
      </c>
    </row>
    <row r="736" spans="1:14" x14ac:dyDescent="0.3">
      <c r="A736" s="2" t="s">
        <v>70</v>
      </c>
      <c r="B736" s="3">
        <v>27</v>
      </c>
      <c r="C736" s="4" t="s">
        <v>44</v>
      </c>
      <c r="D736" s="2" t="s">
        <v>16</v>
      </c>
      <c r="E736" s="2" t="s">
        <v>42</v>
      </c>
      <c r="F736" s="5">
        <v>0</v>
      </c>
      <c r="G736" s="1">
        <v>0</v>
      </c>
      <c r="H736" s="2">
        <v>1</v>
      </c>
      <c r="I736" s="6">
        <v>2.5462962962962961E-3</v>
      </c>
      <c r="J736" s="2"/>
      <c r="K736" s="2"/>
      <c r="L736" s="2" t="s">
        <v>30</v>
      </c>
      <c r="M736" s="2" t="s">
        <v>78</v>
      </c>
      <c r="N736" s="2" t="s">
        <v>62</v>
      </c>
    </row>
    <row r="737" spans="1:14" x14ac:dyDescent="0.3">
      <c r="A737" s="2" t="s">
        <v>14</v>
      </c>
      <c r="B737" s="3">
        <v>15</v>
      </c>
      <c r="C737" s="4" t="s">
        <v>57</v>
      </c>
      <c r="D737" s="2" t="s">
        <v>49</v>
      </c>
      <c r="E737" s="2" t="s">
        <v>23</v>
      </c>
      <c r="F737" s="5">
        <v>3</v>
      </c>
      <c r="G737" s="1">
        <v>12000000</v>
      </c>
      <c r="H737" s="2">
        <v>4</v>
      </c>
      <c r="I737" s="6">
        <v>2.7777777777777779E-3</v>
      </c>
      <c r="J737" s="2" t="s">
        <v>18</v>
      </c>
      <c r="K737" s="2" t="s">
        <v>29</v>
      </c>
      <c r="L737" s="2" t="s">
        <v>30</v>
      </c>
      <c r="M737" s="2" t="s">
        <v>78</v>
      </c>
      <c r="N737" s="2" t="s">
        <v>53</v>
      </c>
    </row>
    <row r="738" spans="1:14" x14ac:dyDescent="0.3">
      <c r="A738" s="2" t="s">
        <v>14</v>
      </c>
      <c r="B738" s="3">
        <v>4</v>
      </c>
      <c r="C738" s="4" t="s">
        <v>72</v>
      </c>
      <c r="D738" s="2" t="s">
        <v>28</v>
      </c>
      <c r="E738" s="2" t="s">
        <v>23</v>
      </c>
      <c r="F738" s="5">
        <v>1</v>
      </c>
      <c r="G738" s="1">
        <v>19000000</v>
      </c>
      <c r="H738" s="2">
        <v>2</v>
      </c>
      <c r="I738" s="6">
        <v>2.7777777777777779E-3</v>
      </c>
      <c r="J738" s="2" t="s">
        <v>46</v>
      </c>
      <c r="K738" s="2" t="s">
        <v>47</v>
      </c>
      <c r="L738" s="2" t="s">
        <v>25</v>
      </c>
      <c r="M738" s="2" t="s">
        <v>77</v>
      </c>
      <c r="N738" s="2" t="s">
        <v>34</v>
      </c>
    </row>
    <row r="739" spans="1:14" x14ac:dyDescent="0.3">
      <c r="A739" s="2" t="s">
        <v>14</v>
      </c>
      <c r="B739" s="3">
        <v>11</v>
      </c>
      <c r="C739" s="4" t="s">
        <v>27</v>
      </c>
      <c r="D739" s="2" t="s">
        <v>16</v>
      </c>
      <c r="E739" s="2" t="s">
        <v>17</v>
      </c>
      <c r="F739" s="5">
        <v>2</v>
      </c>
      <c r="G739" s="1">
        <v>38000000</v>
      </c>
      <c r="H739" s="2">
        <v>1</v>
      </c>
      <c r="I739" s="6">
        <v>2.7777777777777779E-3</v>
      </c>
      <c r="J739" s="2" t="s">
        <v>74</v>
      </c>
      <c r="K739" s="2" t="s">
        <v>39</v>
      </c>
      <c r="L739" s="2" t="s">
        <v>40</v>
      </c>
      <c r="M739" s="2" t="s">
        <v>76</v>
      </c>
      <c r="N739" s="2" t="s">
        <v>75</v>
      </c>
    </row>
    <row r="740" spans="1:14" x14ac:dyDescent="0.3">
      <c r="A740" s="2" t="s">
        <v>14</v>
      </c>
      <c r="B740" s="3">
        <v>23</v>
      </c>
      <c r="C740" s="4" t="s">
        <v>27</v>
      </c>
      <c r="D740" s="2" t="s">
        <v>32</v>
      </c>
      <c r="E740" s="2" t="s">
        <v>17</v>
      </c>
      <c r="F740" s="5">
        <v>1</v>
      </c>
      <c r="G740" s="1">
        <v>7000000</v>
      </c>
      <c r="H740" s="2">
        <v>3</v>
      </c>
      <c r="I740" s="6">
        <v>2.7777777777777779E-3</v>
      </c>
      <c r="J740" s="2" t="s">
        <v>18</v>
      </c>
      <c r="K740" s="2" t="s">
        <v>19</v>
      </c>
      <c r="L740" s="2" t="s">
        <v>43</v>
      </c>
      <c r="M740" s="2" t="s">
        <v>66</v>
      </c>
      <c r="N740" s="2" t="s">
        <v>36</v>
      </c>
    </row>
    <row r="741" spans="1:14" x14ac:dyDescent="0.3">
      <c r="A741" s="2" t="s">
        <v>14</v>
      </c>
      <c r="B741" s="3">
        <v>8</v>
      </c>
      <c r="C741" s="4" t="s">
        <v>37</v>
      </c>
      <c r="D741" s="2" t="s">
        <v>28</v>
      </c>
      <c r="E741" s="2" t="s">
        <v>23</v>
      </c>
      <c r="F741" s="5">
        <v>4</v>
      </c>
      <c r="G741" s="1">
        <v>20000000</v>
      </c>
      <c r="H741" s="2">
        <v>4</v>
      </c>
      <c r="I741" s="6">
        <v>2.7777777777777779E-3</v>
      </c>
      <c r="J741" s="2" t="s">
        <v>61</v>
      </c>
      <c r="K741" s="2" t="s">
        <v>19</v>
      </c>
      <c r="L741" s="2" t="s">
        <v>20</v>
      </c>
      <c r="M741" s="2" t="s">
        <v>76</v>
      </c>
      <c r="N741" s="2" t="s">
        <v>31</v>
      </c>
    </row>
    <row r="742" spans="1:14" x14ac:dyDescent="0.3">
      <c r="A742" s="2" t="s">
        <v>14</v>
      </c>
      <c r="B742" s="3">
        <v>8</v>
      </c>
      <c r="C742" s="4" t="s">
        <v>37</v>
      </c>
      <c r="D742" s="2" t="s">
        <v>28</v>
      </c>
      <c r="E742" s="2" t="s">
        <v>17</v>
      </c>
      <c r="F742" s="5">
        <v>3</v>
      </c>
      <c r="G742" s="1">
        <v>15000000</v>
      </c>
      <c r="H742" s="2">
        <v>1</v>
      </c>
      <c r="I742" s="6">
        <v>2.7777777777777779E-3</v>
      </c>
      <c r="J742" s="2" t="s">
        <v>18</v>
      </c>
      <c r="K742" s="2" t="s">
        <v>47</v>
      </c>
      <c r="L742" s="2" t="s">
        <v>33</v>
      </c>
      <c r="M742" s="2" t="s">
        <v>78</v>
      </c>
      <c r="N742" s="2" t="s">
        <v>66</v>
      </c>
    </row>
    <row r="743" spans="1:14" x14ac:dyDescent="0.3">
      <c r="A743" s="2" t="s">
        <v>14</v>
      </c>
      <c r="B743" s="3">
        <v>29</v>
      </c>
      <c r="C743" s="4" t="s">
        <v>37</v>
      </c>
      <c r="D743" s="2" t="s">
        <v>16</v>
      </c>
      <c r="E743" s="2" t="s">
        <v>17</v>
      </c>
      <c r="F743" s="5">
        <v>2</v>
      </c>
      <c r="G743" s="1">
        <v>12000000</v>
      </c>
      <c r="H743" s="2">
        <v>1</v>
      </c>
      <c r="I743" s="6">
        <v>2.7777777777777779E-3</v>
      </c>
      <c r="J743" s="2" t="s">
        <v>18</v>
      </c>
      <c r="K743" s="2" t="s">
        <v>64</v>
      </c>
      <c r="L743" s="2" t="s">
        <v>48</v>
      </c>
      <c r="M743" s="2" t="s">
        <v>78</v>
      </c>
      <c r="N743" s="2" t="s">
        <v>62</v>
      </c>
    </row>
    <row r="744" spans="1:14" x14ac:dyDescent="0.3">
      <c r="A744" s="2" t="s">
        <v>14</v>
      </c>
      <c r="B744" s="3">
        <v>25</v>
      </c>
      <c r="C744" s="4" t="s">
        <v>37</v>
      </c>
      <c r="D744" s="2" t="s">
        <v>32</v>
      </c>
      <c r="E744" s="2" t="s">
        <v>23</v>
      </c>
      <c r="F744" s="5">
        <v>5</v>
      </c>
      <c r="G744" s="1">
        <v>25000000</v>
      </c>
      <c r="H744" s="2">
        <v>3</v>
      </c>
      <c r="I744" s="6">
        <v>2.7777777777777779E-3</v>
      </c>
      <c r="J744" s="2" t="s">
        <v>18</v>
      </c>
      <c r="K744" s="2" t="s">
        <v>29</v>
      </c>
      <c r="L744" s="2" t="s">
        <v>51</v>
      </c>
      <c r="M744" s="2" t="s">
        <v>77</v>
      </c>
      <c r="N744" s="2" t="s">
        <v>65</v>
      </c>
    </row>
    <row r="745" spans="1:14" x14ac:dyDescent="0.3">
      <c r="A745" s="2" t="s">
        <v>14</v>
      </c>
      <c r="B745" s="3">
        <v>22</v>
      </c>
      <c r="C745" s="4" t="s">
        <v>44</v>
      </c>
      <c r="D745" s="2" t="s">
        <v>28</v>
      </c>
      <c r="E745" s="2" t="s">
        <v>23</v>
      </c>
      <c r="F745" s="5">
        <v>2</v>
      </c>
      <c r="G745" s="1">
        <v>12000000</v>
      </c>
      <c r="H745" s="2">
        <v>4</v>
      </c>
      <c r="I745" s="6">
        <v>2.7777777777777779E-3</v>
      </c>
      <c r="J745" s="2" t="s">
        <v>18</v>
      </c>
      <c r="K745" s="2" t="s">
        <v>39</v>
      </c>
      <c r="L745" s="2" t="s">
        <v>25</v>
      </c>
      <c r="M745" s="2" t="s">
        <v>76</v>
      </c>
      <c r="N745" s="2" t="s">
        <v>52</v>
      </c>
    </row>
    <row r="746" spans="1:14" x14ac:dyDescent="0.3">
      <c r="A746" s="2" t="s">
        <v>14</v>
      </c>
      <c r="B746" s="3">
        <v>15</v>
      </c>
      <c r="C746" s="4" t="s">
        <v>57</v>
      </c>
      <c r="D746" s="2" t="s">
        <v>49</v>
      </c>
      <c r="E746" s="2" t="s">
        <v>23</v>
      </c>
      <c r="F746" s="5">
        <v>3</v>
      </c>
      <c r="G746" s="1">
        <v>12000000</v>
      </c>
      <c r="H746" s="2">
        <v>4</v>
      </c>
      <c r="I746" s="6">
        <v>2.7777777777777779E-3</v>
      </c>
      <c r="J746" s="2" t="s">
        <v>18</v>
      </c>
      <c r="K746" s="2" t="s">
        <v>29</v>
      </c>
      <c r="L746" s="2" t="s">
        <v>30</v>
      </c>
      <c r="M746" s="2" t="s">
        <v>78</v>
      </c>
      <c r="N746" s="2" t="s">
        <v>53</v>
      </c>
    </row>
    <row r="747" spans="1:14" x14ac:dyDescent="0.3">
      <c r="A747" s="2" t="s">
        <v>14</v>
      </c>
      <c r="B747" s="3">
        <v>4</v>
      </c>
      <c r="C747" s="4" t="s">
        <v>72</v>
      </c>
      <c r="D747" s="2" t="s">
        <v>28</v>
      </c>
      <c r="E747" s="2" t="s">
        <v>23</v>
      </c>
      <c r="F747" s="5">
        <v>1</v>
      </c>
      <c r="G747" s="1">
        <v>19000000</v>
      </c>
      <c r="H747" s="2">
        <v>2</v>
      </c>
      <c r="I747" s="6">
        <v>2.7777777777777779E-3</v>
      </c>
      <c r="J747" s="2" t="s">
        <v>46</v>
      </c>
      <c r="K747" s="2" t="s">
        <v>47</v>
      </c>
      <c r="L747" s="2" t="s">
        <v>25</v>
      </c>
      <c r="M747" s="2" t="s">
        <v>77</v>
      </c>
      <c r="N747" s="2" t="s">
        <v>34</v>
      </c>
    </row>
    <row r="748" spans="1:14" x14ac:dyDescent="0.3">
      <c r="A748" s="2" t="s">
        <v>70</v>
      </c>
      <c r="B748" s="3">
        <v>25</v>
      </c>
      <c r="C748" s="4" t="s">
        <v>37</v>
      </c>
      <c r="D748" s="2" t="s">
        <v>32</v>
      </c>
      <c r="E748" s="2" t="s">
        <v>42</v>
      </c>
      <c r="F748" s="5">
        <v>0</v>
      </c>
      <c r="G748" s="1">
        <v>0</v>
      </c>
      <c r="H748" s="2">
        <v>5</v>
      </c>
      <c r="I748" s="6">
        <v>2.7777777777777779E-3</v>
      </c>
      <c r="J748" s="2"/>
      <c r="K748" s="2"/>
      <c r="L748" s="2" t="s">
        <v>33</v>
      </c>
      <c r="M748" s="2" t="s">
        <v>77</v>
      </c>
      <c r="N748" s="2" t="s">
        <v>54</v>
      </c>
    </row>
    <row r="749" spans="1:14" x14ac:dyDescent="0.3">
      <c r="A749" s="2" t="s">
        <v>70</v>
      </c>
      <c r="B749" s="3">
        <v>26</v>
      </c>
      <c r="C749" s="4" t="s">
        <v>44</v>
      </c>
      <c r="D749" s="2" t="s">
        <v>16</v>
      </c>
      <c r="E749" s="2" t="s">
        <v>23</v>
      </c>
      <c r="F749" s="5">
        <v>0</v>
      </c>
      <c r="G749" s="1">
        <v>0</v>
      </c>
      <c r="H749" s="2">
        <v>2</v>
      </c>
      <c r="I749" s="6">
        <v>2.7777777777777779E-3</v>
      </c>
      <c r="J749" s="2"/>
      <c r="K749" s="2"/>
      <c r="L749" s="2" t="s">
        <v>43</v>
      </c>
      <c r="M749" s="2" t="s">
        <v>76</v>
      </c>
      <c r="N749" s="2" t="s">
        <v>26</v>
      </c>
    </row>
    <row r="750" spans="1:14" x14ac:dyDescent="0.3">
      <c r="A750" s="2" t="s">
        <v>70</v>
      </c>
      <c r="B750" s="3">
        <v>26</v>
      </c>
      <c r="C750" s="4" t="s">
        <v>44</v>
      </c>
      <c r="D750" s="2" t="s">
        <v>28</v>
      </c>
      <c r="E750" s="2" t="s">
        <v>23</v>
      </c>
      <c r="F750" s="5">
        <v>0</v>
      </c>
      <c r="G750" s="1">
        <v>0</v>
      </c>
      <c r="H750" s="2">
        <v>3</v>
      </c>
      <c r="I750" s="6">
        <v>2.7777777777777779E-3</v>
      </c>
      <c r="J750" s="2"/>
      <c r="K750" s="2"/>
      <c r="L750" s="2" t="s">
        <v>51</v>
      </c>
      <c r="M750" s="2" t="s">
        <v>76</v>
      </c>
      <c r="N750" s="2" t="s">
        <v>26</v>
      </c>
    </row>
    <row r="751" spans="1:14" x14ac:dyDescent="0.3">
      <c r="A751" s="2" t="s">
        <v>70</v>
      </c>
      <c r="B751" s="3">
        <v>10</v>
      </c>
      <c r="C751" s="4" t="s">
        <v>69</v>
      </c>
      <c r="D751" s="2" t="s">
        <v>32</v>
      </c>
      <c r="E751" s="2" t="s">
        <v>17</v>
      </c>
      <c r="F751" s="5">
        <v>0</v>
      </c>
      <c r="G751" s="1">
        <v>0</v>
      </c>
      <c r="H751" s="2">
        <v>3</v>
      </c>
      <c r="I751" s="6">
        <v>2.7777777777777779E-3</v>
      </c>
      <c r="J751" s="2"/>
      <c r="K751" s="2"/>
      <c r="L751" s="2" t="s">
        <v>43</v>
      </c>
      <c r="M751" s="2" t="s">
        <v>66</v>
      </c>
      <c r="N751" s="2" t="s">
        <v>36</v>
      </c>
    </row>
    <row r="752" spans="1:14" x14ac:dyDescent="0.3">
      <c r="A752" s="2" t="s">
        <v>14</v>
      </c>
      <c r="B752" s="3">
        <v>16</v>
      </c>
      <c r="C752" s="4" t="s">
        <v>55</v>
      </c>
      <c r="D752" s="2" t="s">
        <v>32</v>
      </c>
      <c r="E752" s="2" t="s">
        <v>23</v>
      </c>
      <c r="F752" s="5">
        <v>2</v>
      </c>
      <c r="G752" s="1">
        <v>12000000</v>
      </c>
      <c r="H752" s="2">
        <v>1</v>
      </c>
      <c r="I752" s="6">
        <v>3.2407407407407406E-3</v>
      </c>
      <c r="J752" s="2" t="s">
        <v>18</v>
      </c>
      <c r="K752" s="2" t="s">
        <v>29</v>
      </c>
      <c r="L752" s="2" t="s">
        <v>40</v>
      </c>
      <c r="M752" s="2" t="s">
        <v>76</v>
      </c>
      <c r="N752" s="2" t="s">
        <v>26</v>
      </c>
    </row>
    <row r="753" spans="1:14" x14ac:dyDescent="0.3">
      <c r="A753" s="2" t="s">
        <v>14</v>
      </c>
      <c r="B753" s="3">
        <v>11</v>
      </c>
      <c r="C753" s="4" t="s">
        <v>57</v>
      </c>
      <c r="D753" s="2" t="s">
        <v>16</v>
      </c>
      <c r="E753" s="2" t="s">
        <v>42</v>
      </c>
      <c r="F753" s="5">
        <v>2</v>
      </c>
      <c r="G753" s="1">
        <v>12000000</v>
      </c>
      <c r="H753" s="2">
        <v>4</v>
      </c>
      <c r="I753" s="6">
        <v>3.2407407407407406E-3</v>
      </c>
      <c r="J753" s="2" t="s">
        <v>18</v>
      </c>
      <c r="K753" s="2" t="s">
        <v>19</v>
      </c>
      <c r="L753" s="2" t="s">
        <v>43</v>
      </c>
      <c r="M753" s="2" t="s">
        <v>66</v>
      </c>
      <c r="N753" s="2" t="s">
        <v>36</v>
      </c>
    </row>
    <row r="754" spans="1:14" x14ac:dyDescent="0.3">
      <c r="A754" s="2" t="s">
        <v>14</v>
      </c>
      <c r="B754" s="3">
        <v>1</v>
      </c>
      <c r="C754" s="4" t="s">
        <v>59</v>
      </c>
      <c r="D754" s="2" t="s">
        <v>32</v>
      </c>
      <c r="E754" s="2" t="s">
        <v>23</v>
      </c>
      <c r="F754" s="5">
        <v>2</v>
      </c>
      <c r="G754" s="1">
        <v>12000000</v>
      </c>
      <c r="H754" s="2">
        <v>2</v>
      </c>
      <c r="I754" s="6">
        <v>3.2407407407407406E-3</v>
      </c>
      <c r="J754" s="2" t="s">
        <v>18</v>
      </c>
      <c r="K754" s="2" t="s">
        <v>29</v>
      </c>
      <c r="L754" s="2" t="s">
        <v>51</v>
      </c>
      <c r="M754" s="2" t="s">
        <v>66</v>
      </c>
      <c r="N754" s="2" t="s">
        <v>67</v>
      </c>
    </row>
    <row r="755" spans="1:14" x14ac:dyDescent="0.3">
      <c r="A755" s="2" t="s">
        <v>14</v>
      </c>
      <c r="B755" s="3">
        <v>9</v>
      </c>
      <c r="C755" s="4" t="s">
        <v>27</v>
      </c>
      <c r="D755" s="2" t="s">
        <v>32</v>
      </c>
      <c r="E755" s="2" t="s">
        <v>23</v>
      </c>
      <c r="F755" s="5">
        <v>2</v>
      </c>
      <c r="G755" s="1">
        <v>38000000</v>
      </c>
      <c r="H755" s="2">
        <v>5</v>
      </c>
      <c r="I755" s="6">
        <v>3.2407407407407406E-3</v>
      </c>
      <c r="J755" s="2" t="s">
        <v>46</v>
      </c>
      <c r="K755" s="2" t="s">
        <v>19</v>
      </c>
      <c r="L755" s="2" t="s">
        <v>48</v>
      </c>
      <c r="M755" s="2" t="s">
        <v>76</v>
      </c>
      <c r="N755" s="2" t="s">
        <v>31</v>
      </c>
    </row>
    <row r="756" spans="1:14" x14ac:dyDescent="0.3">
      <c r="A756" s="2" t="s">
        <v>14</v>
      </c>
      <c r="B756" s="3">
        <v>11</v>
      </c>
      <c r="C756" s="4" t="s">
        <v>27</v>
      </c>
      <c r="D756" s="2" t="s">
        <v>32</v>
      </c>
      <c r="E756" s="2" t="s">
        <v>42</v>
      </c>
      <c r="F756" s="5">
        <v>2</v>
      </c>
      <c r="G756" s="1">
        <v>12000000</v>
      </c>
      <c r="H756" s="2">
        <v>5</v>
      </c>
      <c r="I756" s="6">
        <v>3.2407407407407406E-3</v>
      </c>
      <c r="J756" s="2" t="s">
        <v>18</v>
      </c>
      <c r="K756" s="2" t="s">
        <v>50</v>
      </c>
      <c r="L756" s="2" t="s">
        <v>20</v>
      </c>
      <c r="M756" s="2" t="s">
        <v>78</v>
      </c>
      <c r="N756" s="2" t="s">
        <v>63</v>
      </c>
    </row>
    <row r="757" spans="1:14" x14ac:dyDescent="0.3">
      <c r="A757" s="2" t="s">
        <v>14</v>
      </c>
      <c r="B757" s="3">
        <v>22</v>
      </c>
      <c r="C757" s="4" t="s">
        <v>27</v>
      </c>
      <c r="D757" s="2" t="s">
        <v>49</v>
      </c>
      <c r="E757" s="2" t="s">
        <v>42</v>
      </c>
      <c r="F757" s="5">
        <v>3</v>
      </c>
      <c r="G757" s="1">
        <v>15000000</v>
      </c>
      <c r="H757" s="2">
        <v>4</v>
      </c>
      <c r="I757" s="6">
        <v>3.2407407407407406E-3</v>
      </c>
      <c r="J757" s="2" t="s">
        <v>18</v>
      </c>
      <c r="K757" s="2" t="s">
        <v>56</v>
      </c>
      <c r="L757" s="2" t="s">
        <v>30</v>
      </c>
      <c r="M757" s="2" t="s">
        <v>77</v>
      </c>
      <c r="N757" s="2" t="s">
        <v>65</v>
      </c>
    </row>
    <row r="758" spans="1:14" x14ac:dyDescent="0.3">
      <c r="A758" s="2" t="s">
        <v>14</v>
      </c>
      <c r="B758" s="3">
        <v>30</v>
      </c>
      <c r="C758" s="4" t="s">
        <v>27</v>
      </c>
      <c r="D758" s="2" t="s">
        <v>49</v>
      </c>
      <c r="E758" s="2" t="s">
        <v>23</v>
      </c>
      <c r="F758" s="5">
        <v>3</v>
      </c>
      <c r="G758" s="1">
        <v>15000000</v>
      </c>
      <c r="H758" s="2">
        <v>3</v>
      </c>
      <c r="I758" s="6">
        <v>3.2407407407407406E-3</v>
      </c>
      <c r="J758" s="2" t="s">
        <v>18</v>
      </c>
      <c r="K758" s="2" t="s">
        <v>29</v>
      </c>
      <c r="L758" s="2" t="s">
        <v>25</v>
      </c>
      <c r="M758" s="2" t="s">
        <v>76</v>
      </c>
      <c r="N758" s="2" t="s">
        <v>31</v>
      </c>
    </row>
    <row r="759" spans="1:14" x14ac:dyDescent="0.3">
      <c r="A759" s="2" t="s">
        <v>14</v>
      </c>
      <c r="B759" s="3">
        <v>10</v>
      </c>
      <c r="C759" s="4" t="s">
        <v>37</v>
      </c>
      <c r="D759" s="2" t="s">
        <v>28</v>
      </c>
      <c r="E759" s="2" t="s">
        <v>17</v>
      </c>
      <c r="F759" s="5">
        <v>4</v>
      </c>
      <c r="G759" s="1">
        <v>11000000</v>
      </c>
      <c r="H759" s="2">
        <v>2</v>
      </c>
      <c r="I759" s="6">
        <v>3.2407407407407406E-3</v>
      </c>
      <c r="J759" s="2" t="s">
        <v>61</v>
      </c>
      <c r="K759" s="2" t="s">
        <v>19</v>
      </c>
      <c r="L759" s="2" t="s">
        <v>30</v>
      </c>
      <c r="M759" s="2" t="s">
        <v>76</v>
      </c>
      <c r="N759" s="2" t="s">
        <v>75</v>
      </c>
    </row>
    <row r="760" spans="1:14" x14ac:dyDescent="0.3">
      <c r="A760" s="2" t="s">
        <v>14</v>
      </c>
      <c r="B760" s="3">
        <v>24</v>
      </c>
      <c r="C760" s="4" t="s">
        <v>37</v>
      </c>
      <c r="D760" s="2" t="s">
        <v>16</v>
      </c>
      <c r="E760" s="2" t="s">
        <v>42</v>
      </c>
      <c r="F760" s="5">
        <v>4</v>
      </c>
      <c r="G760" s="1">
        <v>20000000</v>
      </c>
      <c r="H760" s="2">
        <v>1</v>
      </c>
      <c r="I760" s="6">
        <v>3.2407407407407406E-3</v>
      </c>
      <c r="J760" s="2" t="s">
        <v>61</v>
      </c>
      <c r="K760" s="2" t="s">
        <v>19</v>
      </c>
      <c r="L760" s="2" t="s">
        <v>30</v>
      </c>
      <c r="M760" s="2" t="s">
        <v>66</v>
      </c>
      <c r="N760" s="2" t="s">
        <v>36</v>
      </c>
    </row>
    <row r="761" spans="1:14" x14ac:dyDescent="0.3">
      <c r="A761" s="2" t="s">
        <v>14</v>
      </c>
      <c r="B761" s="3">
        <v>26</v>
      </c>
      <c r="C761" s="4" t="s">
        <v>37</v>
      </c>
      <c r="D761" s="2" t="s">
        <v>28</v>
      </c>
      <c r="E761" s="2" t="s">
        <v>42</v>
      </c>
      <c r="F761" s="5">
        <v>5</v>
      </c>
      <c r="G761" s="1">
        <v>20000000</v>
      </c>
      <c r="H761" s="2">
        <v>2</v>
      </c>
      <c r="I761" s="6">
        <v>3.2407407407407406E-3</v>
      </c>
      <c r="J761" s="2" t="s">
        <v>18</v>
      </c>
      <c r="K761" s="2" t="s">
        <v>19</v>
      </c>
      <c r="L761" s="2" t="s">
        <v>30</v>
      </c>
      <c r="M761" s="2" t="s">
        <v>78</v>
      </c>
      <c r="N761" s="2" t="s">
        <v>41</v>
      </c>
    </row>
    <row r="762" spans="1:14" x14ac:dyDescent="0.3">
      <c r="A762" s="2" t="s">
        <v>14</v>
      </c>
      <c r="B762" s="3">
        <v>1</v>
      </c>
      <c r="C762" s="4" t="s">
        <v>37</v>
      </c>
      <c r="D762" s="2" t="s">
        <v>32</v>
      </c>
      <c r="E762" s="2" t="s">
        <v>45</v>
      </c>
      <c r="F762" s="5">
        <v>4</v>
      </c>
      <c r="G762" s="1">
        <v>20000000</v>
      </c>
      <c r="H762" s="2">
        <v>2</v>
      </c>
      <c r="I762" s="6">
        <v>3.2407407407407406E-3</v>
      </c>
      <c r="J762" s="2" t="s">
        <v>18</v>
      </c>
      <c r="K762" s="2" t="s">
        <v>39</v>
      </c>
      <c r="L762" s="2" t="s">
        <v>33</v>
      </c>
      <c r="M762" s="2" t="s">
        <v>78</v>
      </c>
      <c r="N762" s="2" t="s">
        <v>63</v>
      </c>
    </row>
    <row r="763" spans="1:14" x14ac:dyDescent="0.3">
      <c r="A763" s="2" t="s">
        <v>14</v>
      </c>
      <c r="B763" s="3">
        <v>30</v>
      </c>
      <c r="C763" s="4" t="s">
        <v>37</v>
      </c>
      <c r="D763" s="2" t="s">
        <v>49</v>
      </c>
      <c r="E763" s="2" t="s">
        <v>45</v>
      </c>
      <c r="F763" s="5">
        <v>1</v>
      </c>
      <c r="G763" s="1">
        <v>7000000</v>
      </c>
      <c r="H763" s="2">
        <v>3</v>
      </c>
      <c r="I763" s="6">
        <v>3.2407407407407406E-3</v>
      </c>
      <c r="J763" s="2" t="s">
        <v>18</v>
      </c>
      <c r="K763" s="2" t="s">
        <v>47</v>
      </c>
      <c r="L763" s="2" t="s">
        <v>33</v>
      </c>
      <c r="M763" s="2" t="s">
        <v>77</v>
      </c>
      <c r="N763" s="2" t="s">
        <v>54</v>
      </c>
    </row>
    <row r="764" spans="1:14" x14ac:dyDescent="0.3">
      <c r="A764" s="2" t="s">
        <v>14</v>
      </c>
      <c r="B764" s="3">
        <v>8</v>
      </c>
      <c r="C764" s="4" t="s">
        <v>37</v>
      </c>
      <c r="D764" s="2" t="s">
        <v>32</v>
      </c>
      <c r="E764" s="2" t="s">
        <v>23</v>
      </c>
      <c r="F764" s="5">
        <v>5</v>
      </c>
      <c r="G764" s="1">
        <v>25000000</v>
      </c>
      <c r="H764" s="2">
        <v>4</v>
      </c>
      <c r="I764" s="6">
        <v>3.2407407407407406E-3</v>
      </c>
      <c r="J764" s="2" t="s">
        <v>18</v>
      </c>
      <c r="K764" s="2" t="s">
        <v>24</v>
      </c>
      <c r="L764" s="2" t="s">
        <v>20</v>
      </c>
      <c r="M764" s="2" t="s">
        <v>77</v>
      </c>
      <c r="N764" s="2" t="s">
        <v>65</v>
      </c>
    </row>
    <row r="765" spans="1:14" x14ac:dyDescent="0.3">
      <c r="A765" s="2" t="s">
        <v>14</v>
      </c>
      <c r="B765" s="3">
        <v>11</v>
      </c>
      <c r="C765" s="4" t="s">
        <v>37</v>
      </c>
      <c r="D765" s="2" t="s">
        <v>16</v>
      </c>
      <c r="E765" s="2" t="s">
        <v>42</v>
      </c>
      <c r="F765" s="5">
        <v>3</v>
      </c>
      <c r="G765" s="1">
        <v>15000000</v>
      </c>
      <c r="H765" s="2">
        <v>3</v>
      </c>
      <c r="I765" s="6">
        <v>3.2407407407407406E-3</v>
      </c>
      <c r="J765" s="2" t="s">
        <v>18</v>
      </c>
      <c r="K765" s="2" t="s">
        <v>39</v>
      </c>
      <c r="L765" s="2" t="s">
        <v>25</v>
      </c>
      <c r="M765" s="2" t="s">
        <v>78</v>
      </c>
      <c r="N765" s="2" t="s">
        <v>63</v>
      </c>
    </row>
    <row r="766" spans="1:14" x14ac:dyDescent="0.3">
      <c r="A766" s="2" t="s">
        <v>14</v>
      </c>
      <c r="B766" s="3">
        <v>11</v>
      </c>
      <c r="C766" s="4" t="s">
        <v>37</v>
      </c>
      <c r="D766" s="2" t="s">
        <v>38</v>
      </c>
      <c r="E766" s="2" t="s">
        <v>42</v>
      </c>
      <c r="F766" s="5">
        <v>3</v>
      </c>
      <c r="G766" s="1">
        <v>15000000</v>
      </c>
      <c r="H766" s="2">
        <v>1</v>
      </c>
      <c r="I766" s="6">
        <v>3.2407407407407406E-3</v>
      </c>
      <c r="J766" s="2" t="s">
        <v>18</v>
      </c>
      <c r="K766" s="2" t="s">
        <v>35</v>
      </c>
      <c r="L766" s="2" t="s">
        <v>48</v>
      </c>
      <c r="M766" s="2" t="s">
        <v>78</v>
      </c>
      <c r="N766" s="2" t="s">
        <v>41</v>
      </c>
    </row>
    <row r="767" spans="1:14" x14ac:dyDescent="0.3">
      <c r="A767" s="2" t="s">
        <v>14</v>
      </c>
      <c r="B767" s="3">
        <v>9</v>
      </c>
      <c r="C767" s="4" t="s">
        <v>44</v>
      </c>
      <c r="D767" s="2" t="s">
        <v>38</v>
      </c>
      <c r="E767" s="2" t="s">
        <v>23</v>
      </c>
      <c r="F767" s="5">
        <v>1</v>
      </c>
      <c r="G767" s="1">
        <v>19000000</v>
      </c>
      <c r="H767" s="2">
        <v>5</v>
      </c>
      <c r="I767" s="6">
        <v>3.2407407407407406E-3</v>
      </c>
      <c r="J767" s="2" t="s">
        <v>46</v>
      </c>
      <c r="K767" s="2" t="s">
        <v>29</v>
      </c>
      <c r="L767" s="2" t="s">
        <v>51</v>
      </c>
      <c r="M767" s="2" t="s">
        <v>77</v>
      </c>
      <c r="N767" s="2" t="s">
        <v>54</v>
      </c>
    </row>
    <row r="768" spans="1:14" x14ac:dyDescent="0.3">
      <c r="A768" s="2" t="s">
        <v>14</v>
      </c>
      <c r="B768" s="3">
        <v>22</v>
      </c>
      <c r="C768" s="4" t="s">
        <v>44</v>
      </c>
      <c r="D768" s="2" t="s">
        <v>32</v>
      </c>
      <c r="E768" s="2" t="s">
        <v>42</v>
      </c>
      <c r="F768" s="5">
        <v>1</v>
      </c>
      <c r="G768" s="1">
        <v>19000000</v>
      </c>
      <c r="H768" s="2">
        <v>1</v>
      </c>
      <c r="I768" s="6">
        <v>3.2407407407407406E-3</v>
      </c>
      <c r="J768" s="2" t="s">
        <v>46</v>
      </c>
      <c r="K768" s="2" t="s">
        <v>64</v>
      </c>
      <c r="L768" s="2" t="s">
        <v>51</v>
      </c>
      <c r="M768" s="2" t="s">
        <v>76</v>
      </c>
      <c r="N768" s="2" t="s">
        <v>31</v>
      </c>
    </row>
    <row r="769" spans="1:14" x14ac:dyDescent="0.3">
      <c r="A769" s="2" t="s">
        <v>14</v>
      </c>
      <c r="B769" s="3">
        <v>12</v>
      </c>
      <c r="C769" s="4" t="s">
        <v>44</v>
      </c>
      <c r="D769" s="2" t="s">
        <v>28</v>
      </c>
      <c r="E769" s="2" t="s">
        <v>42</v>
      </c>
      <c r="F769" s="5">
        <v>4</v>
      </c>
      <c r="G769" s="1">
        <v>20000000</v>
      </c>
      <c r="H769" s="2">
        <v>2</v>
      </c>
      <c r="I769" s="6">
        <v>3.2407407407407406E-3</v>
      </c>
      <c r="J769" s="2" t="s">
        <v>18</v>
      </c>
      <c r="K769" s="2" t="s">
        <v>29</v>
      </c>
      <c r="L769" s="2" t="s">
        <v>33</v>
      </c>
      <c r="M769" s="2" t="s">
        <v>78</v>
      </c>
      <c r="N769" s="2" t="s">
        <v>53</v>
      </c>
    </row>
    <row r="770" spans="1:14" x14ac:dyDescent="0.3">
      <c r="A770" s="2" t="s">
        <v>14</v>
      </c>
      <c r="B770" s="3">
        <v>22</v>
      </c>
      <c r="C770" s="4" t="s">
        <v>44</v>
      </c>
      <c r="D770" s="2" t="s">
        <v>32</v>
      </c>
      <c r="E770" s="2" t="s">
        <v>42</v>
      </c>
      <c r="F770" s="5">
        <v>3</v>
      </c>
      <c r="G770" s="1">
        <v>15000000</v>
      </c>
      <c r="H770" s="2">
        <v>1</v>
      </c>
      <c r="I770" s="6">
        <v>3.2407407407407406E-3</v>
      </c>
      <c r="J770" s="2" t="s">
        <v>18</v>
      </c>
      <c r="K770" s="2" t="s">
        <v>19</v>
      </c>
      <c r="L770" s="2" t="s">
        <v>48</v>
      </c>
      <c r="M770" s="2" t="s">
        <v>78</v>
      </c>
      <c r="N770" s="2" t="s">
        <v>63</v>
      </c>
    </row>
    <row r="771" spans="1:14" x14ac:dyDescent="0.3">
      <c r="A771" s="2" t="s">
        <v>14</v>
      </c>
      <c r="B771" s="3">
        <v>16</v>
      </c>
      <c r="C771" s="4" t="s">
        <v>55</v>
      </c>
      <c r="D771" s="2" t="s">
        <v>32</v>
      </c>
      <c r="E771" s="2" t="s">
        <v>23</v>
      </c>
      <c r="F771" s="5">
        <v>2</v>
      </c>
      <c r="G771" s="1">
        <v>12000000</v>
      </c>
      <c r="H771" s="2">
        <v>1</v>
      </c>
      <c r="I771" s="6">
        <v>3.2407407407407406E-3</v>
      </c>
      <c r="J771" s="2" t="s">
        <v>18</v>
      </c>
      <c r="K771" s="2" t="s">
        <v>29</v>
      </c>
      <c r="L771" s="2" t="s">
        <v>40</v>
      </c>
      <c r="M771" s="2" t="s">
        <v>76</v>
      </c>
      <c r="N771" s="2" t="s">
        <v>26</v>
      </c>
    </row>
    <row r="772" spans="1:14" x14ac:dyDescent="0.3">
      <c r="A772" s="2" t="s">
        <v>14</v>
      </c>
      <c r="B772" s="3">
        <v>11</v>
      </c>
      <c r="C772" s="4" t="s">
        <v>57</v>
      </c>
      <c r="D772" s="2" t="s">
        <v>16</v>
      </c>
      <c r="E772" s="2" t="s">
        <v>42</v>
      </c>
      <c r="F772" s="5">
        <v>2</v>
      </c>
      <c r="G772" s="1">
        <v>12000000</v>
      </c>
      <c r="H772" s="2">
        <v>4</v>
      </c>
      <c r="I772" s="6">
        <v>3.2407407407407406E-3</v>
      </c>
      <c r="J772" s="2" t="s">
        <v>18</v>
      </c>
      <c r="K772" s="2" t="s">
        <v>19</v>
      </c>
      <c r="L772" s="2" t="s">
        <v>43</v>
      </c>
      <c r="M772" s="2" t="s">
        <v>66</v>
      </c>
      <c r="N772" s="2" t="s">
        <v>36</v>
      </c>
    </row>
    <row r="773" spans="1:14" x14ac:dyDescent="0.3">
      <c r="A773" s="2" t="s">
        <v>14</v>
      </c>
      <c r="B773" s="3">
        <v>1</v>
      </c>
      <c r="C773" s="4" t="s">
        <v>59</v>
      </c>
      <c r="D773" s="2" t="s">
        <v>32</v>
      </c>
      <c r="E773" s="2" t="s">
        <v>23</v>
      </c>
      <c r="F773" s="5">
        <v>2</v>
      </c>
      <c r="G773" s="1">
        <v>12000000</v>
      </c>
      <c r="H773" s="2">
        <v>2</v>
      </c>
      <c r="I773" s="6">
        <v>3.2407407407407406E-3</v>
      </c>
      <c r="J773" s="2" t="s">
        <v>18</v>
      </c>
      <c r="K773" s="2" t="s">
        <v>29</v>
      </c>
      <c r="L773" s="2" t="s">
        <v>51</v>
      </c>
      <c r="M773" s="2" t="s">
        <v>66</v>
      </c>
      <c r="N773" s="2" t="s">
        <v>67</v>
      </c>
    </row>
    <row r="774" spans="1:14" x14ac:dyDescent="0.3">
      <c r="A774" s="2" t="s">
        <v>70</v>
      </c>
      <c r="B774" s="3">
        <v>15</v>
      </c>
      <c r="C774" s="4" t="s">
        <v>58</v>
      </c>
      <c r="D774" s="2" t="s">
        <v>38</v>
      </c>
      <c r="E774" s="2" t="s">
        <v>17</v>
      </c>
      <c r="F774" s="5">
        <v>0</v>
      </c>
      <c r="G774" s="1">
        <v>0</v>
      </c>
      <c r="H774" s="2">
        <v>2</v>
      </c>
      <c r="I774" s="6">
        <v>3.2407407407407406E-3</v>
      </c>
      <c r="J774" s="2"/>
      <c r="K774" s="2"/>
      <c r="L774" s="2" t="s">
        <v>43</v>
      </c>
      <c r="M774" s="2" t="s">
        <v>76</v>
      </c>
      <c r="N774" s="2" t="s">
        <v>26</v>
      </c>
    </row>
    <row r="775" spans="1:14" x14ac:dyDescent="0.3">
      <c r="A775" s="2" t="s">
        <v>70</v>
      </c>
      <c r="B775" s="3">
        <v>11</v>
      </c>
      <c r="C775" s="4" t="s">
        <v>59</v>
      </c>
      <c r="D775" s="2" t="s">
        <v>16</v>
      </c>
      <c r="E775" s="2" t="s">
        <v>42</v>
      </c>
      <c r="F775" s="5">
        <v>0</v>
      </c>
      <c r="G775" s="1">
        <v>0</v>
      </c>
      <c r="H775" s="2">
        <v>5</v>
      </c>
      <c r="I775" s="6">
        <v>3.2407407407407406E-3</v>
      </c>
      <c r="J775" s="2"/>
      <c r="K775" s="2"/>
      <c r="L775" s="2" t="s">
        <v>33</v>
      </c>
      <c r="M775" s="2" t="s">
        <v>66</v>
      </c>
      <c r="N775" s="2" t="s">
        <v>67</v>
      </c>
    </row>
    <row r="776" spans="1:14" x14ac:dyDescent="0.3">
      <c r="A776" s="2" t="s">
        <v>70</v>
      </c>
      <c r="B776" s="3">
        <v>14</v>
      </c>
      <c r="C776" s="4" t="s">
        <v>22</v>
      </c>
      <c r="D776" s="2" t="s">
        <v>28</v>
      </c>
      <c r="E776" s="2" t="s">
        <v>42</v>
      </c>
      <c r="F776" s="5">
        <v>0</v>
      </c>
      <c r="G776" s="1">
        <v>0</v>
      </c>
      <c r="H776" s="2">
        <v>4</v>
      </c>
      <c r="I776" s="6">
        <v>3.2407407407407406E-3</v>
      </c>
      <c r="J776" s="2"/>
      <c r="K776" s="2"/>
      <c r="L776" s="2" t="s">
        <v>43</v>
      </c>
      <c r="M776" s="2" t="s">
        <v>78</v>
      </c>
      <c r="N776" s="2" t="s">
        <v>41</v>
      </c>
    </row>
    <row r="777" spans="1:14" x14ac:dyDescent="0.3">
      <c r="A777" s="2" t="s">
        <v>70</v>
      </c>
      <c r="B777" s="3">
        <v>24</v>
      </c>
      <c r="C777" s="4" t="s">
        <v>27</v>
      </c>
      <c r="D777" s="2" t="s">
        <v>73</v>
      </c>
      <c r="E777" s="2" t="s">
        <v>42</v>
      </c>
      <c r="F777" s="5">
        <v>0</v>
      </c>
      <c r="G777" s="1">
        <v>0</v>
      </c>
      <c r="H777" s="2">
        <v>3</v>
      </c>
      <c r="I777" s="6">
        <v>3.2407407407407406E-3</v>
      </c>
      <c r="J777" s="2"/>
      <c r="K777" s="2"/>
      <c r="L777" s="2" t="s">
        <v>20</v>
      </c>
      <c r="M777" s="2" t="s">
        <v>78</v>
      </c>
      <c r="N777" s="2" t="s">
        <v>63</v>
      </c>
    </row>
    <row r="778" spans="1:14" x14ac:dyDescent="0.3">
      <c r="A778" s="2" t="s">
        <v>70</v>
      </c>
      <c r="B778" s="3">
        <v>1</v>
      </c>
      <c r="C778" s="4" t="s">
        <v>37</v>
      </c>
      <c r="D778" s="2" t="s">
        <v>16</v>
      </c>
      <c r="E778" s="2" t="s">
        <v>42</v>
      </c>
      <c r="F778" s="5">
        <v>0</v>
      </c>
      <c r="G778" s="1">
        <v>0</v>
      </c>
      <c r="H778" s="2">
        <v>1</v>
      </c>
      <c r="I778" s="6">
        <v>3.2407407407407406E-3</v>
      </c>
      <c r="J778" s="2"/>
      <c r="K778" s="2"/>
      <c r="L778" s="2" t="s">
        <v>43</v>
      </c>
      <c r="M778" s="2" t="s">
        <v>76</v>
      </c>
      <c r="N778" s="2" t="s">
        <v>52</v>
      </c>
    </row>
    <row r="779" spans="1:14" x14ac:dyDescent="0.3">
      <c r="A779" s="2" t="s">
        <v>70</v>
      </c>
      <c r="B779" s="3">
        <v>19</v>
      </c>
      <c r="C779" s="4" t="s">
        <v>69</v>
      </c>
      <c r="D779" s="2" t="s">
        <v>32</v>
      </c>
      <c r="E779" s="2" t="s">
        <v>42</v>
      </c>
      <c r="F779" s="5">
        <v>0</v>
      </c>
      <c r="G779" s="1">
        <v>0</v>
      </c>
      <c r="H779" s="2">
        <v>2</v>
      </c>
      <c r="I779" s="6">
        <v>3.2407407407407406E-3</v>
      </c>
      <c r="J779" s="2"/>
      <c r="K779" s="2"/>
      <c r="L779" s="2" t="s">
        <v>30</v>
      </c>
      <c r="M779" s="2" t="s">
        <v>66</v>
      </c>
      <c r="N779" s="2" t="s">
        <v>67</v>
      </c>
    </row>
    <row r="780" spans="1:14" x14ac:dyDescent="0.3">
      <c r="A780" s="2" t="s">
        <v>70</v>
      </c>
      <c r="B780" s="3">
        <v>15</v>
      </c>
      <c r="C780" s="4" t="s">
        <v>58</v>
      </c>
      <c r="D780" s="2" t="s">
        <v>38</v>
      </c>
      <c r="E780" s="2" t="s">
        <v>17</v>
      </c>
      <c r="F780" s="5">
        <v>0</v>
      </c>
      <c r="G780" s="1">
        <v>0</v>
      </c>
      <c r="H780" s="2">
        <v>2</v>
      </c>
      <c r="I780" s="6">
        <v>3.2407407407407406E-3</v>
      </c>
      <c r="J780" s="2"/>
      <c r="K780" s="2"/>
      <c r="L780" s="2" t="s">
        <v>43</v>
      </c>
      <c r="M780" s="2" t="s">
        <v>76</v>
      </c>
      <c r="N780" s="2" t="s">
        <v>26</v>
      </c>
    </row>
    <row r="781" spans="1:14" x14ac:dyDescent="0.3">
      <c r="A781" s="2" t="s">
        <v>70</v>
      </c>
      <c r="B781" s="3">
        <v>11</v>
      </c>
      <c r="C781" s="4" t="s">
        <v>59</v>
      </c>
      <c r="D781" s="2" t="s">
        <v>16</v>
      </c>
      <c r="E781" s="2" t="s">
        <v>42</v>
      </c>
      <c r="F781" s="5">
        <v>0</v>
      </c>
      <c r="G781" s="1">
        <v>0</v>
      </c>
      <c r="H781" s="2">
        <v>5</v>
      </c>
      <c r="I781" s="6">
        <v>3.2407407407407406E-3</v>
      </c>
      <c r="J781" s="2"/>
      <c r="K781" s="2"/>
      <c r="L781" s="2" t="s">
        <v>33</v>
      </c>
      <c r="M781" s="2" t="s">
        <v>66</v>
      </c>
      <c r="N781" s="2" t="s">
        <v>67</v>
      </c>
    </row>
    <row r="782" spans="1:14" x14ac:dyDescent="0.3">
      <c r="A782" s="2" t="s">
        <v>14</v>
      </c>
      <c r="B782" s="3">
        <v>19</v>
      </c>
      <c r="C782" s="4" t="s">
        <v>22</v>
      </c>
      <c r="D782" s="2" t="s">
        <v>28</v>
      </c>
      <c r="E782" s="2" t="s">
        <v>45</v>
      </c>
      <c r="F782" s="5">
        <v>1</v>
      </c>
      <c r="G782" s="1">
        <v>7000000</v>
      </c>
      <c r="H782" s="2">
        <v>5</v>
      </c>
      <c r="I782" s="6">
        <v>3.2986111111111111E-3</v>
      </c>
      <c r="J782" s="2" t="s">
        <v>18</v>
      </c>
      <c r="K782" s="2" t="s">
        <v>24</v>
      </c>
      <c r="L782" s="2" t="s">
        <v>48</v>
      </c>
      <c r="M782" s="2" t="s">
        <v>78</v>
      </c>
      <c r="N782" s="2" t="s">
        <v>53</v>
      </c>
    </row>
    <row r="783" spans="1:14" x14ac:dyDescent="0.3">
      <c r="A783" s="2" t="s">
        <v>14</v>
      </c>
      <c r="B783" s="3">
        <v>5</v>
      </c>
      <c r="C783" s="4" t="s">
        <v>27</v>
      </c>
      <c r="D783" s="2" t="s">
        <v>32</v>
      </c>
      <c r="E783" s="2" t="s">
        <v>42</v>
      </c>
      <c r="F783" s="5">
        <v>4</v>
      </c>
      <c r="G783" s="1">
        <v>15000000</v>
      </c>
      <c r="H783" s="2">
        <v>3</v>
      </c>
      <c r="I783" s="6">
        <v>3.2986111111111111E-3</v>
      </c>
      <c r="J783" s="2" t="s">
        <v>18</v>
      </c>
      <c r="K783" s="2" t="s">
        <v>19</v>
      </c>
      <c r="L783" s="2" t="s">
        <v>33</v>
      </c>
      <c r="M783" s="2" t="s">
        <v>66</v>
      </c>
      <c r="N783" s="2" t="s">
        <v>67</v>
      </c>
    </row>
    <row r="784" spans="1:14" x14ac:dyDescent="0.3">
      <c r="A784" s="2" t="s">
        <v>14</v>
      </c>
      <c r="B784" s="3">
        <v>11</v>
      </c>
      <c r="C784" s="4" t="s">
        <v>37</v>
      </c>
      <c r="D784" s="2" t="s">
        <v>16</v>
      </c>
      <c r="E784" s="2" t="s">
        <v>45</v>
      </c>
      <c r="F784" s="5">
        <v>2</v>
      </c>
      <c r="G784" s="1">
        <v>38000000</v>
      </c>
      <c r="H784" s="2">
        <v>1</v>
      </c>
      <c r="I784" s="6">
        <v>3.2986111111111111E-3</v>
      </c>
      <c r="J784" s="2" t="s">
        <v>46</v>
      </c>
      <c r="K784" s="2" t="s">
        <v>19</v>
      </c>
      <c r="L784" s="2" t="s">
        <v>40</v>
      </c>
      <c r="M784" s="2" t="s">
        <v>78</v>
      </c>
      <c r="N784" s="2" t="s">
        <v>53</v>
      </c>
    </row>
    <row r="785" spans="1:14" x14ac:dyDescent="0.3">
      <c r="A785" s="2" t="s">
        <v>14</v>
      </c>
      <c r="B785" s="3">
        <v>1</v>
      </c>
      <c r="C785" s="4" t="s">
        <v>37</v>
      </c>
      <c r="D785" s="2" t="s">
        <v>49</v>
      </c>
      <c r="E785" s="2" t="s">
        <v>17</v>
      </c>
      <c r="F785" s="5">
        <v>3</v>
      </c>
      <c r="G785" s="1">
        <v>15000000</v>
      </c>
      <c r="H785" s="2">
        <v>1</v>
      </c>
      <c r="I785" s="6">
        <v>3.2986111111111111E-3</v>
      </c>
      <c r="J785" s="2" t="s">
        <v>18</v>
      </c>
      <c r="K785" s="2" t="s">
        <v>39</v>
      </c>
      <c r="L785" s="2" t="s">
        <v>30</v>
      </c>
      <c r="M785" s="2" t="s">
        <v>66</v>
      </c>
      <c r="N785" s="2" t="s">
        <v>36</v>
      </c>
    </row>
    <row r="786" spans="1:14" x14ac:dyDescent="0.3">
      <c r="A786" s="2" t="s">
        <v>14</v>
      </c>
      <c r="B786" s="3">
        <v>21</v>
      </c>
      <c r="C786" s="4" t="s">
        <v>37</v>
      </c>
      <c r="D786" s="2" t="s">
        <v>28</v>
      </c>
      <c r="E786" s="2" t="s">
        <v>17</v>
      </c>
      <c r="F786" s="5">
        <v>5</v>
      </c>
      <c r="G786" s="1">
        <v>20000000</v>
      </c>
      <c r="H786" s="2">
        <v>5</v>
      </c>
      <c r="I786" s="6">
        <v>3.2986111111111111E-3</v>
      </c>
      <c r="J786" s="2" t="s">
        <v>18</v>
      </c>
      <c r="K786" s="2" t="s">
        <v>56</v>
      </c>
      <c r="L786" s="2" t="s">
        <v>20</v>
      </c>
      <c r="M786" s="2" t="s">
        <v>76</v>
      </c>
      <c r="N786" s="2" t="s">
        <v>31</v>
      </c>
    </row>
    <row r="787" spans="1:14" x14ac:dyDescent="0.3">
      <c r="A787" s="2" t="s">
        <v>14</v>
      </c>
      <c r="B787" s="3">
        <v>27</v>
      </c>
      <c r="C787" s="4" t="s">
        <v>44</v>
      </c>
      <c r="D787" s="2" t="s">
        <v>38</v>
      </c>
      <c r="E787" s="2" t="s">
        <v>42</v>
      </c>
      <c r="F787" s="5">
        <v>3</v>
      </c>
      <c r="G787" s="1">
        <v>11000000</v>
      </c>
      <c r="H787" s="2">
        <v>3</v>
      </c>
      <c r="I787" s="6">
        <v>3.2986111111111111E-3</v>
      </c>
      <c r="J787" s="2" t="s">
        <v>18</v>
      </c>
      <c r="K787" s="2" t="s">
        <v>56</v>
      </c>
      <c r="L787" s="2" t="s">
        <v>48</v>
      </c>
      <c r="M787" s="2" t="s">
        <v>77</v>
      </c>
      <c r="N787" s="2" t="s">
        <v>34</v>
      </c>
    </row>
    <row r="788" spans="1:14" x14ac:dyDescent="0.3">
      <c r="A788" s="2" t="s">
        <v>14</v>
      </c>
      <c r="B788" s="3">
        <v>28</v>
      </c>
      <c r="C788" s="4" t="s">
        <v>44</v>
      </c>
      <c r="D788" s="2" t="s">
        <v>38</v>
      </c>
      <c r="E788" s="2" t="s">
        <v>23</v>
      </c>
      <c r="F788" s="5">
        <v>2</v>
      </c>
      <c r="G788" s="1">
        <v>12000000</v>
      </c>
      <c r="H788" s="2">
        <v>3</v>
      </c>
      <c r="I788" s="6">
        <v>3.2986111111111111E-3</v>
      </c>
      <c r="J788" s="2" t="s">
        <v>18</v>
      </c>
      <c r="K788" s="2" t="s">
        <v>39</v>
      </c>
      <c r="L788" s="2" t="s">
        <v>51</v>
      </c>
      <c r="M788" s="2" t="s">
        <v>78</v>
      </c>
      <c r="N788" s="2" t="s">
        <v>62</v>
      </c>
    </row>
    <row r="789" spans="1:14" x14ac:dyDescent="0.3">
      <c r="A789" s="2" t="s">
        <v>14</v>
      </c>
      <c r="B789" s="3">
        <v>11</v>
      </c>
      <c r="C789" s="4" t="s">
        <v>69</v>
      </c>
      <c r="D789" s="2" t="s">
        <v>38</v>
      </c>
      <c r="E789" s="2" t="s">
        <v>23</v>
      </c>
      <c r="F789" s="5">
        <v>1</v>
      </c>
      <c r="G789" s="1">
        <v>19000000</v>
      </c>
      <c r="H789" s="2">
        <v>1</v>
      </c>
      <c r="I789" s="6">
        <v>3.2986111111111111E-3</v>
      </c>
      <c r="J789" s="2" t="s">
        <v>46</v>
      </c>
      <c r="K789" s="2" t="s">
        <v>29</v>
      </c>
      <c r="L789" s="2" t="s">
        <v>30</v>
      </c>
      <c r="M789" s="2" t="s">
        <v>78</v>
      </c>
      <c r="N789" s="2" t="s">
        <v>66</v>
      </c>
    </row>
    <row r="790" spans="1:14" x14ac:dyDescent="0.3">
      <c r="A790" s="2" t="s">
        <v>14</v>
      </c>
      <c r="B790" s="3">
        <v>25</v>
      </c>
      <c r="C790" s="4" t="s">
        <v>69</v>
      </c>
      <c r="D790" s="2" t="s">
        <v>16</v>
      </c>
      <c r="E790" s="2" t="s">
        <v>23</v>
      </c>
      <c r="F790" s="5">
        <v>2</v>
      </c>
      <c r="G790" s="1">
        <v>12000000</v>
      </c>
      <c r="H790" s="2">
        <v>1</v>
      </c>
      <c r="I790" s="6">
        <v>3.2986111111111111E-3</v>
      </c>
      <c r="J790" s="2" t="s">
        <v>18</v>
      </c>
      <c r="K790" s="2" t="s">
        <v>56</v>
      </c>
      <c r="L790" s="2" t="s">
        <v>43</v>
      </c>
      <c r="M790" s="2" t="s">
        <v>77</v>
      </c>
      <c r="N790" s="2" t="s">
        <v>54</v>
      </c>
    </row>
    <row r="791" spans="1:14" x14ac:dyDescent="0.3">
      <c r="A791" s="2" t="s">
        <v>14</v>
      </c>
      <c r="B791" s="3">
        <v>23</v>
      </c>
      <c r="C791" s="4" t="s">
        <v>69</v>
      </c>
      <c r="D791" s="2" t="s">
        <v>16</v>
      </c>
      <c r="E791" s="2" t="s">
        <v>17</v>
      </c>
      <c r="F791" s="5">
        <v>2</v>
      </c>
      <c r="G791" s="1">
        <v>12000000</v>
      </c>
      <c r="H791" s="2">
        <v>1</v>
      </c>
      <c r="I791" s="6">
        <v>3.2986111111111111E-3</v>
      </c>
      <c r="J791" s="2" t="s">
        <v>18</v>
      </c>
      <c r="K791" s="2" t="s">
        <v>64</v>
      </c>
      <c r="L791" s="2" t="s">
        <v>48</v>
      </c>
      <c r="M791" s="2" t="s">
        <v>76</v>
      </c>
      <c r="N791" s="2" t="s">
        <v>26</v>
      </c>
    </row>
    <row r="792" spans="1:14" x14ac:dyDescent="0.3">
      <c r="A792" s="2" t="s">
        <v>14</v>
      </c>
      <c r="B792" s="3">
        <v>19</v>
      </c>
      <c r="C792" s="4" t="s">
        <v>22</v>
      </c>
      <c r="D792" s="2" t="s">
        <v>28</v>
      </c>
      <c r="E792" s="2" t="s">
        <v>45</v>
      </c>
      <c r="F792" s="5">
        <v>1</v>
      </c>
      <c r="G792" s="1">
        <v>7000000</v>
      </c>
      <c r="H792" s="2">
        <v>5</v>
      </c>
      <c r="I792" s="6">
        <v>3.2986111111111111E-3</v>
      </c>
      <c r="J792" s="2" t="s">
        <v>18</v>
      </c>
      <c r="K792" s="2" t="s">
        <v>24</v>
      </c>
      <c r="L792" s="2" t="s">
        <v>48</v>
      </c>
      <c r="M792" s="2" t="s">
        <v>78</v>
      </c>
      <c r="N792" s="2" t="s">
        <v>53</v>
      </c>
    </row>
    <row r="793" spans="1:14" x14ac:dyDescent="0.3">
      <c r="A793" s="2" t="s">
        <v>70</v>
      </c>
      <c r="B793" s="3">
        <v>11</v>
      </c>
      <c r="C793" s="4" t="s">
        <v>55</v>
      </c>
      <c r="D793" s="2" t="s">
        <v>38</v>
      </c>
      <c r="E793" s="2" t="s">
        <v>23</v>
      </c>
      <c r="F793" s="5">
        <v>0</v>
      </c>
      <c r="G793" s="1">
        <v>0</v>
      </c>
      <c r="H793" s="2">
        <v>4</v>
      </c>
      <c r="I793" s="6">
        <v>3.2986111111111111E-3</v>
      </c>
      <c r="J793" s="2"/>
      <c r="K793" s="2"/>
      <c r="L793" s="2" t="s">
        <v>30</v>
      </c>
      <c r="M793" s="2" t="s">
        <v>77</v>
      </c>
      <c r="N793" s="2" t="s">
        <v>65</v>
      </c>
    </row>
    <row r="794" spans="1:14" x14ac:dyDescent="0.3">
      <c r="A794" s="2" t="s">
        <v>70</v>
      </c>
      <c r="B794" s="3">
        <v>19</v>
      </c>
      <c r="C794" s="4" t="s">
        <v>27</v>
      </c>
      <c r="D794" s="2" t="s">
        <v>16</v>
      </c>
      <c r="E794" s="2" t="s">
        <v>42</v>
      </c>
      <c r="F794" s="5">
        <v>0</v>
      </c>
      <c r="G794" s="1">
        <v>0</v>
      </c>
      <c r="H794" s="2">
        <v>6</v>
      </c>
      <c r="I794" s="6">
        <v>3.2986111111111111E-3</v>
      </c>
      <c r="J794" s="2"/>
      <c r="K794" s="2"/>
      <c r="L794" s="2" t="s">
        <v>30</v>
      </c>
      <c r="M794" s="2" t="s">
        <v>76</v>
      </c>
      <c r="N794" s="2" t="s">
        <v>71</v>
      </c>
    </row>
    <row r="795" spans="1:14" x14ac:dyDescent="0.3">
      <c r="A795" s="2" t="s">
        <v>70</v>
      </c>
      <c r="B795" s="3">
        <v>18</v>
      </c>
      <c r="C795" s="4" t="s">
        <v>44</v>
      </c>
      <c r="D795" s="2" t="s">
        <v>73</v>
      </c>
      <c r="E795" s="2" t="s">
        <v>42</v>
      </c>
      <c r="F795" s="5">
        <v>0</v>
      </c>
      <c r="G795" s="1">
        <v>0</v>
      </c>
      <c r="H795" s="2">
        <v>4</v>
      </c>
      <c r="I795" s="6">
        <v>3.2986111111111111E-3</v>
      </c>
      <c r="J795" s="2"/>
      <c r="K795" s="2"/>
      <c r="L795" s="2" t="s">
        <v>51</v>
      </c>
      <c r="M795" s="2" t="s">
        <v>66</v>
      </c>
      <c r="N795" s="2" t="s">
        <v>67</v>
      </c>
    </row>
    <row r="796" spans="1:14" x14ac:dyDescent="0.3">
      <c r="A796" s="2" t="s">
        <v>70</v>
      </c>
      <c r="B796" s="3">
        <v>11</v>
      </c>
      <c r="C796" s="4" t="s">
        <v>55</v>
      </c>
      <c r="D796" s="2" t="s">
        <v>38</v>
      </c>
      <c r="E796" s="2" t="s">
        <v>23</v>
      </c>
      <c r="F796" s="5">
        <v>0</v>
      </c>
      <c r="G796" s="1">
        <v>0</v>
      </c>
      <c r="H796" s="2">
        <v>4</v>
      </c>
      <c r="I796" s="6">
        <v>3.2986111111111111E-3</v>
      </c>
      <c r="J796" s="2"/>
      <c r="K796" s="2"/>
      <c r="L796" s="2" t="s">
        <v>30</v>
      </c>
      <c r="M796" s="2" t="s">
        <v>77</v>
      </c>
      <c r="N796" s="2" t="s">
        <v>65</v>
      </c>
    </row>
    <row r="797" spans="1:14" x14ac:dyDescent="0.3">
      <c r="A797" s="2" t="s">
        <v>14</v>
      </c>
      <c r="B797" s="3">
        <v>13</v>
      </c>
      <c r="C797" s="4" t="s">
        <v>55</v>
      </c>
      <c r="D797" s="2" t="s">
        <v>49</v>
      </c>
      <c r="E797" s="2" t="s">
        <v>42</v>
      </c>
      <c r="F797" s="5">
        <v>2</v>
      </c>
      <c r="G797" s="1">
        <v>12000000</v>
      </c>
      <c r="H797" s="2">
        <v>1</v>
      </c>
      <c r="I797" s="6">
        <v>3.3333333333333335E-3</v>
      </c>
      <c r="J797" s="2" t="s">
        <v>18</v>
      </c>
      <c r="K797" s="2" t="s">
        <v>56</v>
      </c>
      <c r="L797" s="2" t="s">
        <v>30</v>
      </c>
      <c r="M797" s="2" t="s">
        <v>76</v>
      </c>
      <c r="N797" s="2" t="s">
        <v>26</v>
      </c>
    </row>
    <row r="798" spans="1:14" x14ac:dyDescent="0.3">
      <c r="A798" s="2" t="s">
        <v>14</v>
      </c>
      <c r="B798" s="3">
        <v>1</v>
      </c>
      <c r="C798" s="4" t="s">
        <v>59</v>
      </c>
      <c r="D798" s="2" t="s">
        <v>49</v>
      </c>
      <c r="E798" s="2" t="s">
        <v>23</v>
      </c>
      <c r="F798" s="5">
        <v>4</v>
      </c>
      <c r="G798" s="1">
        <v>20000000</v>
      </c>
      <c r="H798" s="2">
        <v>4</v>
      </c>
      <c r="I798" s="6">
        <v>3.3333333333333335E-3</v>
      </c>
      <c r="J798" s="2" t="s">
        <v>61</v>
      </c>
      <c r="K798" s="2" t="s">
        <v>64</v>
      </c>
      <c r="L798" s="2" t="s">
        <v>43</v>
      </c>
      <c r="M798" s="2" t="s">
        <v>78</v>
      </c>
      <c r="N798" s="2" t="s">
        <v>63</v>
      </c>
    </row>
    <row r="799" spans="1:14" x14ac:dyDescent="0.3">
      <c r="A799" s="2" t="s">
        <v>14</v>
      </c>
      <c r="B799" s="3">
        <v>12</v>
      </c>
      <c r="C799" s="4" t="s">
        <v>27</v>
      </c>
      <c r="D799" s="2" t="s">
        <v>49</v>
      </c>
      <c r="E799" s="2" t="s">
        <v>17</v>
      </c>
      <c r="F799" s="5">
        <v>2</v>
      </c>
      <c r="G799" s="1">
        <v>10000000</v>
      </c>
      <c r="H799" s="2">
        <v>5</v>
      </c>
      <c r="I799" s="6">
        <v>3.3333333333333335E-3</v>
      </c>
      <c r="J799" s="2" t="s">
        <v>18</v>
      </c>
      <c r="K799" s="2" t="s">
        <v>35</v>
      </c>
      <c r="L799" s="2" t="s">
        <v>51</v>
      </c>
      <c r="M799" s="2" t="s">
        <v>66</v>
      </c>
      <c r="N799" s="2" t="s">
        <v>67</v>
      </c>
    </row>
    <row r="800" spans="1:14" x14ac:dyDescent="0.3">
      <c r="A800" s="2" t="s">
        <v>14</v>
      </c>
      <c r="B800" s="3">
        <v>13</v>
      </c>
      <c r="C800" s="4" t="s">
        <v>37</v>
      </c>
      <c r="D800" s="2" t="s">
        <v>16</v>
      </c>
      <c r="E800" s="2" t="s">
        <v>23</v>
      </c>
      <c r="F800" s="5">
        <v>1</v>
      </c>
      <c r="G800" s="1">
        <v>19000000</v>
      </c>
      <c r="H800" s="2">
        <v>4</v>
      </c>
      <c r="I800" s="6">
        <v>3.3333333333333335E-3</v>
      </c>
      <c r="J800" s="2" t="s">
        <v>46</v>
      </c>
      <c r="K800" s="2" t="s">
        <v>56</v>
      </c>
      <c r="L800" s="2" t="s">
        <v>33</v>
      </c>
      <c r="M800" s="2" t="s">
        <v>76</v>
      </c>
      <c r="N800" s="2" t="s">
        <v>31</v>
      </c>
    </row>
    <row r="801" spans="1:14" x14ac:dyDescent="0.3">
      <c r="A801" s="2" t="s">
        <v>14</v>
      </c>
      <c r="B801" s="3">
        <v>8</v>
      </c>
      <c r="C801" s="4" t="s">
        <v>37</v>
      </c>
      <c r="D801" s="2" t="s">
        <v>49</v>
      </c>
      <c r="E801" s="2" t="s">
        <v>23</v>
      </c>
      <c r="F801" s="5">
        <v>3</v>
      </c>
      <c r="G801" s="1">
        <v>15000000</v>
      </c>
      <c r="H801" s="2">
        <v>3</v>
      </c>
      <c r="I801" s="6">
        <v>3.3333333333333335E-3</v>
      </c>
      <c r="J801" s="2" t="s">
        <v>18</v>
      </c>
      <c r="K801" s="2" t="s">
        <v>19</v>
      </c>
      <c r="L801" s="2" t="s">
        <v>40</v>
      </c>
      <c r="M801" s="2" t="s">
        <v>78</v>
      </c>
      <c r="N801" s="2" t="s">
        <v>41</v>
      </c>
    </row>
    <row r="802" spans="1:14" x14ac:dyDescent="0.3">
      <c r="A802" s="2" t="s">
        <v>14</v>
      </c>
      <c r="B802" s="3">
        <v>17</v>
      </c>
      <c r="C802" s="4" t="s">
        <v>44</v>
      </c>
      <c r="D802" s="2" t="s">
        <v>16</v>
      </c>
      <c r="E802" s="2" t="s">
        <v>42</v>
      </c>
      <c r="F802" s="5">
        <v>2</v>
      </c>
      <c r="G802" s="1">
        <v>12000000</v>
      </c>
      <c r="H802" s="2">
        <v>3</v>
      </c>
      <c r="I802" s="6">
        <v>3.3333333333333335E-3</v>
      </c>
      <c r="J802" s="2" t="s">
        <v>18</v>
      </c>
      <c r="K802" s="2" t="s">
        <v>29</v>
      </c>
      <c r="L802" s="2" t="s">
        <v>40</v>
      </c>
      <c r="M802" s="2" t="s">
        <v>66</v>
      </c>
      <c r="N802" s="2" t="s">
        <v>67</v>
      </c>
    </row>
    <row r="803" spans="1:14" x14ac:dyDescent="0.3">
      <c r="A803" s="2" t="s">
        <v>14</v>
      </c>
      <c r="B803" s="3">
        <v>12</v>
      </c>
      <c r="C803" s="4" t="s">
        <v>44</v>
      </c>
      <c r="D803" s="2" t="s">
        <v>28</v>
      </c>
      <c r="E803" s="2" t="s">
        <v>42</v>
      </c>
      <c r="F803" s="5">
        <v>3</v>
      </c>
      <c r="G803" s="1">
        <v>15000000</v>
      </c>
      <c r="H803" s="2">
        <v>1</v>
      </c>
      <c r="I803" s="6">
        <v>3.3333333333333335E-3</v>
      </c>
      <c r="J803" s="2" t="s">
        <v>18</v>
      </c>
      <c r="K803" s="2" t="s">
        <v>39</v>
      </c>
      <c r="L803" s="2" t="s">
        <v>48</v>
      </c>
      <c r="M803" s="2" t="s">
        <v>76</v>
      </c>
      <c r="N803" s="2" t="s">
        <v>52</v>
      </c>
    </row>
    <row r="804" spans="1:14" x14ac:dyDescent="0.3">
      <c r="A804" s="2" t="s">
        <v>14</v>
      </c>
      <c r="B804" s="3">
        <v>16</v>
      </c>
      <c r="C804" s="4" t="s">
        <v>69</v>
      </c>
      <c r="D804" s="2" t="s">
        <v>73</v>
      </c>
      <c r="E804" s="2" t="s">
        <v>23</v>
      </c>
      <c r="F804" s="5">
        <v>5</v>
      </c>
      <c r="G804" s="1">
        <v>25000000</v>
      </c>
      <c r="H804" s="2">
        <v>2</v>
      </c>
      <c r="I804" s="6">
        <v>3.3333333333333335E-3</v>
      </c>
      <c r="J804" s="2" t="s">
        <v>18</v>
      </c>
      <c r="K804" s="2" t="s">
        <v>19</v>
      </c>
      <c r="L804" s="2" t="s">
        <v>25</v>
      </c>
      <c r="M804" s="2" t="s">
        <v>77</v>
      </c>
      <c r="N804" s="2" t="s">
        <v>65</v>
      </c>
    </row>
    <row r="805" spans="1:14" x14ac:dyDescent="0.3">
      <c r="A805" s="2" t="s">
        <v>14</v>
      </c>
      <c r="B805" s="3">
        <v>13</v>
      </c>
      <c r="C805" s="4" t="s">
        <v>55</v>
      </c>
      <c r="D805" s="2" t="s">
        <v>49</v>
      </c>
      <c r="E805" s="2" t="s">
        <v>42</v>
      </c>
      <c r="F805" s="5">
        <v>2</v>
      </c>
      <c r="G805" s="1">
        <v>12000000</v>
      </c>
      <c r="H805" s="2">
        <v>1</v>
      </c>
      <c r="I805" s="6">
        <v>3.3333333333333335E-3</v>
      </c>
      <c r="J805" s="2" t="s">
        <v>18</v>
      </c>
      <c r="K805" s="2" t="s">
        <v>56</v>
      </c>
      <c r="L805" s="2" t="s">
        <v>30</v>
      </c>
      <c r="M805" s="2" t="s">
        <v>76</v>
      </c>
      <c r="N805" s="2" t="s">
        <v>26</v>
      </c>
    </row>
    <row r="806" spans="1:14" x14ac:dyDescent="0.3">
      <c r="A806" s="2" t="s">
        <v>14</v>
      </c>
      <c r="B806" s="3">
        <v>1</v>
      </c>
      <c r="C806" s="4" t="s">
        <v>59</v>
      </c>
      <c r="D806" s="2" t="s">
        <v>49</v>
      </c>
      <c r="E806" s="2" t="s">
        <v>23</v>
      </c>
      <c r="F806" s="5">
        <v>4</v>
      </c>
      <c r="G806" s="1">
        <v>20000000</v>
      </c>
      <c r="H806" s="2">
        <v>4</v>
      </c>
      <c r="I806" s="6">
        <v>3.3333333333333335E-3</v>
      </c>
      <c r="J806" s="2" t="s">
        <v>61</v>
      </c>
      <c r="K806" s="2" t="s">
        <v>64</v>
      </c>
      <c r="L806" s="2" t="s">
        <v>43</v>
      </c>
      <c r="M806" s="2" t="s">
        <v>78</v>
      </c>
      <c r="N806" s="2" t="s">
        <v>63</v>
      </c>
    </row>
    <row r="807" spans="1:14" x14ac:dyDescent="0.3">
      <c r="A807" s="2" t="s">
        <v>70</v>
      </c>
      <c r="B807" s="3">
        <v>12</v>
      </c>
      <c r="C807" s="4" t="s">
        <v>60</v>
      </c>
      <c r="D807" s="2" t="s">
        <v>16</v>
      </c>
      <c r="E807" s="2" t="s">
        <v>42</v>
      </c>
      <c r="F807" s="5">
        <v>0</v>
      </c>
      <c r="G807" s="1">
        <v>0</v>
      </c>
      <c r="H807" s="2">
        <v>2</v>
      </c>
      <c r="I807" s="6">
        <v>3.3333333333333335E-3</v>
      </c>
      <c r="J807" s="2"/>
      <c r="K807" s="2"/>
      <c r="L807" s="2" t="s">
        <v>20</v>
      </c>
      <c r="M807" s="2" t="s">
        <v>77</v>
      </c>
      <c r="N807" s="2" t="s">
        <v>34</v>
      </c>
    </row>
    <row r="808" spans="1:14" x14ac:dyDescent="0.3">
      <c r="A808" s="2" t="s">
        <v>70</v>
      </c>
      <c r="B808" s="3">
        <v>6</v>
      </c>
      <c r="C808" s="4" t="s">
        <v>27</v>
      </c>
      <c r="D808" s="2" t="s">
        <v>16</v>
      </c>
      <c r="E808" s="2" t="s">
        <v>23</v>
      </c>
      <c r="F808" s="5">
        <v>0</v>
      </c>
      <c r="G808" s="1">
        <v>0</v>
      </c>
      <c r="H808" s="2">
        <v>1</v>
      </c>
      <c r="I808" s="6">
        <v>3.3333333333333335E-3</v>
      </c>
      <c r="J808" s="2"/>
      <c r="K808" s="2"/>
      <c r="L808" s="2" t="s">
        <v>33</v>
      </c>
      <c r="M808" s="2" t="s">
        <v>76</v>
      </c>
      <c r="N808" s="2" t="s">
        <v>71</v>
      </c>
    </row>
    <row r="809" spans="1:14" x14ac:dyDescent="0.3">
      <c r="A809" s="2" t="s">
        <v>70</v>
      </c>
      <c r="B809" s="3">
        <v>17</v>
      </c>
      <c r="C809" s="4" t="s">
        <v>27</v>
      </c>
      <c r="D809" s="2" t="s">
        <v>16</v>
      </c>
      <c r="E809" s="2" t="s">
        <v>42</v>
      </c>
      <c r="F809" s="5">
        <v>0</v>
      </c>
      <c r="G809" s="1">
        <v>0</v>
      </c>
      <c r="H809" s="2">
        <v>4</v>
      </c>
      <c r="I809" s="6">
        <v>3.3333333333333335E-3</v>
      </c>
      <c r="J809" s="2"/>
      <c r="K809" s="2"/>
      <c r="L809" s="2" t="s">
        <v>20</v>
      </c>
      <c r="M809" s="2" t="s">
        <v>78</v>
      </c>
      <c r="N809" s="2" t="s">
        <v>66</v>
      </c>
    </row>
    <row r="810" spans="1:14" x14ac:dyDescent="0.3">
      <c r="A810" s="2" t="s">
        <v>70</v>
      </c>
      <c r="B810" s="3">
        <v>11</v>
      </c>
      <c r="C810" s="4" t="s">
        <v>44</v>
      </c>
      <c r="D810" s="2" t="s">
        <v>49</v>
      </c>
      <c r="E810" s="2" t="s">
        <v>17</v>
      </c>
      <c r="F810" s="5">
        <v>0</v>
      </c>
      <c r="G810" s="1">
        <v>0</v>
      </c>
      <c r="H810" s="2">
        <v>2</v>
      </c>
      <c r="I810" s="6">
        <v>3.3333333333333335E-3</v>
      </c>
      <c r="J810" s="2"/>
      <c r="K810" s="2"/>
      <c r="L810" s="2" t="s">
        <v>48</v>
      </c>
      <c r="M810" s="2" t="s">
        <v>78</v>
      </c>
      <c r="N810" s="2" t="s">
        <v>62</v>
      </c>
    </row>
    <row r="811" spans="1:14" x14ac:dyDescent="0.3">
      <c r="A811" s="2" t="s">
        <v>70</v>
      </c>
      <c r="B811" s="3">
        <v>12</v>
      </c>
      <c r="C811" s="4" t="s">
        <v>60</v>
      </c>
      <c r="D811" s="2" t="s">
        <v>16</v>
      </c>
      <c r="E811" s="2" t="s">
        <v>42</v>
      </c>
      <c r="F811" s="5">
        <v>0</v>
      </c>
      <c r="G811" s="1">
        <v>0</v>
      </c>
      <c r="H811" s="2">
        <v>2</v>
      </c>
      <c r="I811" s="6">
        <v>3.3333333333333335E-3</v>
      </c>
      <c r="J811" s="2"/>
      <c r="K811" s="2"/>
      <c r="L811" s="2" t="s">
        <v>20</v>
      </c>
      <c r="M811" s="2" t="s">
        <v>77</v>
      </c>
      <c r="N811" s="2" t="s">
        <v>34</v>
      </c>
    </row>
    <row r="812" spans="1:14" x14ac:dyDescent="0.3">
      <c r="A812" s="2" t="s">
        <v>14</v>
      </c>
      <c r="B812" s="3">
        <v>18</v>
      </c>
      <c r="C812" s="4" t="s">
        <v>57</v>
      </c>
      <c r="D812" s="2" t="s">
        <v>28</v>
      </c>
      <c r="E812" s="2" t="s">
        <v>42</v>
      </c>
      <c r="F812" s="5">
        <v>5</v>
      </c>
      <c r="G812" s="1">
        <v>20000000</v>
      </c>
      <c r="H812" s="2">
        <v>1</v>
      </c>
      <c r="I812" s="6">
        <v>3.6111111111111114E-3</v>
      </c>
      <c r="J812" s="2" t="s">
        <v>18</v>
      </c>
      <c r="K812" s="2" t="s">
        <v>64</v>
      </c>
      <c r="L812" s="2" t="s">
        <v>51</v>
      </c>
      <c r="M812" s="2" t="s">
        <v>77</v>
      </c>
      <c r="N812" s="2" t="s">
        <v>34</v>
      </c>
    </row>
    <row r="813" spans="1:14" x14ac:dyDescent="0.3">
      <c r="A813" s="2" t="s">
        <v>14</v>
      </c>
      <c r="B813" s="3">
        <v>11</v>
      </c>
      <c r="C813" s="4" t="s">
        <v>37</v>
      </c>
      <c r="D813" s="2" t="s">
        <v>16</v>
      </c>
      <c r="E813" s="2" t="s">
        <v>23</v>
      </c>
      <c r="F813" s="5">
        <v>2</v>
      </c>
      <c r="G813" s="1">
        <v>38000000</v>
      </c>
      <c r="H813" s="2">
        <v>2</v>
      </c>
      <c r="I813" s="6">
        <v>3.6111111111111114E-3</v>
      </c>
      <c r="J813" s="2" t="s">
        <v>46</v>
      </c>
      <c r="K813" s="2" t="s">
        <v>24</v>
      </c>
      <c r="L813" s="2" t="s">
        <v>43</v>
      </c>
      <c r="M813" s="2" t="s">
        <v>66</v>
      </c>
      <c r="N813" s="2" t="s">
        <v>67</v>
      </c>
    </row>
    <row r="814" spans="1:14" x14ac:dyDescent="0.3">
      <c r="A814" s="2" t="s">
        <v>14</v>
      </c>
      <c r="B814" s="3">
        <v>23</v>
      </c>
      <c r="C814" s="4" t="s">
        <v>37</v>
      </c>
      <c r="D814" s="2" t="s">
        <v>16</v>
      </c>
      <c r="E814" s="2" t="s">
        <v>17</v>
      </c>
      <c r="F814" s="5">
        <v>1</v>
      </c>
      <c r="G814" s="1">
        <v>19000000</v>
      </c>
      <c r="H814" s="2">
        <v>2</v>
      </c>
      <c r="I814" s="6">
        <v>3.6111111111111114E-3</v>
      </c>
      <c r="J814" s="2" t="s">
        <v>46</v>
      </c>
      <c r="K814" s="2" t="s">
        <v>56</v>
      </c>
      <c r="L814" s="2" t="s">
        <v>20</v>
      </c>
      <c r="M814" s="2" t="s">
        <v>78</v>
      </c>
      <c r="N814" s="2" t="s">
        <v>41</v>
      </c>
    </row>
    <row r="815" spans="1:14" x14ac:dyDescent="0.3">
      <c r="A815" s="2" t="s">
        <v>14</v>
      </c>
      <c r="B815" s="3">
        <v>28</v>
      </c>
      <c r="C815" s="4" t="s">
        <v>37</v>
      </c>
      <c r="D815" s="2" t="s">
        <v>49</v>
      </c>
      <c r="E815" s="2" t="s">
        <v>42</v>
      </c>
      <c r="F815" s="5">
        <v>1</v>
      </c>
      <c r="G815" s="1">
        <v>7000000</v>
      </c>
      <c r="H815" s="2">
        <v>4</v>
      </c>
      <c r="I815" s="6">
        <v>3.6111111111111114E-3</v>
      </c>
      <c r="J815" s="2" t="s">
        <v>18</v>
      </c>
      <c r="K815" s="2" t="s">
        <v>39</v>
      </c>
      <c r="L815" s="2" t="s">
        <v>43</v>
      </c>
      <c r="M815" s="2" t="s">
        <v>78</v>
      </c>
      <c r="N815" s="2" t="s">
        <v>62</v>
      </c>
    </row>
    <row r="816" spans="1:14" x14ac:dyDescent="0.3">
      <c r="A816" s="2" t="s">
        <v>14</v>
      </c>
      <c r="B816" s="3">
        <v>30</v>
      </c>
      <c r="C816" s="4" t="s">
        <v>37</v>
      </c>
      <c r="D816" s="2" t="s">
        <v>16</v>
      </c>
      <c r="E816" s="2" t="s">
        <v>23</v>
      </c>
      <c r="F816" s="5">
        <v>3</v>
      </c>
      <c r="G816" s="1">
        <v>12000000</v>
      </c>
      <c r="H816" s="2">
        <v>1</v>
      </c>
      <c r="I816" s="6">
        <v>3.6111111111111114E-3</v>
      </c>
      <c r="J816" s="2" t="s">
        <v>18</v>
      </c>
      <c r="K816" s="2" t="s">
        <v>19</v>
      </c>
      <c r="L816" s="2" t="s">
        <v>48</v>
      </c>
      <c r="M816" s="2" t="s">
        <v>78</v>
      </c>
      <c r="N816" s="2" t="s">
        <v>41</v>
      </c>
    </row>
    <row r="817" spans="1:14" x14ac:dyDescent="0.3">
      <c r="A817" s="2" t="s">
        <v>14</v>
      </c>
      <c r="B817" s="3">
        <v>22</v>
      </c>
      <c r="C817" s="4" t="s">
        <v>44</v>
      </c>
      <c r="D817" s="2" t="s">
        <v>32</v>
      </c>
      <c r="E817" s="2" t="s">
        <v>42</v>
      </c>
      <c r="F817" s="5">
        <v>4</v>
      </c>
      <c r="G817" s="1">
        <v>20000000</v>
      </c>
      <c r="H817" s="2">
        <v>2</v>
      </c>
      <c r="I817" s="6">
        <v>3.6111111111111114E-3</v>
      </c>
      <c r="J817" s="2" t="s">
        <v>61</v>
      </c>
      <c r="K817" s="2" t="s">
        <v>19</v>
      </c>
      <c r="L817" s="2" t="s">
        <v>30</v>
      </c>
      <c r="M817" s="2" t="s">
        <v>76</v>
      </c>
      <c r="N817" s="2" t="s">
        <v>31</v>
      </c>
    </row>
    <row r="818" spans="1:14" x14ac:dyDescent="0.3">
      <c r="A818" s="2" t="s">
        <v>14</v>
      </c>
      <c r="B818" s="3">
        <v>1</v>
      </c>
      <c r="C818" s="4" t="s">
        <v>44</v>
      </c>
      <c r="D818" s="2" t="s">
        <v>32</v>
      </c>
      <c r="E818" s="2" t="s">
        <v>17</v>
      </c>
      <c r="F818" s="5">
        <v>5</v>
      </c>
      <c r="G818" s="1">
        <v>25000000</v>
      </c>
      <c r="H818" s="2">
        <v>2</v>
      </c>
      <c r="I818" s="6">
        <v>3.6111111111111114E-3</v>
      </c>
      <c r="J818" s="2" t="s">
        <v>18</v>
      </c>
      <c r="K818" s="2" t="s">
        <v>29</v>
      </c>
      <c r="L818" s="2" t="s">
        <v>40</v>
      </c>
      <c r="M818" s="2" t="s">
        <v>77</v>
      </c>
      <c r="N818" s="2" t="s">
        <v>65</v>
      </c>
    </row>
    <row r="819" spans="1:14" x14ac:dyDescent="0.3">
      <c r="A819" s="2" t="s">
        <v>14</v>
      </c>
      <c r="B819" s="3">
        <v>24</v>
      </c>
      <c r="C819" s="4" t="s">
        <v>69</v>
      </c>
      <c r="D819" s="2" t="s">
        <v>73</v>
      </c>
      <c r="E819" s="2" t="s">
        <v>23</v>
      </c>
      <c r="F819" s="5">
        <v>3</v>
      </c>
      <c r="G819" s="1">
        <v>11000000</v>
      </c>
      <c r="H819" s="2">
        <v>4</v>
      </c>
      <c r="I819" s="6">
        <v>3.6111111111111114E-3</v>
      </c>
      <c r="J819" s="2" t="s">
        <v>18</v>
      </c>
      <c r="K819" s="2" t="s">
        <v>56</v>
      </c>
      <c r="L819" s="2" t="s">
        <v>33</v>
      </c>
      <c r="M819" s="2" t="s">
        <v>78</v>
      </c>
      <c r="N819" s="2" t="s">
        <v>53</v>
      </c>
    </row>
    <row r="820" spans="1:14" x14ac:dyDescent="0.3">
      <c r="A820" s="2" t="s">
        <v>14</v>
      </c>
      <c r="B820" s="3">
        <v>18</v>
      </c>
      <c r="C820" s="4" t="s">
        <v>57</v>
      </c>
      <c r="D820" s="2" t="s">
        <v>28</v>
      </c>
      <c r="E820" s="2" t="s">
        <v>42</v>
      </c>
      <c r="F820" s="5">
        <v>5</v>
      </c>
      <c r="G820" s="1">
        <v>20000000</v>
      </c>
      <c r="H820" s="2">
        <v>1</v>
      </c>
      <c r="I820" s="6">
        <v>3.6111111111111114E-3</v>
      </c>
      <c r="J820" s="2" t="s">
        <v>18</v>
      </c>
      <c r="K820" s="2" t="s">
        <v>64</v>
      </c>
      <c r="L820" s="2" t="s">
        <v>51</v>
      </c>
      <c r="M820" s="2" t="s">
        <v>77</v>
      </c>
      <c r="N820" s="2" t="s">
        <v>34</v>
      </c>
    </row>
    <row r="821" spans="1:14" x14ac:dyDescent="0.3">
      <c r="A821" s="2" t="s">
        <v>70</v>
      </c>
      <c r="B821" s="3">
        <v>3</v>
      </c>
      <c r="C821" s="4" t="s">
        <v>55</v>
      </c>
      <c r="D821" s="2" t="s">
        <v>32</v>
      </c>
      <c r="E821" s="2" t="s">
        <v>23</v>
      </c>
      <c r="F821" s="5">
        <v>0</v>
      </c>
      <c r="G821" s="1">
        <v>0</v>
      </c>
      <c r="H821" s="2">
        <v>1</v>
      </c>
      <c r="I821" s="6">
        <v>3.6111111111111114E-3</v>
      </c>
      <c r="J821" s="2"/>
      <c r="K821" s="2"/>
      <c r="L821" s="2" t="s">
        <v>25</v>
      </c>
      <c r="M821" s="2" t="s">
        <v>78</v>
      </c>
      <c r="N821" s="2" t="s">
        <v>53</v>
      </c>
    </row>
    <row r="822" spans="1:14" x14ac:dyDescent="0.3">
      <c r="A822" s="2" t="s">
        <v>70</v>
      </c>
      <c r="B822" s="3">
        <v>22</v>
      </c>
      <c r="C822" s="4" t="s">
        <v>27</v>
      </c>
      <c r="D822" s="2" t="s">
        <v>38</v>
      </c>
      <c r="E822" s="2" t="s">
        <v>68</v>
      </c>
      <c r="F822" s="5">
        <v>0</v>
      </c>
      <c r="G822" s="1">
        <v>0</v>
      </c>
      <c r="H822" s="2">
        <v>6</v>
      </c>
      <c r="I822" s="6">
        <v>3.6111111111111114E-3</v>
      </c>
      <c r="J822" s="2"/>
      <c r="K822" s="2"/>
      <c r="L822" s="2" t="s">
        <v>30</v>
      </c>
      <c r="M822" s="2" t="s">
        <v>78</v>
      </c>
      <c r="N822" s="2" t="s">
        <v>53</v>
      </c>
    </row>
    <row r="823" spans="1:14" x14ac:dyDescent="0.3">
      <c r="A823" s="2" t="s">
        <v>70</v>
      </c>
      <c r="B823" s="3">
        <v>5</v>
      </c>
      <c r="C823" s="4" t="s">
        <v>37</v>
      </c>
      <c r="D823" s="2" t="s">
        <v>38</v>
      </c>
      <c r="E823" s="2" t="s">
        <v>23</v>
      </c>
      <c r="F823" s="5">
        <v>0</v>
      </c>
      <c r="G823" s="1">
        <v>0</v>
      </c>
      <c r="H823" s="2">
        <v>3</v>
      </c>
      <c r="I823" s="6">
        <v>3.6111111111111114E-3</v>
      </c>
      <c r="J823" s="2"/>
      <c r="K823" s="2"/>
      <c r="L823" s="2" t="s">
        <v>30</v>
      </c>
      <c r="M823" s="2" t="s">
        <v>76</v>
      </c>
      <c r="N823" s="2" t="s">
        <v>75</v>
      </c>
    </row>
    <row r="824" spans="1:14" x14ac:dyDescent="0.3">
      <c r="A824" s="2" t="s">
        <v>70</v>
      </c>
      <c r="B824" s="3">
        <v>20</v>
      </c>
      <c r="C824" s="4" t="s">
        <v>44</v>
      </c>
      <c r="D824" s="2" t="s">
        <v>32</v>
      </c>
      <c r="E824" s="2" t="s">
        <v>45</v>
      </c>
      <c r="F824" s="5">
        <v>0</v>
      </c>
      <c r="G824" s="1">
        <v>0</v>
      </c>
      <c r="H824" s="2">
        <v>3</v>
      </c>
      <c r="I824" s="6">
        <v>3.6111111111111114E-3</v>
      </c>
      <c r="J824" s="2"/>
      <c r="K824" s="2"/>
      <c r="L824" s="2" t="s">
        <v>20</v>
      </c>
      <c r="M824" s="2" t="s">
        <v>76</v>
      </c>
      <c r="N824" s="2" t="s">
        <v>52</v>
      </c>
    </row>
    <row r="825" spans="1:14" x14ac:dyDescent="0.3">
      <c r="A825" s="2" t="s">
        <v>70</v>
      </c>
      <c r="B825" s="3">
        <v>29</v>
      </c>
      <c r="C825" s="4" t="s">
        <v>44</v>
      </c>
      <c r="D825" s="2" t="s">
        <v>32</v>
      </c>
      <c r="E825" s="2" t="s">
        <v>23</v>
      </c>
      <c r="F825" s="5">
        <v>0</v>
      </c>
      <c r="G825" s="1">
        <v>0</v>
      </c>
      <c r="H825" s="2">
        <v>2</v>
      </c>
      <c r="I825" s="6">
        <v>3.6111111111111114E-3</v>
      </c>
      <c r="J825" s="2"/>
      <c r="K825" s="2"/>
      <c r="L825" s="2" t="s">
        <v>48</v>
      </c>
      <c r="M825" s="2" t="s">
        <v>66</v>
      </c>
      <c r="N825" s="2" t="s">
        <v>67</v>
      </c>
    </row>
    <row r="826" spans="1:14" x14ac:dyDescent="0.3">
      <c r="A826" s="2" t="s">
        <v>70</v>
      </c>
      <c r="B826" s="3">
        <v>3</v>
      </c>
      <c r="C826" s="4" t="s">
        <v>55</v>
      </c>
      <c r="D826" s="2" t="s">
        <v>32</v>
      </c>
      <c r="E826" s="2" t="s">
        <v>23</v>
      </c>
      <c r="F826" s="5">
        <v>0</v>
      </c>
      <c r="G826" s="1">
        <v>0</v>
      </c>
      <c r="H826" s="2">
        <v>1</v>
      </c>
      <c r="I826" s="6">
        <v>3.6111111111111114E-3</v>
      </c>
      <c r="J826" s="2"/>
      <c r="K826" s="2"/>
      <c r="L826" s="2" t="s">
        <v>25</v>
      </c>
      <c r="M826" s="2" t="s">
        <v>78</v>
      </c>
      <c r="N826" s="2" t="s">
        <v>53</v>
      </c>
    </row>
    <row r="827" spans="1:14" x14ac:dyDescent="0.3">
      <c r="A827" s="2" t="s">
        <v>14</v>
      </c>
      <c r="B827" s="3">
        <v>1</v>
      </c>
      <c r="C827" s="4" t="s">
        <v>59</v>
      </c>
      <c r="D827" s="2" t="s">
        <v>73</v>
      </c>
      <c r="E827" s="2" t="s">
        <v>42</v>
      </c>
      <c r="F827" s="5">
        <v>2</v>
      </c>
      <c r="G827" s="1">
        <v>12000000</v>
      </c>
      <c r="H827" s="2">
        <v>3</v>
      </c>
      <c r="I827" s="6">
        <v>3.6342592592592594E-3</v>
      </c>
      <c r="J827" s="2" t="s">
        <v>18</v>
      </c>
      <c r="K827" s="2" t="s">
        <v>19</v>
      </c>
      <c r="L827" s="2" t="s">
        <v>33</v>
      </c>
      <c r="M827" s="2" t="s">
        <v>76</v>
      </c>
      <c r="N827" s="2" t="s">
        <v>26</v>
      </c>
    </row>
    <row r="828" spans="1:14" x14ac:dyDescent="0.3">
      <c r="A828" s="2" t="s">
        <v>14</v>
      </c>
      <c r="B828" s="3">
        <v>17</v>
      </c>
      <c r="C828" s="4" t="s">
        <v>22</v>
      </c>
      <c r="D828" s="2" t="s">
        <v>73</v>
      </c>
      <c r="E828" s="2" t="s">
        <v>42</v>
      </c>
      <c r="F828" s="5">
        <v>2</v>
      </c>
      <c r="G828" s="1">
        <v>12000000</v>
      </c>
      <c r="H828" s="2">
        <v>4</v>
      </c>
      <c r="I828" s="6">
        <v>3.6342592592592594E-3</v>
      </c>
      <c r="J828" s="2" t="s">
        <v>18</v>
      </c>
      <c r="K828" s="2" t="s">
        <v>29</v>
      </c>
      <c r="L828" s="2" t="s">
        <v>43</v>
      </c>
      <c r="M828" s="2" t="s">
        <v>77</v>
      </c>
      <c r="N828" s="2" t="s">
        <v>54</v>
      </c>
    </row>
    <row r="829" spans="1:14" x14ac:dyDescent="0.3">
      <c r="A829" s="2" t="s">
        <v>14</v>
      </c>
      <c r="B829" s="3">
        <v>9</v>
      </c>
      <c r="C829" s="4" t="s">
        <v>27</v>
      </c>
      <c r="D829" s="2" t="s">
        <v>38</v>
      </c>
      <c r="E829" s="2" t="s">
        <v>42</v>
      </c>
      <c r="F829" s="5">
        <v>5</v>
      </c>
      <c r="G829" s="1">
        <v>25000000</v>
      </c>
      <c r="H829" s="2">
        <v>2</v>
      </c>
      <c r="I829" s="6">
        <v>3.6342592592592594E-3</v>
      </c>
      <c r="J829" s="2" t="s">
        <v>18</v>
      </c>
      <c r="K829" s="2" t="s">
        <v>35</v>
      </c>
      <c r="L829" s="2" t="s">
        <v>33</v>
      </c>
      <c r="M829" s="2" t="s">
        <v>78</v>
      </c>
      <c r="N829" s="2" t="s">
        <v>63</v>
      </c>
    </row>
    <row r="830" spans="1:14" x14ac:dyDescent="0.3">
      <c r="A830" s="2" t="s">
        <v>14</v>
      </c>
      <c r="B830" s="3">
        <v>29</v>
      </c>
      <c r="C830" s="4" t="s">
        <v>27</v>
      </c>
      <c r="D830" s="2" t="s">
        <v>16</v>
      </c>
      <c r="E830" s="2" t="s">
        <v>45</v>
      </c>
      <c r="F830" s="5">
        <v>1</v>
      </c>
      <c r="G830" s="1">
        <v>7000000</v>
      </c>
      <c r="H830" s="2">
        <v>4</v>
      </c>
      <c r="I830" s="6">
        <v>3.6342592592592594E-3</v>
      </c>
      <c r="J830" s="2" t="s">
        <v>18</v>
      </c>
      <c r="K830" s="2" t="s">
        <v>29</v>
      </c>
      <c r="L830" s="2" t="s">
        <v>48</v>
      </c>
      <c r="M830" s="2" t="s">
        <v>77</v>
      </c>
      <c r="N830" s="2" t="s">
        <v>34</v>
      </c>
    </row>
    <row r="831" spans="1:14" x14ac:dyDescent="0.3">
      <c r="A831" s="2" t="s">
        <v>14</v>
      </c>
      <c r="B831" s="3">
        <v>11</v>
      </c>
      <c r="C831" s="4" t="s">
        <v>37</v>
      </c>
      <c r="D831" s="2" t="s">
        <v>32</v>
      </c>
      <c r="E831" s="2" t="s">
        <v>42</v>
      </c>
      <c r="F831" s="5">
        <v>2</v>
      </c>
      <c r="G831" s="1">
        <v>38000000</v>
      </c>
      <c r="H831" s="2">
        <v>3</v>
      </c>
      <c r="I831" s="6">
        <v>3.6342592592592594E-3</v>
      </c>
      <c r="J831" s="2" t="s">
        <v>46</v>
      </c>
      <c r="K831" s="2" t="s">
        <v>39</v>
      </c>
      <c r="L831" s="2" t="s">
        <v>43</v>
      </c>
      <c r="M831" s="2" t="s">
        <v>78</v>
      </c>
      <c r="N831" s="2" t="s">
        <v>41</v>
      </c>
    </row>
    <row r="832" spans="1:14" x14ac:dyDescent="0.3">
      <c r="A832" s="2" t="s">
        <v>14</v>
      </c>
      <c r="B832" s="3">
        <v>17</v>
      </c>
      <c r="C832" s="4" t="s">
        <v>37</v>
      </c>
      <c r="D832" s="2" t="s">
        <v>28</v>
      </c>
      <c r="E832" s="2" t="s">
        <v>17</v>
      </c>
      <c r="F832" s="5">
        <v>1</v>
      </c>
      <c r="G832" s="1">
        <v>19000000</v>
      </c>
      <c r="H832" s="2">
        <v>2</v>
      </c>
      <c r="I832" s="6">
        <v>3.6342592592592594E-3</v>
      </c>
      <c r="J832" s="2" t="s">
        <v>46</v>
      </c>
      <c r="K832" s="2" t="s">
        <v>24</v>
      </c>
      <c r="L832" s="2" t="s">
        <v>25</v>
      </c>
      <c r="M832" s="2" t="s">
        <v>76</v>
      </c>
      <c r="N832" s="2" t="s">
        <v>26</v>
      </c>
    </row>
    <row r="833" spans="1:14" x14ac:dyDescent="0.3">
      <c r="A833" s="2" t="s">
        <v>14</v>
      </c>
      <c r="B833" s="3">
        <v>4</v>
      </c>
      <c r="C833" s="4" t="s">
        <v>37</v>
      </c>
      <c r="D833" s="2" t="s">
        <v>16</v>
      </c>
      <c r="E833" s="2" t="s">
        <v>42</v>
      </c>
      <c r="F833" s="5">
        <v>4</v>
      </c>
      <c r="G833" s="1">
        <v>15000000</v>
      </c>
      <c r="H833" s="2">
        <v>5</v>
      </c>
      <c r="I833" s="6">
        <v>3.6342592592592594E-3</v>
      </c>
      <c r="J833" s="2" t="s">
        <v>18</v>
      </c>
      <c r="K833" s="2" t="s">
        <v>29</v>
      </c>
      <c r="L833" s="2" t="s">
        <v>40</v>
      </c>
      <c r="M833" s="2" t="s">
        <v>78</v>
      </c>
      <c r="N833" s="2" t="s">
        <v>66</v>
      </c>
    </row>
    <row r="834" spans="1:14" x14ac:dyDescent="0.3">
      <c r="A834" s="2" t="s">
        <v>14</v>
      </c>
      <c r="B834" s="3">
        <v>1</v>
      </c>
      <c r="C834" s="4" t="s">
        <v>37</v>
      </c>
      <c r="D834" s="2" t="s">
        <v>38</v>
      </c>
      <c r="E834" s="2" t="s">
        <v>17</v>
      </c>
      <c r="F834" s="5">
        <v>3</v>
      </c>
      <c r="G834" s="1">
        <v>15000000</v>
      </c>
      <c r="H834" s="2">
        <v>5</v>
      </c>
      <c r="I834" s="6">
        <v>3.6342592592592594E-3</v>
      </c>
      <c r="J834" s="2" t="s">
        <v>18</v>
      </c>
      <c r="K834" s="2" t="s">
        <v>29</v>
      </c>
      <c r="L834" s="2" t="s">
        <v>20</v>
      </c>
      <c r="M834" s="2" t="s">
        <v>78</v>
      </c>
      <c r="N834" s="2" t="s">
        <v>53</v>
      </c>
    </row>
    <row r="835" spans="1:14" x14ac:dyDescent="0.3">
      <c r="A835" s="2" t="s">
        <v>14</v>
      </c>
      <c r="B835" s="3">
        <v>11</v>
      </c>
      <c r="C835" s="4" t="s">
        <v>44</v>
      </c>
      <c r="D835" s="2" t="s">
        <v>16</v>
      </c>
      <c r="E835" s="2" t="s">
        <v>42</v>
      </c>
      <c r="F835" s="5">
        <v>3</v>
      </c>
      <c r="G835" s="1">
        <v>11000000</v>
      </c>
      <c r="H835" s="2">
        <v>1</v>
      </c>
      <c r="I835" s="6">
        <v>3.6342592592592594E-3</v>
      </c>
      <c r="J835" s="2" t="s">
        <v>18</v>
      </c>
      <c r="K835" s="2" t="s">
        <v>19</v>
      </c>
      <c r="L835" s="2" t="s">
        <v>33</v>
      </c>
      <c r="M835" s="2" t="s">
        <v>76</v>
      </c>
      <c r="N835" s="2" t="s">
        <v>26</v>
      </c>
    </row>
    <row r="836" spans="1:14" x14ac:dyDescent="0.3">
      <c r="A836" s="2" t="s">
        <v>14</v>
      </c>
      <c r="B836" s="3">
        <v>4</v>
      </c>
      <c r="C836" s="4" t="s">
        <v>44</v>
      </c>
      <c r="D836" s="2" t="s">
        <v>16</v>
      </c>
      <c r="E836" s="2" t="s">
        <v>23</v>
      </c>
      <c r="F836" s="5">
        <v>2</v>
      </c>
      <c r="G836" s="1">
        <v>12000000</v>
      </c>
      <c r="H836" s="2">
        <v>1</v>
      </c>
      <c r="I836" s="6">
        <v>3.6342592592592594E-3</v>
      </c>
      <c r="J836" s="2" t="s">
        <v>18</v>
      </c>
      <c r="K836" s="2" t="s">
        <v>24</v>
      </c>
      <c r="L836" s="2" t="s">
        <v>43</v>
      </c>
      <c r="M836" s="2" t="s">
        <v>66</v>
      </c>
      <c r="N836" s="2" t="s">
        <v>36</v>
      </c>
    </row>
    <row r="837" spans="1:14" x14ac:dyDescent="0.3">
      <c r="A837" s="2" t="s">
        <v>14</v>
      </c>
      <c r="B837" s="3">
        <v>1</v>
      </c>
      <c r="C837" s="4" t="s">
        <v>59</v>
      </c>
      <c r="D837" s="2" t="s">
        <v>73</v>
      </c>
      <c r="E837" s="2" t="s">
        <v>42</v>
      </c>
      <c r="F837" s="5">
        <v>2</v>
      </c>
      <c r="G837" s="1">
        <v>12000000</v>
      </c>
      <c r="H837" s="2">
        <v>3</v>
      </c>
      <c r="I837" s="6">
        <v>3.6342592592592594E-3</v>
      </c>
      <c r="J837" s="2" t="s">
        <v>18</v>
      </c>
      <c r="K837" s="2" t="s">
        <v>19</v>
      </c>
      <c r="L837" s="2" t="s">
        <v>33</v>
      </c>
      <c r="M837" s="2" t="s">
        <v>76</v>
      </c>
      <c r="N837" s="2" t="s">
        <v>26</v>
      </c>
    </row>
    <row r="838" spans="1:14" x14ac:dyDescent="0.3">
      <c r="A838" s="2" t="s">
        <v>14</v>
      </c>
      <c r="B838" s="3">
        <v>17</v>
      </c>
      <c r="C838" s="4" t="s">
        <v>22</v>
      </c>
      <c r="D838" s="2" t="s">
        <v>73</v>
      </c>
      <c r="E838" s="2" t="s">
        <v>42</v>
      </c>
      <c r="F838" s="5">
        <v>2</v>
      </c>
      <c r="G838" s="1">
        <v>12000000</v>
      </c>
      <c r="H838" s="2">
        <v>4</v>
      </c>
      <c r="I838" s="6">
        <v>3.6342592592592594E-3</v>
      </c>
      <c r="J838" s="2" t="s">
        <v>18</v>
      </c>
      <c r="K838" s="2" t="s">
        <v>29</v>
      </c>
      <c r="L838" s="2" t="s">
        <v>43</v>
      </c>
      <c r="M838" s="2" t="s">
        <v>77</v>
      </c>
      <c r="N838" s="2" t="s">
        <v>54</v>
      </c>
    </row>
    <row r="839" spans="1:14" x14ac:dyDescent="0.3">
      <c r="A839" s="2" t="s">
        <v>70</v>
      </c>
      <c r="B839" s="3">
        <v>11</v>
      </c>
      <c r="C839" s="4" t="s">
        <v>22</v>
      </c>
      <c r="D839" s="2" t="s">
        <v>16</v>
      </c>
      <c r="E839" s="2" t="s">
        <v>17</v>
      </c>
      <c r="F839" s="5">
        <v>0</v>
      </c>
      <c r="G839" s="1">
        <v>0</v>
      </c>
      <c r="H839" s="2">
        <v>1</v>
      </c>
      <c r="I839" s="6">
        <v>3.6342592592592594E-3</v>
      </c>
      <c r="J839" s="2"/>
      <c r="K839" s="2"/>
      <c r="L839" s="2" t="s">
        <v>20</v>
      </c>
      <c r="M839" s="2" t="s">
        <v>76</v>
      </c>
      <c r="N839" s="2" t="s">
        <v>71</v>
      </c>
    </row>
    <row r="840" spans="1:14" x14ac:dyDescent="0.3">
      <c r="A840" s="2" t="s">
        <v>70</v>
      </c>
      <c r="B840" s="3">
        <v>12</v>
      </c>
      <c r="C840" s="4" t="s">
        <v>22</v>
      </c>
      <c r="D840" s="2" t="s">
        <v>49</v>
      </c>
      <c r="E840" s="2" t="s">
        <v>42</v>
      </c>
      <c r="F840" s="5">
        <v>0</v>
      </c>
      <c r="G840" s="1">
        <v>0</v>
      </c>
      <c r="H840" s="2">
        <v>1</v>
      </c>
      <c r="I840" s="6">
        <v>3.6342592592592594E-3</v>
      </c>
      <c r="J840" s="2"/>
      <c r="K840" s="2"/>
      <c r="L840" s="2" t="s">
        <v>30</v>
      </c>
      <c r="M840" s="2" t="s">
        <v>76</v>
      </c>
      <c r="N840" s="2" t="s">
        <v>26</v>
      </c>
    </row>
    <row r="841" spans="1:14" x14ac:dyDescent="0.3">
      <c r="A841" s="2" t="s">
        <v>70</v>
      </c>
      <c r="B841" s="3">
        <v>25</v>
      </c>
      <c r="C841" s="4" t="s">
        <v>37</v>
      </c>
      <c r="D841" s="2" t="s">
        <v>49</v>
      </c>
      <c r="E841" s="2" t="s">
        <v>23</v>
      </c>
      <c r="F841" s="5">
        <v>0</v>
      </c>
      <c r="G841" s="1">
        <v>0</v>
      </c>
      <c r="H841" s="2">
        <v>1</v>
      </c>
      <c r="I841" s="6">
        <v>3.6342592592592594E-3</v>
      </c>
      <c r="J841" s="2"/>
      <c r="K841" s="2"/>
      <c r="L841" s="2" t="s">
        <v>51</v>
      </c>
      <c r="M841" s="2" t="s">
        <v>78</v>
      </c>
      <c r="N841" s="2" t="s">
        <v>41</v>
      </c>
    </row>
    <row r="842" spans="1:14" x14ac:dyDescent="0.3">
      <c r="A842" s="2" t="s">
        <v>14</v>
      </c>
      <c r="B842" s="3">
        <v>8</v>
      </c>
      <c r="C842" s="4" t="s">
        <v>55</v>
      </c>
      <c r="D842" s="2" t="s">
        <v>32</v>
      </c>
      <c r="E842" s="2" t="s">
        <v>17</v>
      </c>
      <c r="F842" s="5">
        <v>3</v>
      </c>
      <c r="G842" s="1">
        <v>15000000</v>
      </c>
      <c r="H842" s="2">
        <v>5</v>
      </c>
      <c r="I842" s="6">
        <v>3.645833333333333E-3</v>
      </c>
      <c r="J842" s="2" t="s">
        <v>18</v>
      </c>
      <c r="K842" s="2" t="s">
        <v>56</v>
      </c>
      <c r="L842" s="2" t="s">
        <v>25</v>
      </c>
      <c r="M842" s="2" t="s">
        <v>78</v>
      </c>
      <c r="N842" s="2" t="s">
        <v>53</v>
      </c>
    </row>
    <row r="843" spans="1:14" x14ac:dyDescent="0.3">
      <c r="A843" s="2" t="s">
        <v>14</v>
      </c>
      <c r="B843" s="3">
        <v>12</v>
      </c>
      <c r="C843" s="4" t="s">
        <v>60</v>
      </c>
      <c r="D843" s="2" t="s">
        <v>32</v>
      </c>
      <c r="E843" s="2" t="s">
        <v>17</v>
      </c>
      <c r="F843" s="5">
        <v>5</v>
      </c>
      <c r="G843" s="1">
        <v>25000000</v>
      </c>
      <c r="H843" s="2">
        <v>1</v>
      </c>
      <c r="I843" s="6">
        <v>3.645833333333333E-3</v>
      </c>
      <c r="J843" s="2" t="s">
        <v>18</v>
      </c>
      <c r="K843" s="2" t="s">
        <v>64</v>
      </c>
      <c r="L843" s="2" t="s">
        <v>43</v>
      </c>
      <c r="M843" s="2" t="s">
        <v>76</v>
      </c>
      <c r="N843" s="2" t="s">
        <v>52</v>
      </c>
    </row>
    <row r="844" spans="1:14" x14ac:dyDescent="0.3">
      <c r="A844" s="2" t="s">
        <v>14</v>
      </c>
      <c r="B844" s="3">
        <v>30</v>
      </c>
      <c r="C844" s="4" t="s">
        <v>27</v>
      </c>
      <c r="D844" s="2" t="s">
        <v>32</v>
      </c>
      <c r="E844" s="2" t="s">
        <v>42</v>
      </c>
      <c r="F844" s="5">
        <v>4</v>
      </c>
      <c r="G844" s="1">
        <v>20000000</v>
      </c>
      <c r="H844" s="2">
        <v>3</v>
      </c>
      <c r="I844" s="6">
        <v>3.645833333333333E-3</v>
      </c>
      <c r="J844" s="2" t="s">
        <v>18</v>
      </c>
      <c r="K844" s="2" t="s">
        <v>19</v>
      </c>
      <c r="L844" s="2" t="s">
        <v>40</v>
      </c>
      <c r="M844" s="2" t="s">
        <v>77</v>
      </c>
      <c r="N844" s="2" t="s">
        <v>34</v>
      </c>
    </row>
    <row r="845" spans="1:14" x14ac:dyDescent="0.3">
      <c r="A845" s="2" t="s">
        <v>14</v>
      </c>
      <c r="B845" s="3">
        <v>18</v>
      </c>
      <c r="C845" s="4" t="s">
        <v>44</v>
      </c>
      <c r="D845" s="2" t="s">
        <v>49</v>
      </c>
      <c r="E845" s="2" t="s">
        <v>17</v>
      </c>
      <c r="F845" s="5">
        <v>4</v>
      </c>
      <c r="G845" s="1">
        <v>11000000</v>
      </c>
      <c r="H845" s="2">
        <v>1</v>
      </c>
      <c r="I845" s="6">
        <v>3.645833333333333E-3</v>
      </c>
      <c r="J845" s="2" t="s">
        <v>61</v>
      </c>
      <c r="K845" s="2" t="s">
        <v>39</v>
      </c>
      <c r="L845" s="2" t="s">
        <v>48</v>
      </c>
      <c r="M845" s="2" t="s">
        <v>76</v>
      </c>
      <c r="N845" s="2" t="s">
        <v>52</v>
      </c>
    </row>
    <row r="846" spans="1:14" x14ac:dyDescent="0.3">
      <c r="A846" s="2" t="s">
        <v>14</v>
      </c>
      <c r="B846" s="3">
        <v>3</v>
      </c>
      <c r="C846" s="4" t="s">
        <v>44</v>
      </c>
      <c r="D846" s="2" t="s">
        <v>28</v>
      </c>
      <c r="E846" s="2" t="s">
        <v>42</v>
      </c>
      <c r="F846" s="5">
        <v>2</v>
      </c>
      <c r="G846" s="1">
        <v>12000000</v>
      </c>
      <c r="H846" s="2">
        <v>4</v>
      </c>
      <c r="I846" s="6">
        <v>3.645833333333333E-3</v>
      </c>
      <c r="J846" s="2" t="s">
        <v>18</v>
      </c>
      <c r="K846" s="2" t="s">
        <v>35</v>
      </c>
      <c r="L846" s="2" t="s">
        <v>40</v>
      </c>
      <c r="M846" s="2" t="s">
        <v>78</v>
      </c>
      <c r="N846" s="2" t="s">
        <v>62</v>
      </c>
    </row>
    <row r="847" spans="1:14" x14ac:dyDescent="0.3">
      <c r="A847" s="2" t="s">
        <v>14</v>
      </c>
      <c r="B847" s="3">
        <v>7</v>
      </c>
      <c r="C847" s="4" t="s">
        <v>44</v>
      </c>
      <c r="D847" s="2" t="s">
        <v>28</v>
      </c>
      <c r="E847" s="2" t="s">
        <v>42</v>
      </c>
      <c r="F847" s="5">
        <v>3</v>
      </c>
      <c r="G847" s="1">
        <v>15000000</v>
      </c>
      <c r="H847" s="2">
        <v>5</v>
      </c>
      <c r="I847" s="6">
        <v>3.645833333333333E-3</v>
      </c>
      <c r="J847" s="2" t="s">
        <v>18</v>
      </c>
      <c r="K847" s="2" t="s">
        <v>56</v>
      </c>
      <c r="L847" s="2" t="s">
        <v>33</v>
      </c>
      <c r="M847" s="2" t="s">
        <v>76</v>
      </c>
      <c r="N847" s="2" t="s">
        <v>31</v>
      </c>
    </row>
    <row r="848" spans="1:14" x14ac:dyDescent="0.3">
      <c r="A848" s="2" t="s">
        <v>14</v>
      </c>
      <c r="B848" s="3">
        <v>19</v>
      </c>
      <c r="C848" s="4" t="s">
        <v>44</v>
      </c>
      <c r="D848" s="2" t="s">
        <v>49</v>
      </c>
      <c r="E848" s="2" t="s">
        <v>23</v>
      </c>
      <c r="F848" s="5">
        <v>3</v>
      </c>
      <c r="G848" s="1">
        <v>15000000</v>
      </c>
      <c r="H848" s="2">
        <v>3</v>
      </c>
      <c r="I848" s="6">
        <v>3.645833333333333E-3</v>
      </c>
      <c r="J848" s="2" t="s">
        <v>18</v>
      </c>
      <c r="K848" s="2" t="s">
        <v>29</v>
      </c>
      <c r="L848" s="2" t="s">
        <v>30</v>
      </c>
      <c r="M848" s="2" t="s">
        <v>78</v>
      </c>
      <c r="N848" s="2" t="s">
        <v>41</v>
      </c>
    </row>
    <row r="849" spans="1:14" x14ac:dyDescent="0.3">
      <c r="A849" s="2" t="s">
        <v>14</v>
      </c>
      <c r="B849" s="3">
        <v>13</v>
      </c>
      <c r="C849" s="4" t="s">
        <v>69</v>
      </c>
      <c r="D849" s="2" t="s">
        <v>16</v>
      </c>
      <c r="E849" s="2" t="s">
        <v>45</v>
      </c>
      <c r="F849" s="5">
        <v>2</v>
      </c>
      <c r="G849" s="1">
        <v>38000000</v>
      </c>
      <c r="H849" s="2">
        <v>2</v>
      </c>
      <c r="I849" s="6">
        <v>3.645833333333333E-3</v>
      </c>
      <c r="J849" s="2" t="s">
        <v>46</v>
      </c>
      <c r="K849" s="2" t="s">
        <v>39</v>
      </c>
      <c r="L849" s="2" t="s">
        <v>20</v>
      </c>
      <c r="M849" s="2" t="s">
        <v>66</v>
      </c>
      <c r="N849" s="2" t="s">
        <v>67</v>
      </c>
    </row>
    <row r="850" spans="1:14" x14ac:dyDescent="0.3">
      <c r="A850" s="2" t="s">
        <v>14</v>
      </c>
      <c r="B850" s="3">
        <v>14</v>
      </c>
      <c r="C850" s="4" t="s">
        <v>69</v>
      </c>
      <c r="D850" s="2" t="s">
        <v>28</v>
      </c>
      <c r="E850" s="2" t="s">
        <v>17</v>
      </c>
      <c r="F850" s="5">
        <v>2</v>
      </c>
      <c r="G850" s="1">
        <v>12000000</v>
      </c>
      <c r="H850" s="2">
        <v>2</v>
      </c>
      <c r="I850" s="6">
        <v>3.645833333333333E-3</v>
      </c>
      <c r="J850" s="2" t="s">
        <v>18</v>
      </c>
      <c r="K850" s="2" t="s">
        <v>24</v>
      </c>
      <c r="L850" s="2" t="s">
        <v>43</v>
      </c>
      <c r="M850" s="2" t="s">
        <v>76</v>
      </c>
      <c r="N850" s="2" t="s">
        <v>31</v>
      </c>
    </row>
    <row r="851" spans="1:14" x14ac:dyDescent="0.3">
      <c r="A851" s="2" t="s">
        <v>14</v>
      </c>
      <c r="B851" s="3">
        <v>8</v>
      </c>
      <c r="C851" s="4" t="s">
        <v>55</v>
      </c>
      <c r="D851" s="2" t="s">
        <v>32</v>
      </c>
      <c r="E851" s="2" t="s">
        <v>17</v>
      </c>
      <c r="F851" s="5">
        <v>3</v>
      </c>
      <c r="G851" s="1">
        <v>15000000</v>
      </c>
      <c r="H851" s="2">
        <v>5</v>
      </c>
      <c r="I851" s="6">
        <v>3.645833333333333E-3</v>
      </c>
      <c r="J851" s="2" t="s">
        <v>18</v>
      </c>
      <c r="K851" s="2" t="s">
        <v>56</v>
      </c>
      <c r="L851" s="2" t="s">
        <v>25</v>
      </c>
      <c r="M851" s="2" t="s">
        <v>78</v>
      </c>
      <c r="N851" s="2" t="s">
        <v>53</v>
      </c>
    </row>
    <row r="852" spans="1:14" x14ac:dyDescent="0.3">
      <c r="A852" s="2" t="s">
        <v>14</v>
      </c>
      <c r="B852" s="3">
        <v>12</v>
      </c>
      <c r="C852" s="4" t="s">
        <v>60</v>
      </c>
      <c r="D852" s="2" t="s">
        <v>32</v>
      </c>
      <c r="E852" s="2" t="s">
        <v>17</v>
      </c>
      <c r="F852" s="5">
        <v>5</v>
      </c>
      <c r="G852" s="1">
        <v>25000000</v>
      </c>
      <c r="H852" s="2">
        <v>1</v>
      </c>
      <c r="I852" s="6">
        <v>3.645833333333333E-3</v>
      </c>
      <c r="J852" s="2" t="s">
        <v>18</v>
      </c>
      <c r="K852" s="2" t="s">
        <v>64</v>
      </c>
      <c r="L852" s="2" t="s">
        <v>43</v>
      </c>
      <c r="M852" s="2" t="s">
        <v>76</v>
      </c>
      <c r="N852" s="2" t="s">
        <v>52</v>
      </c>
    </row>
    <row r="853" spans="1:14" x14ac:dyDescent="0.3">
      <c r="A853" s="2" t="s">
        <v>70</v>
      </c>
      <c r="B853" s="3">
        <v>29</v>
      </c>
      <c r="C853" s="4" t="s">
        <v>59</v>
      </c>
      <c r="D853" s="2" t="s">
        <v>28</v>
      </c>
      <c r="E853" s="2" t="s">
        <v>17</v>
      </c>
      <c r="F853" s="5">
        <v>0</v>
      </c>
      <c r="G853" s="1">
        <v>0</v>
      </c>
      <c r="H853" s="2">
        <v>2</v>
      </c>
      <c r="I853" s="6">
        <v>3.645833333333333E-3</v>
      </c>
      <c r="J853" s="2"/>
      <c r="K853" s="2"/>
      <c r="L853" s="2" t="s">
        <v>33</v>
      </c>
      <c r="M853" s="2" t="s">
        <v>77</v>
      </c>
      <c r="N853" s="2" t="s">
        <v>54</v>
      </c>
    </row>
    <row r="854" spans="1:14" x14ac:dyDescent="0.3">
      <c r="A854" s="2" t="s">
        <v>70</v>
      </c>
      <c r="B854" s="3">
        <v>5</v>
      </c>
      <c r="C854" s="4" t="s">
        <v>37</v>
      </c>
      <c r="D854" s="2" t="s">
        <v>32</v>
      </c>
      <c r="E854" s="2" t="s">
        <v>17</v>
      </c>
      <c r="F854" s="5">
        <v>0</v>
      </c>
      <c r="G854" s="1">
        <v>0</v>
      </c>
      <c r="H854" s="2">
        <v>5</v>
      </c>
      <c r="I854" s="6">
        <v>3.645833333333333E-3</v>
      </c>
      <c r="J854" s="2"/>
      <c r="K854" s="2"/>
      <c r="L854" s="2" t="s">
        <v>48</v>
      </c>
      <c r="M854" s="2" t="s">
        <v>78</v>
      </c>
      <c r="N854" s="2" t="s">
        <v>41</v>
      </c>
    </row>
    <row r="855" spans="1:14" x14ac:dyDescent="0.3">
      <c r="A855" s="2" t="s">
        <v>70</v>
      </c>
      <c r="B855" s="3">
        <v>10</v>
      </c>
      <c r="C855" s="4" t="s">
        <v>69</v>
      </c>
      <c r="D855" s="2" t="s">
        <v>16</v>
      </c>
      <c r="E855" s="2" t="s">
        <v>45</v>
      </c>
      <c r="F855" s="5">
        <v>0</v>
      </c>
      <c r="G855" s="1">
        <v>0</v>
      </c>
      <c r="H855" s="2">
        <v>3</v>
      </c>
      <c r="I855" s="6">
        <v>3.645833333333333E-3</v>
      </c>
      <c r="J855" s="2"/>
      <c r="K855" s="2"/>
      <c r="L855" s="2" t="s">
        <v>25</v>
      </c>
      <c r="M855" s="2" t="s">
        <v>78</v>
      </c>
      <c r="N855" s="2" t="s">
        <v>21</v>
      </c>
    </row>
    <row r="856" spans="1:14" x14ac:dyDescent="0.3">
      <c r="A856" s="2" t="s">
        <v>70</v>
      </c>
      <c r="B856" s="3">
        <v>5</v>
      </c>
      <c r="C856" s="4" t="s">
        <v>69</v>
      </c>
      <c r="D856" s="2" t="s">
        <v>28</v>
      </c>
      <c r="E856" s="2" t="s">
        <v>42</v>
      </c>
      <c r="F856" s="5">
        <v>0</v>
      </c>
      <c r="G856" s="1">
        <v>0</v>
      </c>
      <c r="H856" s="2">
        <v>5</v>
      </c>
      <c r="I856" s="6">
        <v>3.645833333333333E-3</v>
      </c>
      <c r="J856" s="2"/>
      <c r="K856" s="2"/>
      <c r="L856" s="2" t="s">
        <v>51</v>
      </c>
      <c r="M856" s="2" t="s">
        <v>76</v>
      </c>
      <c r="N856" s="2" t="s">
        <v>75</v>
      </c>
    </row>
    <row r="857" spans="1:14" x14ac:dyDescent="0.3">
      <c r="A857" s="2" t="s">
        <v>70</v>
      </c>
      <c r="B857" s="3">
        <v>29</v>
      </c>
      <c r="C857" s="4" t="s">
        <v>59</v>
      </c>
      <c r="D857" s="2" t="s">
        <v>28</v>
      </c>
      <c r="E857" s="2" t="s">
        <v>17</v>
      </c>
      <c r="F857" s="5">
        <v>0</v>
      </c>
      <c r="G857" s="1">
        <v>0</v>
      </c>
      <c r="H857" s="2">
        <v>2</v>
      </c>
      <c r="I857" s="6">
        <v>3.645833333333333E-3</v>
      </c>
      <c r="J857" s="2"/>
      <c r="K857" s="2"/>
      <c r="L857" s="2" t="s">
        <v>33</v>
      </c>
      <c r="M857" s="2" t="s">
        <v>77</v>
      </c>
      <c r="N857" s="2" t="s">
        <v>54</v>
      </c>
    </row>
    <row r="858" spans="1:14" x14ac:dyDescent="0.3">
      <c r="A858" s="2" t="s">
        <v>14</v>
      </c>
      <c r="B858" s="3">
        <v>18</v>
      </c>
      <c r="C858" s="4" t="s">
        <v>60</v>
      </c>
      <c r="D858" s="2" t="s">
        <v>16</v>
      </c>
      <c r="E858" s="2" t="s">
        <v>17</v>
      </c>
      <c r="F858" s="5">
        <v>5</v>
      </c>
      <c r="G858" s="1">
        <v>25000000</v>
      </c>
      <c r="H858" s="2">
        <v>5</v>
      </c>
      <c r="I858" s="6">
        <v>4.340277777777778E-3</v>
      </c>
      <c r="J858" s="2" t="s">
        <v>18</v>
      </c>
      <c r="K858" s="2" t="s">
        <v>50</v>
      </c>
      <c r="L858" s="2" t="s">
        <v>33</v>
      </c>
      <c r="M858" s="2" t="s">
        <v>78</v>
      </c>
      <c r="N858" s="2" t="s">
        <v>63</v>
      </c>
    </row>
    <row r="859" spans="1:14" x14ac:dyDescent="0.3">
      <c r="A859" s="2" t="s">
        <v>14</v>
      </c>
      <c r="B859" s="3">
        <v>12</v>
      </c>
      <c r="C859" s="4" t="s">
        <v>22</v>
      </c>
      <c r="D859" s="2" t="s">
        <v>38</v>
      </c>
      <c r="E859" s="2" t="s">
        <v>17</v>
      </c>
      <c r="F859" s="5">
        <v>3</v>
      </c>
      <c r="G859" s="1">
        <v>15000000</v>
      </c>
      <c r="H859" s="2">
        <v>4</v>
      </c>
      <c r="I859" s="6">
        <v>4.340277777777778E-3</v>
      </c>
      <c r="J859" s="2" t="s">
        <v>18</v>
      </c>
      <c r="K859" s="2" t="s">
        <v>47</v>
      </c>
      <c r="L859" s="2" t="s">
        <v>25</v>
      </c>
      <c r="M859" s="2" t="s">
        <v>77</v>
      </c>
      <c r="N859" s="2" t="s">
        <v>34</v>
      </c>
    </row>
    <row r="860" spans="1:14" x14ac:dyDescent="0.3">
      <c r="A860" s="2" t="s">
        <v>14</v>
      </c>
      <c r="B860" s="3">
        <v>30</v>
      </c>
      <c r="C860" s="4" t="s">
        <v>27</v>
      </c>
      <c r="D860" s="2" t="s">
        <v>73</v>
      </c>
      <c r="E860" s="2" t="s">
        <v>42</v>
      </c>
      <c r="F860" s="5">
        <v>4</v>
      </c>
      <c r="G860" s="1">
        <v>20000000</v>
      </c>
      <c r="H860" s="2">
        <v>5</v>
      </c>
      <c r="I860" s="6">
        <v>4.340277777777778E-3</v>
      </c>
      <c r="J860" s="2" t="s">
        <v>61</v>
      </c>
      <c r="K860" s="2" t="s">
        <v>19</v>
      </c>
      <c r="L860" s="2" t="s">
        <v>48</v>
      </c>
      <c r="M860" s="2" t="s">
        <v>66</v>
      </c>
      <c r="N860" s="2" t="s">
        <v>36</v>
      </c>
    </row>
    <row r="861" spans="1:14" x14ac:dyDescent="0.3">
      <c r="A861" s="2" t="s">
        <v>14</v>
      </c>
      <c r="B861" s="3">
        <v>16</v>
      </c>
      <c r="C861" s="4" t="s">
        <v>27</v>
      </c>
      <c r="D861" s="2" t="s">
        <v>73</v>
      </c>
      <c r="E861" s="2" t="s">
        <v>42</v>
      </c>
      <c r="F861" s="5">
        <v>3</v>
      </c>
      <c r="G861" s="1">
        <v>12000000</v>
      </c>
      <c r="H861" s="2">
        <v>2</v>
      </c>
      <c r="I861" s="6">
        <v>4.340277777777778E-3</v>
      </c>
      <c r="J861" s="2" t="s">
        <v>18</v>
      </c>
      <c r="K861" s="2" t="s">
        <v>29</v>
      </c>
      <c r="L861" s="2" t="s">
        <v>40</v>
      </c>
      <c r="M861" s="2" t="s">
        <v>66</v>
      </c>
      <c r="N861" s="2" t="s">
        <v>36</v>
      </c>
    </row>
    <row r="862" spans="1:14" x14ac:dyDescent="0.3">
      <c r="A862" s="2" t="s">
        <v>14</v>
      </c>
      <c r="B862" s="3">
        <v>28</v>
      </c>
      <c r="C862" s="4" t="s">
        <v>27</v>
      </c>
      <c r="D862" s="2" t="s">
        <v>38</v>
      </c>
      <c r="E862" s="2" t="s">
        <v>17</v>
      </c>
      <c r="F862" s="5">
        <v>2</v>
      </c>
      <c r="G862" s="1">
        <v>12000000</v>
      </c>
      <c r="H862" s="2">
        <v>2</v>
      </c>
      <c r="I862" s="6">
        <v>4.340277777777778E-3</v>
      </c>
      <c r="J862" s="2" t="s">
        <v>18</v>
      </c>
      <c r="K862" s="2" t="s">
        <v>35</v>
      </c>
      <c r="L862" s="2" t="s">
        <v>33</v>
      </c>
      <c r="M862" s="2" t="s">
        <v>78</v>
      </c>
      <c r="N862" s="2" t="s">
        <v>53</v>
      </c>
    </row>
    <row r="863" spans="1:14" x14ac:dyDescent="0.3">
      <c r="A863" s="2" t="s">
        <v>14</v>
      </c>
      <c r="B863" s="3">
        <v>7</v>
      </c>
      <c r="C863" s="4" t="s">
        <v>37</v>
      </c>
      <c r="D863" s="2" t="s">
        <v>16</v>
      </c>
      <c r="E863" s="2" t="s">
        <v>17</v>
      </c>
      <c r="F863" s="5">
        <v>2</v>
      </c>
      <c r="G863" s="1">
        <v>10000000</v>
      </c>
      <c r="H863" s="2">
        <v>1</v>
      </c>
      <c r="I863" s="6">
        <v>4.340277777777778E-3</v>
      </c>
      <c r="J863" s="2" t="s">
        <v>18</v>
      </c>
      <c r="K863" s="2" t="s">
        <v>19</v>
      </c>
      <c r="L863" s="2" t="s">
        <v>30</v>
      </c>
      <c r="M863" s="2" t="s">
        <v>77</v>
      </c>
      <c r="N863" s="2" t="s">
        <v>54</v>
      </c>
    </row>
    <row r="864" spans="1:14" x14ac:dyDescent="0.3">
      <c r="A864" s="2" t="s">
        <v>14</v>
      </c>
      <c r="B864" s="3">
        <v>9</v>
      </c>
      <c r="C864" s="4" t="s">
        <v>37</v>
      </c>
      <c r="D864" s="2" t="s">
        <v>16</v>
      </c>
      <c r="E864" s="2" t="s">
        <v>17</v>
      </c>
      <c r="F864" s="5">
        <v>1</v>
      </c>
      <c r="G864" s="1">
        <v>7000000</v>
      </c>
      <c r="H864" s="2">
        <v>4</v>
      </c>
      <c r="I864" s="6">
        <v>4.340277777777778E-3</v>
      </c>
      <c r="J864" s="2" t="s">
        <v>18</v>
      </c>
      <c r="K864" s="2" t="s">
        <v>29</v>
      </c>
      <c r="L864" s="2" t="s">
        <v>40</v>
      </c>
      <c r="M864" s="2" t="s">
        <v>76</v>
      </c>
      <c r="N864" s="2" t="s">
        <v>31</v>
      </c>
    </row>
    <row r="865" spans="1:14" x14ac:dyDescent="0.3">
      <c r="A865" s="2" t="s">
        <v>14</v>
      </c>
      <c r="B865" s="3">
        <v>18</v>
      </c>
      <c r="C865" s="4" t="s">
        <v>37</v>
      </c>
      <c r="D865" s="2" t="s">
        <v>38</v>
      </c>
      <c r="E865" s="2" t="s">
        <v>42</v>
      </c>
      <c r="F865" s="5">
        <v>3</v>
      </c>
      <c r="G865" s="1">
        <v>15000000</v>
      </c>
      <c r="H865" s="2">
        <v>1</v>
      </c>
      <c r="I865" s="6">
        <v>4.340277777777778E-3</v>
      </c>
      <c r="J865" s="2" t="s">
        <v>18</v>
      </c>
      <c r="K865" s="2" t="s">
        <v>56</v>
      </c>
      <c r="L865" s="2" t="s">
        <v>43</v>
      </c>
      <c r="M865" s="2" t="s">
        <v>76</v>
      </c>
      <c r="N865" s="2" t="s">
        <v>31</v>
      </c>
    </row>
    <row r="866" spans="1:14" x14ac:dyDescent="0.3">
      <c r="A866" s="2" t="s">
        <v>14</v>
      </c>
      <c r="B866" s="3">
        <v>4</v>
      </c>
      <c r="C866" s="4" t="s">
        <v>44</v>
      </c>
      <c r="D866" s="2" t="s">
        <v>16</v>
      </c>
      <c r="E866" s="2" t="s">
        <v>42</v>
      </c>
      <c r="F866" s="5">
        <v>2</v>
      </c>
      <c r="G866" s="1">
        <v>38000000</v>
      </c>
      <c r="H866" s="2">
        <v>5</v>
      </c>
      <c r="I866" s="6">
        <v>4.340277777777778E-3</v>
      </c>
      <c r="J866" s="2" t="s">
        <v>46</v>
      </c>
      <c r="K866" s="2" t="s">
        <v>29</v>
      </c>
      <c r="L866" s="2" t="s">
        <v>20</v>
      </c>
      <c r="M866" s="2" t="s">
        <v>76</v>
      </c>
      <c r="N866" s="2" t="s">
        <v>31</v>
      </c>
    </row>
    <row r="867" spans="1:14" x14ac:dyDescent="0.3">
      <c r="A867" s="2" t="s">
        <v>14</v>
      </c>
      <c r="B867" s="3">
        <v>23</v>
      </c>
      <c r="C867" s="4" t="s">
        <v>44</v>
      </c>
      <c r="D867" s="2" t="s">
        <v>16</v>
      </c>
      <c r="E867" s="2" t="s">
        <v>42</v>
      </c>
      <c r="F867" s="5">
        <v>2</v>
      </c>
      <c r="G867" s="1">
        <v>12000000</v>
      </c>
      <c r="H867" s="2">
        <v>2</v>
      </c>
      <c r="I867" s="6">
        <v>4.340277777777778E-3</v>
      </c>
      <c r="J867" s="2" t="s">
        <v>18</v>
      </c>
      <c r="K867" s="2" t="s">
        <v>39</v>
      </c>
      <c r="L867" s="2" t="s">
        <v>43</v>
      </c>
      <c r="M867" s="2" t="s">
        <v>76</v>
      </c>
      <c r="N867" s="2" t="s">
        <v>75</v>
      </c>
    </row>
    <row r="868" spans="1:14" x14ac:dyDescent="0.3">
      <c r="A868" s="2" t="s">
        <v>14</v>
      </c>
      <c r="B868" s="3">
        <v>31</v>
      </c>
      <c r="C868" s="4" t="s">
        <v>69</v>
      </c>
      <c r="D868" s="2" t="s">
        <v>32</v>
      </c>
      <c r="E868" s="2" t="s">
        <v>23</v>
      </c>
      <c r="F868" s="5">
        <v>1</v>
      </c>
      <c r="G868" s="1">
        <v>19000000</v>
      </c>
      <c r="H868" s="2">
        <v>3</v>
      </c>
      <c r="I868" s="6">
        <v>4.340277777777778E-3</v>
      </c>
      <c r="J868" s="2" t="s">
        <v>46</v>
      </c>
      <c r="K868" s="2" t="s">
        <v>24</v>
      </c>
      <c r="L868" s="2" t="s">
        <v>30</v>
      </c>
      <c r="M868" s="2" t="s">
        <v>78</v>
      </c>
      <c r="N868" s="2" t="s">
        <v>53</v>
      </c>
    </row>
    <row r="869" spans="1:14" x14ac:dyDescent="0.3">
      <c r="A869" s="2" t="s">
        <v>14</v>
      </c>
      <c r="B869" s="3">
        <v>18</v>
      </c>
      <c r="C869" s="4" t="s">
        <v>60</v>
      </c>
      <c r="D869" s="2" t="s">
        <v>16</v>
      </c>
      <c r="E869" s="2" t="s">
        <v>17</v>
      </c>
      <c r="F869" s="5">
        <v>5</v>
      </c>
      <c r="G869" s="1">
        <v>25000000</v>
      </c>
      <c r="H869" s="2">
        <v>5</v>
      </c>
      <c r="I869" s="6">
        <v>4.340277777777778E-3</v>
      </c>
      <c r="J869" s="2" t="s">
        <v>18</v>
      </c>
      <c r="K869" s="2" t="s">
        <v>50</v>
      </c>
      <c r="L869" s="2" t="s">
        <v>33</v>
      </c>
      <c r="M869" s="2" t="s">
        <v>78</v>
      </c>
      <c r="N869" s="2" t="s">
        <v>63</v>
      </c>
    </row>
    <row r="870" spans="1:14" x14ac:dyDescent="0.3">
      <c r="A870" s="2" t="s">
        <v>70</v>
      </c>
      <c r="B870" s="3">
        <v>15</v>
      </c>
      <c r="C870" s="4" t="s">
        <v>27</v>
      </c>
      <c r="D870" s="2" t="s">
        <v>32</v>
      </c>
      <c r="E870" s="2" t="s">
        <v>42</v>
      </c>
      <c r="F870" s="5">
        <v>0</v>
      </c>
      <c r="G870" s="1">
        <v>0</v>
      </c>
      <c r="H870" s="2">
        <v>1</v>
      </c>
      <c r="I870" s="6">
        <v>4.340277777777778E-3</v>
      </c>
      <c r="J870" s="2"/>
      <c r="K870" s="2"/>
      <c r="L870" s="2" t="s">
        <v>43</v>
      </c>
      <c r="M870" s="2" t="s">
        <v>78</v>
      </c>
      <c r="N870" s="2" t="s">
        <v>53</v>
      </c>
    </row>
    <row r="871" spans="1:14" x14ac:dyDescent="0.3">
      <c r="A871" s="2" t="s">
        <v>70</v>
      </c>
      <c r="B871" s="3">
        <v>15</v>
      </c>
      <c r="C871" s="4" t="s">
        <v>69</v>
      </c>
      <c r="D871" s="2" t="s">
        <v>28</v>
      </c>
      <c r="E871" s="2" t="s">
        <v>42</v>
      </c>
      <c r="F871" s="5">
        <v>0</v>
      </c>
      <c r="G871" s="1">
        <v>0</v>
      </c>
      <c r="H871" s="2">
        <v>1</v>
      </c>
      <c r="I871" s="6">
        <v>4.340277777777778E-3</v>
      </c>
      <c r="J871" s="2"/>
      <c r="K871" s="2"/>
      <c r="L871" s="2" t="s">
        <v>51</v>
      </c>
      <c r="M871" s="2" t="s">
        <v>78</v>
      </c>
      <c r="N871" s="2" t="s">
        <v>41</v>
      </c>
    </row>
    <row r="872" spans="1:14" x14ac:dyDescent="0.3">
      <c r="A872" s="2" t="s">
        <v>14</v>
      </c>
      <c r="B872" s="3">
        <v>1</v>
      </c>
      <c r="C872" s="4" t="s">
        <v>59</v>
      </c>
      <c r="D872" s="2" t="s">
        <v>16</v>
      </c>
      <c r="E872" s="2" t="s">
        <v>42</v>
      </c>
      <c r="F872" s="5">
        <v>5</v>
      </c>
      <c r="G872" s="1">
        <v>25000000</v>
      </c>
      <c r="H872" s="2">
        <v>1</v>
      </c>
      <c r="I872" s="6">
        <v>4.3749999999999995E-3</v>
      </c>
      <c r="J872" s="2" t="s">
        <v>18</v>
      </c>
      <c r="K872" s="2" t="s">
        <v>19</v>
      </c>
      <c r="L872" s="2" t="s">
        <v>51</v>
      </c>
      <c r="M872" s="2" t="s">
        <v>78</v>
      </c>
      <c r="N872" s="2" t="s">
        <v>62</v>
      </c>
    </row>
    <row r="873" spans="1:14" x14ac:dyDescent="0.3">
      <c r="A873" s="2" t="s">
        <v>14</v>
      </c>
      <c r="B873" s="3">
        <v>7</v>
      </c>
      <c r="C873" s="4" t="s">
        <v>72</v>
      </c>
      <c r="D873" s="2" t="s">
        <v>38</v>
      </c>
      <c r="E873" s="2" t="s">
        <v>42</v>
      </c>
      <c r="F873" s="5">
        <v>1</v>
      </c>
      <c r="G873" s="1">
        <v>19000000</v>
      </c>
      <c r="H873" s="2">
        <v>6</v>
      </c>
      <c r="I873" s="6">
        <v>4.3749999999999995E-3</v>
      </c>
      <c r="J873" s="2" t="s">
        <v>46</v>
      </c>
      <c r="K873" s="2" t="s">
        <v>29</v>
      </c>
      <c r="L873" s="2" t="s">
        <v>20</v>
      </c>
      <c r="M873" s="2" t="s">
        <v>78</v>
      </c>
      <c r="N873" s="2" t="s">
        <v>21</v>
      </c>
    </row>
    <row r="874" spans="1:14" x14ac:dyDescent="0.3">
      <c r="A874" s="2" t="s">
        <v>14</v>
      </c>
      <c r="B874" s="3">
        <v>27</v>
      </c>
      <c r="C874" s="4" t="s">
        <v>27</v>
      </c>
      <c r="D874" s="2" t="s">
        <v>32</v>
      </c>
      <c r="E874" s="2" t="s">
        <v>23</v>
      </c>
      <c r="F874" s="5">
        <v>2</v>
      </c>
      <c r="G874" s="1">
        <v>38000000</v>
      </c>
      <c r="H874" s="2">
        <v>3</v>
      </c>
      <c r="I874" s="6">
        <v>4.3749999999999995E-3</v>
      </c>
      <c r="J874" s="2" t="s">
        <v>46</v>
      </c>
      <c r="K874" s="2" t="s">
        <v>56</v>
      </c>
      <c r="L874" s="2" t="s">
        <v>33</v>
      </c>
      <c r="M874" s="2" t="s">
        <v>76</v>
      </c>
      <c r="N874" s="2" t="s">
        <v>31</v>
      </c>
    </row>
    <row r="875" spans="1:14" x14ac:dyDescent="0.3">
      <c r="A875" s="2" t="s">
        <v>14</v>
      </c>
      <c r="B875" s="3">
        <v>12</v>
      </c>
      <c r="C875" s="4" t="s">
        <v>27</v>
      </c>
      <c r="D875" s="2" t="s">
        <v>16</v>
      </c>
      <c r="E875" s="2" t="s">
        <v>23</v>
      </c>
      <c r="F875" s="5">
        <v>1</v>
      </c>
      <c r="G875" s="1">
        <v>7000000</v>
      </c>
      <c r="H875" s="2">
        <v>1</v>
      </c>
      <c r="I875" s="6">
        <v>4.3749999999999995E-3</v>
      </c>
      <c r="J875" s="2" t="s">
        <v>18</v>
      </c>
      <c r="K875" s="2" t="s">
        <v>56</v>
      </c>
      <c r="L875" s="2" t="s">
        <v>51</v>
      </c>
      <c r="M875" s="2" t="s">
        <v>76</v>
      </c>
      <c r="N875" s="2" t="s">
        <v>75</v>
      </c>
    </row>
    <row r="876" spans="1:14" x14ac:dyDescent="0.3">
      <c r="A876" s="2" t="s">
        <v>14</v>
      </c>
      <c r="B876" s="3">
        <v>11</v>
      </c>
      <c r="C876" s="4" t="s">
        <v>37</v>
      </c>
      <c r="D876" s="2" t="s">
        <v>16</v>
      </c>
      <c r="E876" s="2" t="s">
        <v>23</v>
      </c>
      <c r="F876" s="5">
        <v>2</v>
      </c>
      <c r="G876" s="1">
        <v>12000000</v>
      </c>
      <c r="H876" s="2">
        <v>3</v>
      </c>
      <c r="I876" s="6">
        <v>4.3749999999999995E-3</v>
      </c>
      <c r="J876" s="2" t="s">
        <v>18</v>
      </c>
      <c r="K876" s="2" t="s">
        <v>50</v>
      </c>
      <c r="L876" s="2" t="s">
        <v>33</v>
      </c>
      <c r="M876" s="2" t="s">
        <v>66</v>
      </c>
      <c r="N876" s="2" t="s">
        <v>36</v>
      </c>
    </row>
    <row r="877" spans="1:14" x14ac:dyDescent="0.3">
      <c r="A877" s="2" t="s">
        <v>14</v>
      </c>
      <c r="B877" s="3">
        <v>29</v>
      </c>
      <c r="C877" s="4" t="s">
        <v>37</v>
      </c>
      <c r="D877" s="2" t="s">
        <v>16</v>
      </c>
      <c r="E877" s="2" t="s">
        <v>42</v>
      </c>
      <c r="F877" s="5">
        <v>3</v>
      </c>
      <c r="G877" s="1">
        <v>12000000</v>
      </c>
      <c r="H877" s="2">
        <v>5</v>
      </c>
      <c r="I877" s="6">
        <v>4.3749999999999995E-3</v>
      </c>
      <c r="J877" s="2" t="s">
        <v>18</v>
      </c>
      <c r="K877" s="2" t="s">
        <v>64</v>
      </c>
      <c r="L877" s="2" t="s">
        <v>33</v>
      </c>
      <c r="M877" s="2" t="s">
        <v>66</v>
      </c>
      <c r="N877" s="2" t="s">
        <v>36</v>
      </c>
    </row>
    <row r="878" spans="1:14" x14ac:dyDescent="0.3">
      <c r="A878" s="2" t="s">
        <v>14</v>
      </c>
      <c r="B878" s="3">
        <v>31</v>
      </c>
      <c r="C878" s="4" t="s">
        <v>37</v>
      </c>
      <c r="D878" s="2" t="s">
        <v>38</v>
      </c>
      <c r="E878" s="2" t="s">
        <v>42</v>
      </c>
      <c r="F878" s="5">
        <v>3</v>
      </c>
      <c r="G878" s="1">
        <v>15000000</v>
      </c>
      <c r="H878" s="2">
        <v>1</v>
      </c>
      <c r="I878" s="6">
        <v>4.3749999999999995E-3</v>
      </c>
      <c r="J878" s="2" t="s">
        <v>18</v>
      </c>
      <c r="K878" s="2" t="s">
        <v>35</v>
      </c>
      <c r="L878" s="2" t="s">
        <v>51</v>
      </c>
      <c r="M878" s="2" t="s">
        <v>76</v>
      </c>
      <c r="N878" s="2" t="s">
        <v>31</v>
      </c>
    </row>
    <row r="879" spans="1:14" x14ac:dyDescent="0.3">
      <c r="A879" s="2" t="s">
        <v>14</v>
      </c>
      <c r="B879" s="3">
        <v>22</v>
      </c>
      <c r="C879" s="4" t="s">
        <v>44</v>
      </c>
      <c r="D879" s="2" t="s">
        <v>32</v>
      </c>
      <c r="E879" s="2" t="s">
        <v>23</v>
      </c>
      <c r="F879" s="5">
        <v>2</v>
      </c>
      <c r="G879" s="1">
        <v>12000000</v>
      </c>
      <c r="H879" s="2">
        <v>6</v>
      </c>
      <c r="I879" s="6">
        <v>4.3749999999999995E-3</v>
      </c>
      <c r="J879" s="2" t="s">
        <v>18</v>
      </c>
      <c r="K879" s="2" t="s">
        <v>19</v>
      </c>
      <c r="L879" s="2" t="s">
        <v>33</v>
      </c>
      <c r="M879" s="2" t="s">
        <v>77</v>
      </c>
      <c r="N879" s="2" t="s">
        <v>65</v>
      </c>
    </row>
    <row r="880" spans="1:14" x14ac:dyDescent="0.3">
      <c r="A880" s="2" t="s">
        <v>14</v>
      </c>
      <c r="B880" s="3">
        <v>1</v>
      </c>
      <c r="C880" s="4" t="s">
        <v>44</v>
      </c>
      <c r="D880" s="2" t="s">
        <v>49</v>
      </c>
      <c r="E880" s="2" t="s">
        <v>42</v>
      </c>
      <c r="F880" s="5">
        <v>3</v>
      </c>
      <c r="G880" s="1">
        <v>15000000</v>
      </c>
      <c r="H880" s="2">
        <v>3</v>
      </c>
      <c r="I880" s="6">
        <v>4.3749999999999995E-3</v>
      </c>
      <c r="J880" s="2" t="s">
        <v>18</v>
      </c>
      <c r="K880" s="2" t="s">
        <v>29</v>
      </c>
      <c r="L880" s="2" t="s">
        <v>43</v>
      </c>
      <c r="M880" s="2" t="s">
        <v>76</v>
      </c>
      <c r="N880" s="2" t="s">
        <v>52</v>
      </c>
    </row>
    <row r="881" spans="1:14" x14ac:dyDescent="0.3">
      <c r="A881" s="2" t="s">
        <v>14</v>
      </c>
      <c r="B881" s="3">
        <v>25</v>
      </c>
      <c r="C881" s="4" t="s">
        <v>69</v>
      </c>
      <c r="D881" s="2" t="s">
        <v>32</v>
      </c>
      <c r="E881" s="2" t="s">
        <v>23</v>
      </c>
      <c r="F881" s="5">
        <v>4</v>
      </c>
      <c r="G881" s="1">
        <v>20000000</v>
      </c>
      <c r="H881" s="2">
        <v>4</v>
      </c>
      <c r="I881" s="6">
        <v>4.3749999999999995E-3</v>
      </c>
      <c r="J881" s="2" t="s">
        <v>61</v>
      </c>
      <c r="K881" s="2" t="s">
        <v>56</v>
      </c>
      <c r="L881" s="2" t="s">
        <v>30</v>
      </c>
      <c r="M881" s="2" t="s">
        <v>78</v>
      </c>
      <c r="N881" s="2" t="s">
        <v>53</v>
      </c>
    </row>
    <row r="882" spans="1:14" x14ac:dyDescent="0.3">
      <c r="A882" s="2" t="s">
        <v>14</v>
      </c>
      <c r="B882" s="3">
        <v>1</v>
      </c>
      <c r="C882" s="4" t="s">
        <v>59</v>
      </c>
      <c r="D882" s="2" t="s">
        <v>16</v>
      </c>
      <c r="E882" s="2" t="s">
        <v>42</v>
      </c>
      <c r="F882" s="5">
        <v>5</v>
      </c>
      <c r="G882" s="1">
        <v>25000000</v>
      </c>
      <c r="H882" s="2">
        <v>1</v>
      </c>
      <c r="I882" s="6">
        <v>4.3749999999999995E-3</v>
      </c>
      <c r="J882" s="2" t="s">
        <v>18</v>
      </c>
      <c r="K882" s="2" t="s">
        <v>19</v>
      </c>
      <c r="L882" s="2" t="s">
        <v>51</v>
      </c>
      <c r="M882" s="2" t="s">
        <v>78</v>
      </c>
      <c r="N882" s="2" t="s">
        <v>62</v>
      </c>
    </row>
    <row r="883" spans="1:14" x14ac:dyDescent="0.3">
      <c r="A883" s="2" t="s">
        <v>14</v>
      </c>
      <c r="B883" s="3">
        <v>7</v>
      </c>
      <c r="C883" s="4" t="s">
        <v>72</v>
      </c>
      <c r="D883" s="2" t="s">
        <v>38</v>
      </c>
      <c r="E883" s="2" t="s">
        <v>42</v>
      </c>
      <c r="F883" s="5">
        <v>1</v>
      </c>
      <c r="G883" s="1">
        <v>19000000</v>
      </c>
      <c r="H883" s="2">
        <v>6</v>
      </c>
      <c r="I883" s="6">
        <v>4.3749999999999995E-3</v>
      </c>
      <c r="J883" s="2" t="s">
        <v>46</v>
      </c>
      <c r="K883" s="2" t="s">
        <v>29</v>
      </c>
      <c r="L883" s="2" t="s">
        <v>20</v>
      </c>
      <c r="M883" s="2" t="s">
        <v>78</v>
      </c>
      <c r="N883" s="2" t="s">
        <v>21</v>
      </c>
    </row>
    <row r="884" spans="1:14" x14ac:dyDescent="0.3">
      <c r="A884" s="2" t="s">
        <v>70</v>
      </c>
      <c r="B884" s="3">
        <v>7</v>
      </c>
      <c r="C884" s="4" t="s">
        <v>37</v>
      </c>
      <c r="D884" s="2" t="s">
        <v>32</v>
      </c>
      <c r="E884" s="2" t="s">
        <v>23</v>
      </c>
      <c r="F884" s="5">
        <v>0</v>
      </c>
      <c r="G884" s="1">
        <v>0</v>
      </c>
      <c r="H884" s="2">
        <v>1</v>
      </c>
      <c r="I884" s="6">
        <v>4.3749999999999995E-3</v>
      </c>
      <c r="J884" s="2"/>
      <c r="K884" s="2"/>
      <c r="L884" s="2" t="s">
        <v>30</v>
      </c>
      <c r="M884" s="2" t="s">
        <v>78</v>
      </c>
      <c r="N884" s="2" t="s">
        <v>63</v>
      </c>
    </row>
    <row r="885" spans="1:14" x14ac:dyDescent="0.3">
      <c r="A885" s="2" t="s">
        <v>70</v>
      </c>
      <c r="B885" s="3">
        <v>16</v>
      </c>
      <c r="C885" s="4" t="s">
        <v>44</v>
      </c>
      <c r="D885" s="2" t="s">
        <v>16</v>
      </c>
      <c r="E885" s="2" t="s">
        <v>17</v>
      </c>
      <c r="F885" s="5">
        <v>0</v>
      </c>
      <c r="G885" s="1">
        <v>0</v>
      </c>
      <c r="H885" s="2">
        <v>1</v>
      </c>
      <c r="I885" s="6">
        <v>4.3749999999999995E-3</v>
      </c>
      <c r="J885" s="2"/>
      <c r="K885" s="2"/>
      <c r="L885" s="2" t="s">
        <v>48</v>
      </c>
      <c r="M885" s="2" t="s">
        <v>77</v>
      </c>
      <c r="N885" s="2" t="s">
        <v>54</v>
      </c>
    </row>
    <row r="886" spans="1:14" x14ac:dyDescent="0.3">
      <c r="A886" s="2" t="s">
        <v>70</v>
      </c>
      <c r="B886" s="3">
        <v>11</v>
      </c>
      <c r="C886" s="4" t="s">
        <v>69</v>
      </c>
      <c r="D886" s="2" t="s">
        <v>32</v>
      </c>
      <c r="E886" s="2" t="s">
        <v>23</v>
      </c>
      <c r="F886" s="5">
        <v>0</v>
      </c>
      <c r="G886" s="1">
        <v>0</v>
      </c>
      <c r="H886" s="2">
        <v>2</v>
      </c>
      <c r="I886" s="6">
        <v>4.3749999999999995E-3</v>
      </c>
      <c r="J886" s="2"/>
      <c r="K886" s="2"/>
      <c r="L886" s="2" t="s">
        <v>40</v>
      </c>
      <c r="M886" s="2" t="s">
        <v>76</v>
      </c>
      <c r="N886" s="2" t="s">
        <v>26</v>
      </c>
    </row>
    <row r="887" spans="1:14" x14ac:dyDescent="0.3">
      <c r="A887" s="2" t="s">
        <v>14</v>
      </c>
      <c r="B887" s="3">
        <v>17</v>
      </c>
      <c r="C887" s="4" t="s">
        <v>57</v>
      </c>
      <c r="D887" s="2" t="s">
        <v>38</v>
      </c>
      <c r="E887" s="2" t="s">
        <v>42</v>
      </c>
      <c r="F887" s="5">
        <v>4</v>
      </c>
      <c r="G887" s="1">
        <v>15000000</v>
      </c>
      <c r="H887" s="2">
        <v>2</v>
      </c>
      <c r="I887" s="6">
        <v>4.3981481481481484E-3</v>
      </c>
      <c r="J887" s="2" t="s">
        <v>18</v>
      </c>
      <c r="K887" s="2" t="s">
        <v>64</v>
      </c>
      <c r="L887" s="2" t="s">
        <v>30</v>
      </c>
      <c r="M887" s="2" t="s">
        <v>77</v>
      </c>
      <c r="N887" s="2" t="s">
        <v>65</v>
      </c>
    </row>
    <row r="888" spans="1:14" x14ac:dyDescent="0.3">
      <c r="A888" s="2" t="s">
        <v>14</v>
      </c>
      <c r="B888" s="3">
        <v>27</v>
      </c>
      <c r="C888" s="4" t="s">
        <v>37</v>
      </c>
      <c r="D888" s="2" t="s">
        <v>32</v>
      </c>
      <c r="E888" s="2" t="s">
        <v>42</v>
      </c>
      <c r="F888" s="5">
        <v>1</v>
      </c>
      <c r="G888" s="1">
        <v>19000000</v>
      </c>
      <c r="H888" s="2">
        <v>2</v>
      </c>
      <c r="I888" s="6">
        <v>4.3981481481481484E-3</v>
      </c>
      <c r="J888" s="2" t="s">
        <v>46</v>
      </c>
      <c r="K888" s="2" t="s">
        <v>19</v>
      </c>
      <c r="L888" s="2" t="s">
        <v>33</v>
      </c>
      <c r="M888" s="2" t="s">
        <v>76</v>
      </c>
      <c r="N888" s="2" t="s">
        <v>26</v>
      </c>
    </row>
    <row r="889" spans="1:14" x14ac:dyDescent="0.3">
      <c r="A889" s="2" t="s">
        <v>14</v>
      </c>
      <c r="B889" s="3">
        <v>22</v>
      </c>
      <c r="C889" s="4" t="s">
        <v>37</v>
      </c>
      <c r="D889" s="2" t="s">
        <v>16</v>
      </c>
      <c r="E889" s="2" t="s">
        <v>23</v>
      </c>
      <c r="F889" s="5">
        <v>2</v>
      </c>
      <c r="G889" s="1">
        <v>38000000</v>
      </c>
      <c r="H889" s="2">
        <v>1</v>
      </c>
      <c r="I889" s="6">
        <v>4.3981481481481484E-3</v>
      </c>
      <c r="J889" s="2" t="s">
        <v>46</v>
      </c>
      <c r="K889" s="2" t="s">
        <v>56</v>
      </c>
      <c r="L889" s="2" t="s">
        <v>51</v>
      </c>
      <c r="M889" s="2" t="s">
        <v>66</v>
      </c>
      <c r="N889" s="2" t="s">
        <v>67</v>
      </c>
    </row>
    <row r="890" spans="1:14" x14ac:dyDescent="0.3">
      <c r="A890" s="2" t="s">
        <v>14</v>
      </c>
      <c r="B890" s="3">
        <v>31</v>
      </c>
      <c r="C890" s="4" t="s">
        <v>37</v>
      </c>
      <c r="D890" s="2" t="s">
        <v>32</v>
      </c>
      <c r="E890" s="2" t="s">
        <v>23</v>
      </c>
      <c r="F890" s="5">
        <v>4</v>
      </c>
      <c r="G890" s="1">
        <v>20000000</v>
      </c>
      <c r="H890" s="2">
        <v>1</v>
      </c>
      <c r="I890" s="6">
        <v>4.3981481481481484E-3</v>
      </c>
      <c r="J890" s="2" t="s">
        <v>61</v>
      </c>
      <c r="K890" s="2" t="s">
        <v>50</v>
      </c>
      <c r="L890" s="2" t="s">
        <v>43</v>
      </c>
      <c r="M890" s="2" t="s">
        <v>78</v>
      </c>
      <c r="N890" s="2" t="s">
        <v>62</v>
      </c>
    </row>
    <row r="891" spans="1:14" x14ac:dyDescent="0.3">
      <c r="A891" s="2" t="s">
        <v>14</v>
      </c>
      <c r="B891" s="3">
        <v>10</v>
      </c>
      <c r="C891" s="4" t="s">
        <v>37</v>
      </c>
      <c r="D891" s="2" t="s">
        <v>16</v>
      </c>
      <c r="E891" s="2" t="s">
        <v>23</v>
      </c>
      <c r="F891" s="5">
        <v>5</v>
      </c>
      <c r="G891" s="1">
        <v>25000000</v>
      </c>
      <c r="H891" s="2">
        <v>3</v>
      </c>
      <c r="I891" s="6">
        <v>4.3981481481481484E-3</v>
      </c>
      <c r="J891" s="2" t="s">
        <v>18</v>
      </c>
      <c r="K891" s="2" t="s">
        <v>29</v>
      </c>
      <c r="L891" s="2" t="s">
        <v>30</v>
      </c>
      <c r="M891" s="2" t="s">
        <v>76</v>
      </c>
      <c r="N891" s="2" t="s">
        <v>26</v>
      </c>
    </row>
    <row r="892" spans="1:14" x14ac:dyDescent="0.3">
      <c r="A892" s="2" t="s">
        <v>14</v>
      </c>
      <c r="B892" s="3">
        <v>29</v>
      </c>
      <c r="C892" s="4" t="s">
        <v>37</v>
      </c>
      <c r="D892" s="2" t="s">
        <v>16</v>
      </c>
      <c r="E892" s="2" t="s">
        <v>23</v>
      </c>
      <c r="F892" s="5">
        <v>2</v>
      </c>
      <c r="G892" s="1">
        <v>10000000</v>
      </c>
      <c r="H892" s="2">
        <v>1</v>
      </c>
      <c r="I892" s="6">
        <v>4.3981481481481484E-3</v>
      </c>
      <c r="J892" s="2" t="s">
        <v>18</v>
      </c>
      <c r="K892" s="2" t="s">
        <v>29</v>
      </c>
      <c r="L892" s="2" t="s">
        <v>51</v>
      </c>
      <c r="M892" s="2" t="s">
        <v>76</v>
      </c>
      <c r="N892" s="2" t="s">
        <v>26</v>
      </c>
    </row>
    <row r="893" spans="1:14" x14ac:dyDescent="0.3">
      <c r="A893" s="2" t="s">
        <v>14</v>
      </c>
      <c r="B893" s="3">
        <v>22</v>
      </c>
      <c r="C893" s="4" t="s">
        <v>44</v>
      </c>
      <c r="D893" s="2" t="s">
        <v>32</v>
      </c>
      <c r="E893" s="2" t="s">
        <v>23</v>
      </c>
      <c r="F893" s="5">
        <v>3</v>
      </c>
      <c r="G893" s="1">
        <v>15000000</v>
      </c>
      <c r="H893" s="2">
        <v>5</v>
      </c>
      <c r="I893" s="6">
        <v>4.3981481481481484E-3</v>
      </c>
      <c r="J893" s="2" t="s">
        <v>18</v>
      </c>
      <c r="K893" s="2" t="s">
        <v>19</v>
      </c>
      <c r="L893" s="2" t="s">
        <v>48</v>
      </c>
      <c r="M893" s="2" t="s">
        <v>78</v>
      </c>
      <c r="N893" s="2" t="s">
        <v>21</v>
      </c>
    </row>
    <row r="894" spans="1:14" x14ac:dyDescent="0.3">
      <c r="A894" s="2" t="s">
        <v>14</v>
      </c>
      <c r="B894" s="3">
        <v>17</v>
      </c>
      <c r="C894" s="4" t="s">
        <v>69</v>
      </c>
      <c r="D894" s="2" t="s">
        <v>73</v>
      </c>
      <c r="E894" s="2" t="s">
        <v>45</v>
      </c>
      <c r="F894" s="5">
        <v>3</v>
      </c>
      <c r="G894" s="1">
        <v>12000000</v>
      </c>
      <c r="H894" s="2">
        <v>1</v>
      </c>
      <c r="I894" s="6">
        <v>4.3981481481481484E-3</v>
      </c>
      <c r="J894" s="2" t="s">
        <v>18</v>
      </c>
      <c r="K894" s="2" t="s">
        <v>56</v>
      </c>
      <c r="L894" s="2" t="s">
        <v>48</v>
      </c>
      <c r="M894" s="2" t="s">
        <v>78</v>
      </c>
      <c r="N894" s="2" t="s">
        <v>63</v>
      </c>
    </row>
    <row r="895" spans="1:14" x14ac:dyDescent="0.3">
      <c r="A895" s="2" t="s">
        <v>14</v>
      </c>
      <c r="B895" s="3">
        <v>17</v>
      </c>
      <c r="C895" s="4" t="s">
        <v>57</v>
      </c>
      <c r="D895" s="2" t="s">
        <v>38</v>
      </c>
      <c r="E895" s="2" t="s">
        <v>42</v>
      </c>
      <c r="F895" s="5">
        <v>4</v>
      </c>
      <c r="G895" s="1">
        <v>15000000</v>
      </c>
      <c r="H895" s="2">
        <v>2</v>
      </c>
      <c r="I895" s="6">
        <v>4.3981481481481484E-3</v>
      </c>
      <c r="J895" s="2" t="s">
        <v>18</v>
      </c>
      <c r="K895" s="2" t="s">
        <v>64</v>
      </c>
      <c r="L895" s="2" t="s">
        <v>30</v>
      </c>
      <c r="M895" s="2" t="s">
        <v>77</v>
      </c>
      <c r="N895" s="2" t="s">
        <v>65</v>
      </c>
    </row>
    <row r="896" spans="1:14" x14ac:dyDescent="0.3">
      <c r="A896" s="2" t="s">
        <v>70</v>
      </c>
      <c r="B896" s="3">
        <v>13</v>
      </c>
      <c r="C896" s="4" t="s">
        <v>27</v>
      </c>
      <c r="D896" s="2" t="s">
        <v>32</v>
      </c>
      <c r="E896" s="2" t="s">
        <v>23</v>
      </c>
      <c r="F896" s="5">
        <v>0</v>
      </c>
      <c r="G896" s="1">
        <v>0</v>
      </c>
      <c r="H896" s="2">
        <v>1</v>
      </c>
      <c r="I896" s="6">
        <v>4.3981481481481484E-3</v>
      </c>
      <c r="J896" s="2"/>
      <c r="K896" s="2"/>
      <c r="L896" s="2" t="s">
        <v>20</v>
      </c>
      <c r="M896" s="2" t="s">
        <v>66</v>
      </c>
      <c r="N896" s="2" t="s">
        <v>36</v>
      </c>
    </row>
    <row r="897" spans="1:14" x14ac:dyDescent="0.3">
      <c r="A897" s="2" t="s">
        <v>70</v>
      </c>
      <c r="B897" s="3">
        <v>5</v>
      </c>
      <c r="C897" s="4" t="s">
        <v>37</v>
      </c>
      <c r="D897" s="2" t="s">
        <v>49</v>
      </c>
      <c r="E897" s="2" t="s">
        <v>42</v>
      </c>
      <c r="F897" s="5">
        <v>0</v>
      </c>
      <c r="G897" s="1">
        <v>0</v>
      </c>
      <c r="H897" s="2">
        <v>5</v>
      </c>
      <c r="I897" s="6">
        <v>4.3981481481481484E-3</v>
      </c>
      <c r="J897" s="2"/>
      <c r="K897" s="2"/>
      <c r="L897" s="2" t="s">
        <v>40</v>
      </c>
      <c r="M897" s="2" t="s">
        <v>76</v>
      </c>
      <c r="N897" s="2" t="s">
        <v>26</v>
      </c>
    </row>
    <row r="898" spans="1:14" x14ac:dyDescent="0.3">
      <c r="A898" s="2" t="s">
        <v>70</v>
      </c>
      <c r="B898" s="3">
        <v>19</v>
      </c>
      <c r="C898" s="4" t="s">
        <v>44</v>
      </c>
      <c r="D898" s="2" t="s">
        <v>32</v>
      </c>
      <c r="E898" s="2" t="s">
        <v>17</v>
      </c>
      <c r="F898" s="5">
        <v>0</v>
      </c>
      <c r="G898" s="1">
        <v>0</v>
      </c>
      <c r="H898" s="2">
        <v>2</v>
      </c>
      <c r="I898" s="6">
        <v>4.3981481481481484E-3</v>
      </c>
      <c r="J898" s="2"/>
      <c r="K898" s="2"/>
      <c r="L898" s="2" t="s">
        <v>30</v>
      </c>
      <c r="M898" s="2" t="s">
        <v>76</v>
      </c>
      <c r="N898" s="2" t="s">
        <v>26</v>
      </c>
    </row>
    <row r="899" spans="1:14" x14ac:dyDescent="0.3">
      <c r="A899" s="2" t="s">
        <v>70</v>
      </c>
      <c r="B899" s="3">
        <v>28</v>
      </c>
      <c r="C899" s="4" t="s">
        <v>44</v>
      </c>
      <c r="D899" s="2" t="s">
        <v>32</v>
      </c>
      <c r="E899" s="2" t="s">
        <v>23</v>
      </c>
      <c r="F899" s="5">
        <v>0</v>
      </c>
      <c r="G899" s="1">
        <v>0</v>
      </c>
      <c r="H899" s="2">
        <v>4</v>
      </c>
      <c r="I899" s="6">
        <v>4.3981481481481484E-3</v>
      </c>
      <c r="J899" s="2"/>
      <c r="K899" s="2"/>
      <c r="L899" s="2" t="s">
        <v>43</v>
      </c>
      <c r="M899" s="2" t="s">
        <v>66</v>
      </c>
      <c r="N899" s="2" t="s">
        <v>36</v>
      </c>
    </row>
    <row r="900" spans="1:14" x14ac:dyDescent="0.3">
      <c r="A900" s="2" t="s">
        <v>70</v>
      </c>
      <c r="B900" s="3">
        <v>10</v>
      </c>
      <c r="C900" s="4" t="s">
        <v>69</v>
      </c>
      <c r="D900" s="2" t="s">
        <v>49</v>
      </c>
      <c r="E900" s="2" t="s">
        <v>42</v>
      </c>
      <c r="F900" s="5">
        <v>0</v>
      </c>
      <c r="G900" s="1">
        <v>0</v>
      </c>
      <c r="H900" s="2">
        <v>5</v>
      </c>
      <c r="I900" s="6">
        <v>4.3981481481481484E-3</v>
      </c>
      <c r="J900" s="2"/>
      <c r="K900" s="2"/>
      <c r="L900" s="2" t="s">
        <v>48</v>
      </c>
      <c r="M900" s="2" t="s">
        <v>78</v>
      </c>
      <c r="N900" s="2" t="s">
        <v>62</v>
      </c>
    </row>
    <row r="901" spans="1:14" x14ac:dyDescent="0.3">
      <c r="A901" s="2" t="s">
        <v>14</v>
      </c>
      <c r="B901" s="3">
        <v>1</v>
      </c>
      <c r="C901" s="4" t="s">
        <v>15</v>
      </c>
      <c r="D901" s="2" t="s">
        <v>38</v>
      </c>
      <c r="E901" s="2" t="s">
        <v>68</v>
      </c>
      <c r="F901" s="5">
        <v>2</v>
      </c>
      <c r="G901" s="1">
        <v>12000000</v>
      </c>
      <c r="H901" s="2">
        <v>1</v>
      </c>
      <c r="I901" s="6">
        <v>4.5138888888888893E-3</v>
      </c>
      <c r="J901" s="2" t="s">
        <v>18</v>
      </c>
      <c r="K901" s="2" t="s">
        <v>47</v>
      </c>
      <c r="L901" s="2" t="s">
        <v>25</v>
      </c>
      <c r="M901" s="2" t="s">
        <v>66</v>
      </c>
      <c r="N901" s="2" t="s">
        <v>36</v>
      </c>
    </row>
    <row r="902" spans="1:14" x14ac:dyDescent="0.3">
      <c r="A902" s="2" t="s">
        <v>14</v>
      </c>
      <c r="B902" s="3">
        <v>1</v>
      </c>
      <c r="C902" s="4" t="s">
        <v>15</v>
      </c>
      <c r="D902" s="2" t="s">
        <v>28</v>
      </c>
      <c r="E902" s="2" t="s">
        <v>23</v>
      </c>
      <c r="F902" s="5">
        <v>2</v>
      </c>
      <c r="G902" s="1">
        <v>12000000</v>
      </c>
      <c r="H902" s="2">
        <v>1</v>
      </c>
      <c r="I902" s="6">
        <v>4.5138888888888893E-3</v>
      </c>
      <c r="J902" s="2" t="s">
        <v>18</v>
      </c>
      <c r="K902" s="2" t="s">
        <v>39</v>
      </c>
      <c r="L902" s="2" t="s">
        <v>48</v>
      </c>
      <c r="M902" s="2" t="s">
        <v>76</v>
      </c>
      <c r="N902" s="2" t="s">
        <v>26</v>
      </c>
    </row>
    <row r="903" spans="1:14" x14ac:dyDescent="0.3">
      <c r="A903" s="2" t="s">
        <v>14</v>
      </c>
      <c r="B903" s="3">
        <v>1</v>
      </c>
      <c r="C903" s="4" t="s">
        <v>15</v>
      </c>
      <c r="D903" s="2" t="s">
        <v>32</v>
      </c>
      <c r="E903" s="2" t="s">
        <v>42</v>
      </c>
      <c r="F903" s="5">
        <v>5</v>
      </c>
      <c r="G903" s="1">
        <v>25000000</v>
      </c>
      <c r="H903" s="2">
        <v>2</v>
      </c>
      <c r="I903" s="6">
        <v>4.5138888888888893E-3</v>
      </c>
      <c r="J903" s="2" t="s">
        <v>18</v>
      </c>
      <c r="K903" s="2" t="s">
        <v>47</v>
      </c>
      <c r="L903" s="2" t="s">
        <v>48</v>
      </c>
      <c r="M903" s="2" t="s">
        <v>78</v>
      </c>
      <c r="N903" s="2" t="s">
        <v>53</v>
      </c>
    </row>
    <row r="904" spans="1:14" x14ac:dyDescent="0.3">
      <c r="A904" s="2" t="s">
        <v>14</v>
      </c>
      <c r="B904" s="3">
        <v>12</v>
      </c>
      <c r="C904" s="4" t="s">
        <v>60</v>
      </c>
      <c r="D904" s="2" t="s">
        <v>73</v>
      </c>
      <c r="E904" s="2" t="s">
        <v>42</v>
      </c>
      <c r="F904" s="5">
        <v>4</v>
      </c>
      <c r="G904" s="1">
        <v>11000000</v>
      </c>
      <c r="H904" s="2">
        <v>1</v>
      </c>
      <c r="I904" s="6">
        <v>4.5138888888888893E-3</v>
      </c>
      <c r="J904" s="2" t="s">
        <v>61</v>
      </c>
      <c r="K904" s="2" t="s">
        <v>24</v>
      </c>
      <c r="L904" s="2" t="s">
        <v>30</v>
      </c>
      <c r="M904" s="2" t="s">
        <v>76</v>
      </c>
      <c r="N904" s="2" t="s">
        <v>26</v>
      </c>
    </row>
    <row r="905" spans="1:14" x14ac:dyDescent="0.3">
      <c r="A905" s="2" t="s">
        <v>14</v>
      </c>
      <c r="B905" s="3">
        <v>27</v>
      </c>
      <c r="C905" s="4" t="s">
        <v>22</v>
      </c>
      <c r="D905" s="2" t="s">
        <v>38</v>
      </c>
      <c r="E905" s="2" t="s">
        <v>23</v>
      </c>
      <c r="F905" s="5">
        <v>3</v>
      </c>
      <c r="G905" s="1">
        <v>15000000</v>
      </c>
      <c r="H905" s="2">
        <v>4</v>
      </c>
      <c r="I905" s="6">
        <v>4.5138888888888893E-3</v>
      </c>
      <c r="J905" s="2" t="s">
        <v>18</v>
      </c>
      <c r="K905" s="2" t="s">
        <v>39</v>
      </c>
      <c r="L905" s="2" t="s">
        <v>43</v>
      </c>
      <c r="M905" s="2" t="s">
        <v>78</v>
      </c>
      <c r="N905" s="2" t="s">
        <v>63</v>
      </c>
    </row>
    <row r="906" spans="1:14" x14ac:dyDescent="0.3">
      <c r="A906" s="2" t="s">
        <v>14</v>
      </c>
      <c r="B906" s="3">
        <v>16</v>
      </c>
      <c r="C906" s="4" t="s">
        <v>22</v>
      </c>
      <c r="D906" s="2" t="s">
        <v>73</v>
      </c>
      <c r="E906" s="2" t="s">
        <v>23</v>
      </c>
      <c r="F906" s="5">
        <v>5</v>
      </c>
      <c r="G906" s="1">
        <v>20000000</v>
      </c>
      <c r="H906" s="2">
        <v>3</v>
      </c>
      <c r="I906" s="6">
        <v>4.5138888888888893E-3</v>
      </c>
      <c r="J906" s="2" t="s">
        <v>18</v>
      </c>
      <c r="K906" s="2" t="s">
        <v>50</v>
      </c>
      <c r="L906" s="2" t="s">
        <v>51</v>
      </c>
      <c r="M906" s="2" t="s">
        <v>78</v>
      </c>
      <c r="N906" s="2" t="s">
        <v>41</v>
      </c>
    </row>
    <row r="907" spans="1:14" x14ac:dyDescent="0.3">
      <c r="A907" s="2" t="s">
        <v>14</v>
      </c>
      <c r="B907" s="3">
        <v>24</v>
      </c>
      <c r="C907" s="4" t="s">
        <v>27</v>
      </c>
      <c r="D907" s="2" t="s">
        <v>16</v>
      </c>
      <c r="E907" s="2" t="s">
        <v>17</v>
      </c>
      <c r="F907" s="5">
        <v>3</v>
      </c>
      <c r="G907" s="1">
        <v>15000000</v>
      </c>
      <c r="H907" s="2">
        <v>5</v>
      </c>
      <c r="I907" s="6">
        <v>4.5138888888888893E-3</v>
      </c>
      <c r="J907" s="2" t="s">
        <v>18</v>
      </c>
      <c r="K907" s="2" t="s">
        <v>19</v>
      </c>
      <c r="L907" s="2" t="s">
        <v>30</v>
      </c>
      <c r="M907" s="2" t="s">
        <v>76</v>
      </c>
      <c r="N907" s="2" t="s">
        <v>52</v>
      </c>
    </row>
    <row r="908" spans="1:14" x14ac:dyDescent="0.3">
      <c r="A908" s="2" t="s">
        <v>14</v>
      </c>
      <c r="B908" s="3">
        <v>30</v>
      </c>
      <c r="C908" s="4" t="s">
        <v>27</v>
      </c>
      <c r="D908" s="2" t="s">
        <v>49</v>
      </c>
      <c r="E908" s="2" t="s">
        <v>42</v>
      </c>
      <c r="F908" s="5">
        <v>2</v>
      </c>
      <c r="G908" s="1">
        <v>12000000</v>
      </c>
      <c r="H908" s="2">
        <v>4</v>
      </c>
      <c r="I908" s="6">
        <v>4.5138888888888893E-3</v>
      </c>
      <c r="J908" s="2" t="s">
        <v>18</v>
      </c>
      <c r="K908" s="2" t="s">
        <v>29</v>
      </c>
      <c r="L908" s="2" t="s">
        <v>30</v>
      </c>
      <c r="M908" s="2" t="s">
        <v>78</v>
      </c>
      <c r="N908" s="2" t="s">
        <v>41</v>
      </c>
    </row>
    <row r="909" spans="1:14" x14ac:dyDescent="0.3">
      <c r="A909" s="2" t="s">
        <v>14</v>
      </c>
      <c r="B909" s="3">
        <v>11</v>
      </c>
      <c r="C909" s="4" t="s">
        <v>27</v>
      </c>
      <c r="D909" s="2" t="s">
        <v>16</v>
      </c>
      <c r="E909" s="2" t="s">
        <v>23</v>
      </c>
      <c r="F909" s="5">
        <v>5</v>
      </c>
      <c r="G909" s="1">
        <v>21000000</v>
      </c>
      <c r="H909" s="2">
        <v>1</v>
      </c>
      <c r="I909" s="6">
        <v>4.5138888888888893E-3</v>
      </c>
      <c r="J909" s="2" t="s">
        <v>18</v>
      </c>
      <c r="K909" s="2" t="s">
        <v>29</v>
      </c>
      <c r="L909" s="2" t="s">
        <v>51</v>
      </c>
      <c r="M909" s="2" t="s">
        <v>77</v>
      </c>
      <c r="N909" s="2" t="s">
        <v>65</v>
      </c>
    </row>
    <row r="910" spans="1:14" x14ac:dyDescent="0.3">
      <c r="A910" s="2" t="s">
        <v>14</v>
      </c>
      <c r="B910" s="3">
        <v>8</v>
      </c>
      <c r="C910" s="4" t="s">
        <v>37</v>
      </c>
      <c r="D910" s="2" t="s">
        <v>28</v>
      </c>
      <c r="E910" s="2" t="s">
        <v>23</v>
      </c>
      <c r="F910" s="5">
        <v>1</v>
      </c>
      <c r="G910" s="1">
        <v>19000000</v>
      </c>
      <c r="H910" s="2">
        <v>3</v>
      </c>
      <c r="I910" s="6">
        <v>4.5138888888888893E-3</v>
      </c>
      <c r="J910" s="2" t="s">
        <v>46</v>
      </c>
      <c r="K910" s="2" t="s">
        <v>29</v>
      </c>
      <c r="L910" s="2" t="s">
        <v>33</v>
      </c>
      <c r="M910" s="2" t="s">
        <v>76</v>
      </c>
      <c r="N910" s="2" t="s">
        <v>31</v>
      </c>
    </row>
    <row r="911" spans="1:14" x14ac:dyDescent="0.3">
      <c r="A911" s="2" t="s">
        <v>14</v>
      </c>
      <c r="B911" s="3">
        <v>26</v>
      </c>
      <c r="C911" s="4" t="s">
        <v>37</v>
      </c>
      <c r="D911" s="2" t="s">
        <v>16</v>
      </c>
      <c r="E911" s="2" t="s">
        <v>17</v>
      </c>
      <c r="F911" s="5">
        <v>2</v>
      </c>
      <c r="G911" s="1">
        <v>38000000</v>
      </c>
      <c r="H911" s="2">
        <v>4</v>
      </c>
      <c r="I911" s="6">
        <v>4.5138888888888893E-3</v>
      </c>
      <c r="J911" s="2" t="s">
        <v>46</v>
      </c>
      <c r="K911" s="2" t="s">
        <v>19</v>
      </c>
      <c r="L911" s="2" t="s">
        <v>33</v>
      </c>
      <c r="M911" s="2" t="s">
        <v>66</v>
      </c>
      <c r="N911" s="2" t="s">
        <v>67</v>
      </c>
    </row>
    <row r="912" spans="1:14" x14ac:dyDescent="0.3">
      <c r="A912" s="2" t="s">
        <v>14</v>
      </c>
      <c r="B912" s="3">
        <v>10</v>
      </c>
      <c r="C912" s="4" t="s">
        <v>37</v>
      </c>
      <c r="D912" s="2" t="s">
        <v>16</v>
      </c>
      <c r="E912" s="2" t="s">
        <v>23</v>
      </c>
      <c r="F912" s="5">
        <v>4</v>
      </c>
      <c r="G912" s="1">
        <v>11000000</v>
      </c>
      <c r="H912" s="2">
        <v>5</v>
      </c>
      <c r="I912" s="6">
        <v>4.5138888888888893E-3</v>
      </c>
      <c r="J912" s="2" t="s">
        <v>61</v>
      </c>
      <c r="K912" s="2" t="s">
        <v>35</v>
      </c>
      <c r="L912" s="2" t="s">
        <v>43</v>
      </c>
      <c r="M912" s="2" t="s">
        <v>66</v>
      </c>
      <c r="N912" s="2" t="s">
        <v>36</v>
      </c>
    </row>
    <row r="913" spans="1:14" x14ac:dyDescent="0.3">
      <c r="A913" s="2" t="s">
        <v>14</v>
      </c>
      <c r="B913" s="3">
        <v>31</v>
      </c>
      <c r="C913" s="4" t="s">
        <v>37</v>
      </c>
      <c r="D913" s="2" t="s">
        <v>38</v>
      </c>
      <c r="E913" s="2" t="s">
        <v>42</v>
      </c>
      <c r="F913" s="5">
        <v>5</v>
      </c>
      <c r="G913" s="1">
        <v>21000000</v>
      </c>
      <c r="H913" s="2">
        <v>5</v>
      </c>
      <c r="I913" s="6">
        <v>4.5138888888888893E-3</v>
      </c>
      <c r="J913" s="2" t="s">
        <v>18</v>
      </c>
      <c r="K913" s="2" t="s">
        <v>39</v>
      </c>
      <c r="L913" s="2" t="s">
        <v>20</v>
      </c>
      <c r="M913" s="2" t="s">
        <v>76</v>
      </c>
      <c r="N913" s="2" t="s">
        <v>26</v>
      </c>
    </row>
    <row r="914" spans="1:14" x14ac:dyDescent="0.3">
      <c r="A914" s="2" t="s">
        <v>14</v>
      </c>
      <c r="B914" s="3">
        <v>11</v>
      </c>
      <c r="C914" s="4" t="s">
        <v>37</v>
      </c>
      <c r="D914" s="2" t="s">
        <v>32</v>
      </c>
      <c r="E914" s="2" t="s">
        <v>17</v>
      </c>
      <c r="F914" s="5">
        <v>5</v>
      </c>
      <c r="G914" s="1">
        <v>25000000</v>
      </c>
      <c r="H914" s="2">
        <v>2</v>
      </c>
      <c r="I914" s="6">
        <v>4.5138888888888893E-3</v>
      </c>
      <c r="J914" s="2" t="s">
        <v>18</v>
      </c>
      <c r="K914" s="2" t="s">
        <v>39</v>
      </c>
      <c r="L914" s="2" t="s">
        <v>33</v>
      </c>
      <c r="M914" s="2" t="s">
        <v>78</v>
      </c>
      <c r="N914" s="2" t="s">
        <v>53</v>
      </c>
    </row>
    <row r="915" spans="1:14" x14ac:dyDescent="0.3">
      <c r="A915" s="2" t="s">
        <v>14</v>
      </c>
      <c r="B915" s="3">
        <v>5</v>
      </c>
      <c r="C915" s="4" t="s">
        <v>37</v>
      </c>
      <c r="D915" s="2" t="s">
        <v>28</v>
      </c>
      <c r="E915" s="2" t="s">
        <v>23</v>
      </c>
      <c r="F915" s="5">
        <v>4</v>
      </c>
      <c r="G915" s="1">
        <v>20000000</v>
      </c>
      <c r="H915" s="2">
        <v>4</v>
      </c>
      <c r="I915" s="6">
        <v>4.5138888888888893E-3</v>
      </c>
      <c r="J915" s="2" t="s">
        <v>18</v>
      </c>
      <c r="K915" s="2" t="s">
        <v>64</v>
      </c>
      <c r="L915" s="2" t="s">
        <v>20</v>
      </c>
      <c r="M915" s="2" t="s">
        <v>78</v>
      </c>
      <c r="N915" s="2" t="s">
        <v>63</v>
      </c>
    </row>
    <row r="916" spans="1:14" x14ac:dyDescent="0.3">
      <c r="A916" s="2" t="s">
        <v>14</v>
      </c>
      <c r="B916" s="3">
        <v>28</v>
      </c>
      <c r="C916" s="4" t="s">
        <v>37</v>
      </c>
      <c r="D916" s="2" t="s">
        <v>49</v>
      </c>
      <c r="E916" s="2" t="s">
        <v>17</v>
      </c>
      <c r="F916" s="5">
        <v>1</v>
      </c>
      <c r="G916" s="1">
        <v>7000000</v>
      </c>
      <c r="H916" s="2">
        <v>5</v>
      </c>
      <c r="I916" s="6">
        <v>4.5138888888888893E-3</v>
      </c>
      <c r="J916" s="2" t="s">
        <v>18</v>
      </c>
      <c r="K916" s="2" t="s">
        <v>19</v>
      </c>
      <c r="L916" s="2" t="s">
        <v>43</v>
      </c>
      <c r="M916" s="2" t="s">
        <v>77</v>
      </c>
      <c r="N916" s="2" t="s">
        <v>54</v>
      </c>
    </row>
    <row r="917" spans="1:14" x14ac:dyDescent="0.3">
      <c r="A917" s="2" t="s">
        <v>14</v>
      </c>
      <c r="B917" s="3">
        <v>4</v>
      </c>
      <c r="C917" s="4" t="s">
        <v>44</v>
      </c>
      <c r="D917" s="2" t="s">
        <v>28</v>
      </c>
      <c r="E917" s="2" t="s">
        <v>23</v>
      </c>
      <c r="F917" s="5">
        <v>2</v>
      </c>
      <c r="G917" s="1">
        <v>38000000</v>
      </c>
      <c r="H917" s="2">
        <v>4</v>
      </c>
      <c r="I917" s="6">
        <v>4.5138888888888893E-3</v>
      </c>
      <c r="J917" s="2" t="s">
        <v>46</v>
      </c>
      <c r="K917" s="2" t="s">
        <v>64</v>
      </c>
      <c r="L917" s="2" t="s">
        <v>20</v>
      </c>
      <c r="M917" s="2" t="s">
        <v>76</v>
      </c>
      <c r="N917" s="2" t="s">
        <v>31</v>
      </c>
    </row>
    <row r="918" spans="1:14" x14ac:dyDescent="0.3">
      <c r="A918" s="2" t="s">
        <v>14</v>
      </c>
      <c r="B918" s="3">
        <v>15</v>
      </c>
      <c r="C918" s="4" t="s">
        <v>44</v>
      </c>
      <c r="D918" s="2" t="s">
        <v>28</v>
      </c>
      <c r="E918" s="2" t="s">
        <v>45</v>
      </c>
      <c r="F918" s="5">
        <v>1</v>
      </c>
      <c r="G918" s="1">
        <v>19000000</v>
      </c>
      <c r="H918" s="2">
        <v>7</v>
      </c>
      <c r="I918" s="6">
        <v>4.5138888888888893E-3</v>
      </c>
      <c r="J918" s="2" t="s">
        <v>46</v>
      </c>
      <c r="K918" s="2" t="s">
        <v>47</v>
      </c>
      <c r="L918" s="2" t="s">
        <v>51</v>
      </c>
      <c r="M918" s="2" t="s">
        <v>77</v>
      </c>
      <c r="N918" s="2" t="s">
        <v>54</v>
      </c>
    </row>
    <row r="919" spans="1:14" x14ac:dyDescent="0.3">
      <c r="A919" s="2" t="s">
        <v>14</v>
      </c>
      <c r="B919" s="3">
        <v>22</v>
      </c>
      <c r="C919" s="4" t="s">
        <v>44</v>
      </c>
      <c r="D919" s="2" t="s">
        <v>49</v>
      </c>
      <c r="E919" s="2" t="s">
        <v>42</v>
      </c>
      <c r="F919" s="5">
        <v>4</v>
      </c>
      <c r="G919" s="1">
        <v>20000000</v>
      </c>
      <c r="H919" s="2">
        <v>3</v>
      </c>
      <c r="I919" s="6">
        <v>4.5138888888888893E-3</v>
      </c>
      <c r="J919" s="2" t="s">
        <v>61</v>
      </c>
      <c r="K919" s="2" t="s">
        <v>56</v>
      </c>
      <c r="L919" s="2" t="s">
        <v>48</v>
      </c>
      <c r="M919" s="2" t="s">
        <v>76</v>
      </c>
      <c r="N919" s="2" t="s">
        <v>52</v>
      </c>
    </row>
    <row r="920" spans="1:14" x14ac:dyDescent="0.3">
      <c r="A920" s="2" t="s">
        <v>14</v>
      </c>
      <c r="B920" s="3">
        <v>3</v>
      </c>
      <c r="C920" s="4" t="s">
        <v>44</v>
      </c>
      <c r="D920" s="2" t="s">
        <v>28</v>
      </c>
      <c r="E920" s="2" t="s">
        <v>42</v>
      </c>
      <c r="F920" s="5">
        <v>2</v>
      </c>
      <c r="G920" s="1">
        <v>12000000</v>
      </c>
      <c r="H920" s="2">
        <v>2</v>
      </c>
      <c r="I920" s="6">
        <v>4.5138888888888893E-3</v>
      </c>
      <c r="J920" s="2" t="s">
        <v>18</v>
      </c>
      <c r="K920" s="2" t="s">
        <v>19</v>
      </c>
      <c r="L920" s="2" t="s">
        <v>25</v>
      </c>
      <c r="M920" s="2" t="s">
        <v>78</v>
      </c>
      <c r="N920" s="2" t="s">
        <v>63</v>
      </c>
    </row>
    <row r="921" spans="1:14" x14ac:dyDescent="0.3">
      <c r="A921" s="2" t="s">
        <v>14</v>
      </c>
      <c r="B921" s="3">
        <v>15</v>
      </c>
      <c r="C921" s="4" t="s">
        <v>44</v>
      </c>
      <c r="D921" s="2" t="s">
        <v>16</v>
      </c>
      <c r="E921" s="2" t="s">
        <v>23</v>
      </c>
      <c r="F921" s="5">
        <v>2</v>
      </c>
      <c r="G921" s="1">
        <v>12000000</v>
      </c>
      <c r="H921" s="2">
        <v>3</v>
      </c>
      <c r="I921" s="6">
        <v>4.5138888888888893E-3</v>
      </c>
      <c r="J921" s="2" t="s">
        <v>18</v>
      </c>
      <c r="K921" s="2" t="s">
        <v>35</v>
      </c>
      <c r="L921" s="2" t="s">
        <v>30</v>
      </c>
      <c r="M921" s="2" t="s">
        <v>78</v>
      </c>
      <c r="N921" s="2" t="s">
        <v>53</v>
      </c>
    </row>
    <row r="922" spans="1:14" x14ac:dyDescent="0.3">
      <c r="A922" s="2" t="s">
        <v>14</v>
      </c>
      <c r="B922" s="3">
        <v>3</v>
      </c>
      <c r="C922" s="4" t="s">
        <v>44</v>
      </c>
      <c r="D922" s="2" t="s">
        <v>16</v>
      </c>
      <c r="E922" s="2" t="s">
        <v>17</v>
      </c>
      <c r="F922" s="5">
        <v>2</v>
      </c>
      <c r="G922" s="1">
        <v>12000000</v>
      </c>
      <c r="H922" s="2">
        <v>3</v>
      </c>
      <c r="I922" s="6">
        <v>4.5138888888888893E-3</v>
      </c>
      <c r="J922" s="2" t="s">
        <v>18</v>
      </c>
      <c r="K922" s="2" t="s">
        <v>29</v>
      </c>
      <c r="L922" s="2" t="s">
        <v>33</v>
      </c>
      <c r="M922" s="2" t="s">
        <v>76</v>
      </c>
      <c r="N922" s="2" t="s">
        <v>31</v>
      </c>
    </row>
    <row r="923" spans="1:14" x14ac:dyDescent="0.3">
      <c r="A923" s="2" t="s">
        <v>14</v>
      </c>
      <c r="B923" s="3">
        <v>11</v>
      </c>
      <c r="C923" s="4" t="s">
        <v>44</v>
      </c>
      <c r="D923" s="2" t="s">
        <v>49</v>
      </c>
      <c r="E923" s="2" t="s">
        <v>45</v>
      </c>
      <c r="F923" s="5">
        <v>3</v>
      </c>
      <c r="G923" s="1">
        <v>15000000</v>
      </c>
      <c r="H923" s="2">
        <v>3</v>
      </c>
      <c r="I923" s="6">
        <v>4.5138888888888893E-3</v>
      </c>
      <c r="J923" s="2" t="s">
        <v>18</v>
      </c>
      <c r="K923" s="2" t="s">
        <v>64</v>
      </c>
      <c r="L923" s="2" t="s">
        <v>33</v>
      </c>
      <c r="M923" s="2" t="s">
        <v>77</v>
      </c>
      <c r="N923" s="2" t="s">
        <v>54</v>
      </c>
    </row>
    <row r="924" spans="1:14" x14ac:dyDescent="0.3">
      <c r="A924" s="2" t="s">
        <v>14</v>
      </c>
      <c r="B924" s="3">
        <v>22</v>
      </c>
      <c r="C924" s="4" t="s">
        <v>44</v>
      </c>
      <c r="D924" s="2" t="s">
        <v>73</v>
      </c>
      <c r="E924" s="2" t="s">
        <v>42</v>
      </c>
      <c r="F924" s="5">
        <v>3</v>
      </c>
      <c r="G924" s="1">
        <v>15000000</v>
      </c>
      <c r="H924" s="2">
        <v>4</v>
      </c>
      <c r="I924" s="6">
        <v>4.5138888888888893E-3</v>
      </c>
      <c r="J924" s="2" t="s">
        <v>18</v>
      </c>
      <c r="K924" s="2" t="s">
        <v>19</v>
      </c>
      <c r="L924" s="2" t="s">
        <v>33</v>
      </c>
      <c r="M924" s="2" t="s">
        <v>78</v>
      </c>
      <c r="N924" s="2" t="s">
        <v>62</v>
      </c>
    </row>
    <row r="925" spans="1:14" x14ac:dyDescent="0.3">
      <c r="A925" s="2" t="s">
        <v>14</v>
      </c>
      <c r="B925" s="3">
        <v>20</v>
      </c>
      <c r="C925" s="4" t="s">
        <v>44</v>
      </c>
      <c r="D925" s="2" t="s">
        <v>16</v>
      </c>
      <c r="E925" s="2" t="s">
        <v>42</v>
      </c>
      <c r="F925" s="5">
        <v>3</v>
      </c>
      <c r="G925" s="1">
        <v>15000000</v>
      </c>
      <c r="H925" s="2">
        <v>6</v>
      </c>
      <c r="I925" s="6">
        <v>4.5138888888888893E-3</v>
      </c>
      <c r="J925" s="2" t="s">
        <v>18</v>
      </c>
      <c r="K925" s="2" t="s">
        <v>35</v>
      </c>
      <c r="L925" s="2" t="s">
        <v>20</v>
      </c>
      <c r="M925" s="2" t="s">
        <v>66</v>
      </c>
      <c r="N925" s="2" t="s">
        <v>67</v>
      </c>
    </row>
    <row r="926" spans="1:14" x14ac:dyDescent="0.3">
      <c r="A926" s="2" t="s">
        <v>14</v>
      </c>
      <c r="B926" s="3">
        <v>30</v>
      </c>
      <c r="C926" s="4" t="s">
        <v>44</v>
      </c>
      <c r="D926" s="2" t="s">
        <v>73</v>
      </c>
      <c r="E926" s="2" t="s">
        <v>42</v>
      </c>
      <c r="F926" s="5">
        <v>1</v>
      </c>
      <c r="G926" s="1">
        <v>7000000</v>
      </c>
      <c r="H926" s="2">
        <v>3</v>
      </c>
      <c r="I926" s="6">
        <v>4.5138888888888893E-3</v>
      </c>
      <c r="J926" s="2" t="s">
        <v>18</v>
      </c>
      <c r="K926" s="2" t="s">
        <v>19</v>
      </c>
      <c r="L926" s="2" t="s">
        <v>48</v>
      </c>
      <c r="M926" s="2" t="s">
        <v>76</v>
      </c>
      <c r="N926" s="2" t="s">
        <v>31</v>
      </c>
    </row>
    <row r="927" spans="1:14" x14ac:dyDescent="0.3">
      <c r="A927" s="2" t="s">
        <v>14</v>
      </c>
      <c r="B927" s="3">
        <v>2</v>
      </c>
      <c r="C927" s="4" t="s">
        <v>69</v>
      </c>
      <c r="D927" s="2" t="s">
        <v>28</v>
      </c>
      <c r="E927" s="2" t="s">
        <v>42</v>
      </c>
      <c r="F927" s="5">
        <v>3</v>
      </c>
      <c r="G927" s="1">
        <v>12000000</v>
      </c>
      <c r="H927" s="2">
        <v>3</v>
      </c>
      <c r="I927" s="6">
        <v>4.5138888888888893E-3</v>
      </c>
      <c r="J927" s="2" t="s">
        <v>18</v>
      </c>
      <c r="K927" s="2" t="s">
        <v>39</v>
      </c>
      <c r="L927" s="2" t="s">
        <v>30</v>
      </c>
      <c r="M927" s="2" t="s">
        <v>76</v>
      </c>
      <c r="N927" s="2" t="s">
        <v>31</v>
      </c>
    </row>
    <row r="928" spans="1:14" x14ac:dyDescent="0.3">
      <c r="A928" s="2" t="s">
        <v>14</v>
      </c>
      <c r="B928" s="3">
        <v>17</v>
      </c>
      <c r="C928" s="4" t="s">
        <v>69</v>
      </c>
      <c r="D928" s="2" t="s">
        <v>16</v>
      </c>
      <c r="E928" s="2" t="s">
        <v>42</v>
      </c>
      <c r="F928" s="5">
        <v>3</v>
      </c>
      <c r="G928" s="1">
        <v>11000000</v>
      </c>
      <c r="H928" s="2">
        <v>4</v>
      </c>
      <c r="I928" s="6">
        <v>4.5138888888888893E-3</v>
      </c>
      <c r="J928" s="2" t="s">
        <v>18</v>
      </c>
      <c r="K928" s="2" t="s">
        <v>47</v>
      </c>
      <c r="L928" s="2" t="s">
        <v>43</v>
      </c>
      <c r="M928" s="2" t="s">
        <v>78</v>
      </c>
      <c r="N928" s="2" t="s">
        <v>41</v>
      </c>
    </row>
    <row r="929" spans="1:14" x14ac:dyDescent="0.3">
      <c r="A929" s="2" t="s">
        <v>14</v>
      </c>
      <c r="B929" s="3">
        <v>24</v>
      </c>
      <c r="C929" s="4" t="s">
        <v>69</v>
      </c>
      <c r="D929" s="2" t="s">
        <v>32</v>
      </c>
      <c r="E929" s="2" t="s">
        <v>17</v>
      </c>
      <c r="F929" s="5">
        <v>5</v>
      </c>
      <c r="G929" s="1">
        <v>25000000</v>
      </c>
      <c r="H929" s="2">
        <v>6</v>
      </c>
      <c r="I929" s="6">
        <v>4.5138888888888893E-3</v>
      </c>
      <c r="J929" s="2" t="s">
        <v>18</v>
      </c>
      <c r="K929" s="2" t="s">
        <v>35</v>
      </c>
      <c r="L929" s="2" t="s">
        <v>51</v>
      </c>
      <c r="M929" s="2" t="s">
        <v>78</v>
      </c>
      <c r="N929" s="2" t="s">
        <v>62</v>
      </c>
    </row>
    <row r="930" spans="1:14" x14ac:dyDescent="0.3">
      <c r="A930" s="2" t="s">
        <v>14</v>
      </c>
      <c r="B930" s="3">
        <v>28</v>
      </c>
      <c r="C930" s="4" t="s">
        <v>69</v>
      </c>
      <c r="D930" s="2" t="s">
        <v>73</v>
      </c>
      <c r="E930" s="2" t="s">
        <v>42</v>
      </c>
      <c r="F930" s="5">
        <v>4</v>
      </c>
      <c r="G930" s="1">
        <v>20000000</v>
      </c>
      <c r="H930" s="2">
        <v>2</v>
      </c>
      <c r="I930" s="6">
        <v>4.5138888888888893E-3</v>
      </c>
      <c r="J930" s="2" t="s">
        <v>18</v>
      </c>
      <c r="K930" s="2" t="s">
        <v>39</v>
      </c>
      <c r="L930" s="2" t="s">
        <v>51</v>
      </c>
      <c r="M930" s="2" t="s">
        <v>76</v>
      </c>
      <c r="N930" s="2" t="s">
        <v>31</v>
      </c>
    </row>
    <row r="931" spans="1:14" x14ac:dyDescent="0.3">
      <c r="A931" s="2" t="s">
        <v>14</v>
      </c>
      <c r="B931" s="3">
        <v>1</v>
      </c>
      <c r="C931" s="4" t="s">
        <v>15</v>
      </c>
      <c r="D931" s="2" t="s">
        <v>38</v>
      </c>
      <c r="E931" s="2" t="s">
        <v>68</v>
      </c>
      <c r="F931" s="5">
        <v>2</v>
      </c>
      <c r="G931" s="1">
        <v>12000000</v>
      </c>
      <c r="H931" s="2">
        <v>1</v>
      </c>
      <c r="I931" s="6">
        <v>4.5138888888888893E-3</v>
      </c>
      <c r="J931" s="2" t="s">
        <v>18</v>
      </c>
      <c r="K931" s="2" t="s">
        <v>47</v>
      </c>
      <c r="L931" s="2" t="s">
        <v>25</v>
      </c>
      <c r="M931" s="2" t="s">
        <v>66</v>
      </c>
      <c r="N931" s="2" t="s">
        <v>36</v>
      </c>
    </row>
    <row r="932" spans="1:14" x14ac:dyDescent="0.3">
      <c r="A932" s="2" t="s">
        <v>14</v>
      </c>
      <c r="B932" s="3">
        <v>1</v>
      </c>
      <c r="C932" s="4" t="s">
        <v>15</v>
      </c>
      <c r="D932" s="2" t="s">
        <v>28</v>
      </c>
      <c r="E932" s="2" t="s">
        <v>23</v>
      </c>
      <c r="F932" s="5">
        <v>2</v>
      </c>
      <c r="G932" s="1">
        <v>12000000</v>
      </c>
      <c r="H932" s="2">
        <v>1</v>
      </c>
      <c r="I932" s="6">
        <v>4.5138888888888893E-3</v>
      </c>
      <c r="J932" s="2" t="s">
        <v>18</v>
      </c>
      <c r="K932" s="2" t="s">
        <v>39</v>
      </c>
      <c r="L932" s="2" t="s">
        <v>48</v>
      </c>
      <c r="M932" s="2" t="s">
        <v>76</v>
      </c>
      <c r="N932" s="2" t="s">
        <v>26</v>
      </c>
    </row>
    <row r="933" spans="1:14" x14ac:dyDescent="0.3">
      <c r="A933" s="2" t="s">
        <v>14</v>
      </c>
      <c r="B933" s="3">
        <v>1</v>
      </c>
      <c r="C933" s="4" t="s">
        <v>15</v>
      </c>
      <c r="D933" s="2" t="s">
        <v>32</v>
      </c>
      <c r="E933" s="2" t="s">
        <v>42</v>
      </c>
      <c r="F933" s="5">
        <v>5</v>
      </c>
      <c r="G933" s="1">
        <v>25000000</v>
      </c>
      <c r="H933" s="2">
        <v>2</v>
      </c>
      <c r="I933" s="6">
        <v>4.5138888888888893E-3</v>
      </c>
      <c r="J933" s="2" t="s">
        <v>18</v>
      </c>
      <c r="K933" s="2" t="s">
        <v>47</v>
      </c>
      <c r="L933" s="2" t="s">
        <v>48</v>
      </c>
      <c r="M933" s="2" t="s">
        <v>78</v>
      </c>
      <c r="N933" s="2" t="s">
        <v>53</v>
      </c>
    </row>
    <row r="934" spans="1:14" x14ac:dyDescent="0.3">
      <c r="A934" s="2" t="s">
        <v>14</v>
      </c>
      <c r="B934" s="3">
        <v>12</v>
      </c>
      <c r="C934" s="4" t="s">
        <v>60</v>
      </c>
      <c r="D934" s="2" t="s">
        <v>73</v>
      </c>
      <c r="E934" s="2" t="s">
        <v>42</v>
      </c>
      <c r="F934" s="5">
        <v>4</v>
      </c>
      <c r="G934" s="1">
        <v>11000000</v>
      </c>
      <c r="H934" s="2">
        <v>1</v>
      </c>
      <c r="I934" s="6">
        <v>4.5138888888888893E-3</v>
      </c>
      <c r="J934" s="2" t="s">
        <v>61</v>
      </c>
      <c r="K934" s="2" t="s">
        <v>24</v>
      </c>
      <c r="L934" s="2" t="s">
        <v>30</v>
      </c>
      <c r="M934" s="2" t="s">
        <v>76</v>
      </c>
      <c r="N934" s="2" t="s">
        <v>26</v>
      </c>
    </row>
    <row r="935" spans="1:14" x14ac:dyDescent="0.3">
      <c r="A935" s="2" t="s">
        <v>70</v>
      </c>
      <c r="B935" s="3">
        <v>19</v>
      </c>
      <c r="C935" s="4" t="s">
        <v>58</v>
      </c>
      <c r="D935" s="2" t="s">
        <v>16</v>
      </c>
      <c r="E935" s="2" t="s">
        <v>23</v>
      </c>
      <c r="F935" s="5">
        <v>0</v>
      </c>
      <c r="G935" s="1">
        <v>0</v>
      </c>
      <c r="H935" s="2">
        <v>3</v>
      </c>
      <c r="I935" s="6">
        <v>4.5138888888888893E-3</v>
      </c>
      <c r="J935" s="2"/>
      <c r="K935" s="2"/>
      <c r="L935" s="2" t="s">
        <v>25</v>
      </c>
      <c r="M935" s="2" t="s">
        <v>66</v>
      </c>
      <c r="N935" s="2" t="s">
        <v>36</v>
      </c>
    </row>
    <row r="936" spans="1:14" x14ac:dyDescent="0.3">
      <c r="A936" s="2" t="s">
        <v>70</v>
      </c>
      <c r="B936" s="3">
        <v>3</v>
      </c>
      <c r="C936" s="4" t="s">
        <v>72</v>
      </c>
      <c r="D936" s="2" t="s">
        <v>16</v>
      </c>
      <c r="E936" s="2" t="s">
        <v>23</v>
      </c>
      <c r="F936" s="5">
        <v>0</v>
      </c>
      <c r="G936" s="1">
        <v>0</v>
      </c>
      <c r="H936" s="2">
        <v>1</v>
      </c>
      <c r="I936" s="6">
        <v>4.5138888888888893E-3</v>
      </c>
      <c r="J936" s="2"/>
      <c r="K936" s="2"/>
      <c r="L936" s="2" t="s">
        <v>48</v>
      </c>
      <c r="M936" s="2" t="s">
        <v>76</v>
      </c>
      <c r="N936" s="2" t="s">
        <v>31</v>
      </c>
    </row>
    <row r="937" spans="1:14" x14ac:dyDescent="0.3">
      <c r="A937" s="2" t="s">
        <v>70</v>
      </c>
      <c r="B937" s="3">
        <v>23</v>
      </c>
      <c r="C937" s="4" t="s">
        <v>27</v>
      </c>
      <c r="D937" s="2" t="s">
        <v>38</v>
      </c>
      <c r="E937" s="2" t="s">
        <v>23</v>
      </c>
      <c r="F937" s="5">
        <v>0</v>
      </c>
      <c r="G937" s="1">
        <v>0</v>
      </c>
      <c r="H937" s="2">
        <v>3</v>
      </c>
      <c r="I937" s="6">
        <v>4.5138888888888893E-3</v>
      </c>
      <c r="J937" s="2"/>
      <c r="K937" s="2"/>
      <c r="L937" s="2" t="s">
        <v>51</v>
      </c>
      <c r="M937" s="2" t="s">
        <v>78</v>
      </c>
      <c r="N937" s="2" t="s">
        <v>41</v>
      </c>
    </row>
    <row r="938" spans="1:14" x14ac:dyDescent="0.3">
      <c r="A938" s="2" t="s">
        <v>70</v>
      </c>
      <c r="B938" s="3">
        <v>5</v>
      </c>
      <c r="C938" s="4" t="s">
        <v>37</v>
      </c>
      <c r="D938" s="2" t="s">
        <v>16</v>
      </c>
      <c r="E938" s="2" t="s">
        <v>17</v>
      </c>
      <c r="F938" s="5">
        <v>0</v>
      </c>
      <c r="G938" s="1">
        <v>0</v>
      </c>
      <c r="H938" s="2">
        <v>1</v>
      </c>
      <c r="I938" s="6">
        <v>4.5138888888888893E-3</v>
      </c>
      <c r="J938" s="2"/>
      <c r="K938" s="2"/>
      <c r="L938" s="2" t="s">
        <v>30</v>
      </c>
      <c r="M938" s="2" t="s">
        <v>78</v>
      </c>
      <c r="N938" s="2" t="s">
        <v>62</v>
      </c>
    </row>
    <row r="939" spans="1:14" x14ac:dyDescent="0.3">
      <c r="A939" s="2" t="s">
        <v>70</v>
      </c>
      <c r="B939" s="3">
        <v>10</v>
      </c>
      <c r="C939" s="4" t="s">
        <v>37</v>
      </c>
      <c r="D939" s="2" t="s">
        <v>49</v>
      </c>
      <c r="E939" s="2" t="s">
        <v>23</v>
      </c>
      <c r="F939" s="5">
        <v>0</v>
      </c>
      <c r="G939" s="1">
        <v>0</v>
      </c>
      <c r="H939" s="2">
        <v>6</v>
      </c>
      <c r="I939" s="6">
        <v>4.5138888888888893E-3</v>
      </c>
      <c r="J939" s="2"/>
      <c r="K939" s="2"/>
      <c r="L939" s="2" t="s">
        <v>43</v>
      </c>
      <c r="M939" s="2" t="s">
        <v>77</v>
      </c>
      <c r="N939" s="2" t="s">
        <v>65</v>
      </c>
    </row>
    <row r="940" spans="1:14" x14ac:dyDescent="0.3">
      <c r="A940" s="2" t="s">
        <v>70</v>
      </c>
      <c r="B940" s="3">
        <v>24</v>
      </c>
      <c r="C940" s="4" t="s">
        <v>37</v>
      </c>
      <c r="D940" s="2" t="s">
        <v>49</v>
      </c>
      <c r="E940" s="2" t="s">
        <v>42</v>
      </c>
      <c r="F940" s="5">
        <v>0</v>
      </c>
      <c r="G940" s="1">
        <v>0</v>
      </c>
      <c r="H940" s="2">
        <v>3</v>
      </c>
      <c r="I940" s="6">
        <v>4.5138888888888893E-3</v>
      </c>
      <c r="J940" s="2"/>
      <c r="K940" s="2"/>
      <c r="L940" s="2" t="s">
        <v>25</v>
      </c>
      <c r="M940" s="2" t="s">
        <v>66</v>
      </c>
      <c r="N940" s="2" t="s">
        <v>67</v>
      </c>
    </row>
    <row r="941" spans="1:14" x14ac:dyDescent="0.3">
      <c r="A941" s="2" t="s">
        <v>70</v>
      </c>
      <c r="B941" s="3">
        <v>29</v>
      </c>
      <c r="C941" s="4" t="s">
        <v>69</v>
      </c>
      <c r="D941" s="2" t="s">
        <v>38</v>
      </c>
      <c r="E941" s="2" t="s">
        <v>42</v>
      </c>
      <c r="F941" s="5">
        <v>0</v>
      </c>
      <c r="G941" s="1">
        <v>0</v>
      </c>
      <c r="H941" s="2">
        <v>3</v>
      </c>
      <c r="I941" s="6">
        <v>4.5138888888888893E-3</v>
      </c>
      <c r="J941" s="2"/>
      <c r="K941" s="2"/>
      <c r="L941" s="2" t="s">
        <v>43</v>
      </c>
      <c r="M941" s="2" t="s">
        <v>76</v>
      </c>
      <c r="N941" s="2" t="s">
        <v>26</v>
      </c>
    </row>
    <row r="942" spans="1:14" x14ac:dyDescent="0.3">
      <c r="A942" s="2" t="s">
        <v>70</v>
      </c>
      <c r="B942" s="3">
        <v>30</v>
      </c>
      <c r="C942" s="4" t="s">
        <v>69</v>
      </c>
      <c r="D942" s="2" t="s">
        <v>28</v>
      </c>
      <c r="E942" s="2" t="s">
        <v>68</v>
      </c>
      <c r="F942" s="5">
        <v>0</v>
      </c>
      <c r="G942" s="1">
        <v>0</v>
      </c>
      <c r="H942" s="2">
        <v>1</v>
      </c>
      <c r="I942" s="6">
        <v>4.5138888888888893E-3</v>
      </c>
      <c r="J942" s="2"/>
      <c r="K942" s="2"/>
      <c r="L942" s="2" t="s">
        <v>25</v>
      </c>
      <c r="M942" s="2" t="s">
        <v>78</v>
      </c>
      <c r="N942" s="2" t="s">
        <v>21</v>
      </c>
    </row>
    <row r="943" spans="1:14" x14ac:dyDescent="0.3">
      <c r="A943" s="2" t="s">
        <v>70</v>
      </c>
      <c r="B943" s="3">
        <v>21</v>
      </c>
      <c r="C943" s="4" t="s">
        <v>69</v>
      </c>
      <c r="D943" s="2" t="s">
        <v>16</v>
      </c>
      <c r="E943" s="2" t="s">
        <v>23</v>
      </c>
      <c r="F943" s="5">
        <v>0</v>
      </c>
      <c r="G943" s="1">
        <v>0</v>
      </c>
      <c r="H943" s="2">
        <v>2</v>
      </c>
      <c r="I943" s="6">
        <v>4.5138888888888893E-3</v>
      </c>
      <c r="J943" s="2"/>
      <c r="K943" s="2"/>
      <c r="L943" s="2" t="s">
        <v>48</v>
      </c>
      <c r="M943" s="2" t="s">
        <v>76</v>
      </c>
      <c r="N943" s="2" t="s">
        <v>26</v>
      </c>
    </row>
    <row r="944" spans="1:14" x14ac:dyDescent="0.3">
      <c r="A944" s="2" t="s">
        <v>70</v>
      </c>
      <c r="B944" s="3">
        <v>19</v>
      </c>
      <c r="C944" s="4" t="s">
        <v>58</v>
      </c>
      <c r="D944" s="2" t="s">
        <v>16</v>
      </c>
      <c r="E944" s="2" t="s">
        <v>23</v>
      </c>
      <c r="F944" s="5">
        <v>0</v>
      </c>
      <c r="G944" s="1">
        <v>0</v>
      </c>
      <c r="H944" s="2">
        <v>3</v>
      </c>
      <c r="I944" s="6">
        <v>4.5138888888888893E-3</v>
      </c>
      <c r="J944" s="2"/>
      <c r="K944" s="2"/>
      <c r="L944" s="2" t="s">
        <v>25</v>
      </c>
      <c r="M944" s="2" t="s">
        <v>66</v>
      </c>
      <c r="N944" s="2" t="s">
        <v>36</v>
      </c>
    </row>
    <row r="945" spans="1:14" x14ac:dyDescent="0.3">
      <c r="A945" s="2" t="s">
        <v>70</v>
      </c>
      <c r="B945" s="3">
        <v>3</v>
      </c>
      <c r="C945" s="4" t="s">
        <v>72</v>
      </c>
      <c r="D945" s="2" t="s">
        <v>16</v>
      </c>
      <c r="E945" s="2" t="s">
        <v>23</v>
      </c>
      <c r="F945" s="5">
        <v>0</v>
      </c>
      <c r="G945" s="1">
        <v>0</v>
      </c>
      <c r="H945" s="2">
        <v>1</v>
      </c>
      <c r="I945" s="6">
        <v>4.5138888888888893E-3</v>
      </c>
      <c r="J945" s="2"/>
      <c r="K945" s="2"/>
      <c r="L945" s="2" t="s">
        <v>48</v>
      </c>
      <c r="M945" s="2" t="s">
        <v>76</v>
      </c>
      <c r="N945" s="2" t="s">
        <v>31</v>
      </c>
    </row>
    <row r="946" spans="1:14" x14ac:dyDescent="0.3">
      <c r="A946" s="2" t="s">
        <v>14</v>
      </c>
      <c r="B946" s="3">
        <v>19</v>
      </c>
      <c r="C946" s="4" t="s">
        <v>57</v>
      </c>
      <c r="D946" s="2" t="s">
        <v>28</v>
      </c>
      <c r="E946" s="2" t="s">
        <v>45</v>
      </c>
      <c r="F946" s="5">
        <v>2</v>
      </c>
      <c r="G946" s="1">
        <v>12000000</v>
      </c>
      <c r="H946" s="2">
        <v>3</v>
      </c>
      <c r="I946" s="6">
        <v>4.9768518518518521E-3</v>
      </c>
      <c r="J946" s="2" t="s">
        <v>18</v>
      </c>
      <c r="K946" s="2" t="s">
        <v>24</v>
      </c>
      <c r="L946" s="2" t="s">
        <v>48</v>
      </c>
      <c r="M946" s="2" t="s">
        <v>76</v>
      </c>
      <c r="N946" s="2" t="s">
        <v>52</v>
      </c>
    </row>
    <row r="947" spans="1:14" x14ac:dyDescent="0.3">
      <c r="A947" s="2" t="s">
        <v>14</v>
      </c>
      <c r="B947" s="3">
        <v>22</v>
      </c>
      <c r="C947" s="4" t="s">
        <v>27</v>
      </c>
      <c r="D947" s="2" t="s">
        <v>73</v>
      </c>
      <c r="E947" s="2" t="s">
        <v>17</v>
      </c>
      <c r="F947" s="5">
        <v>4</v>
      </c>
      <c r="G947" s="1">
        <v>15000000</v>
      </c>
      <c r="H947" s="2">
        <v>2</v>
      </c>
      <c r="I947" s="6">
        <v>4.9768518518518521E-3</v>
      </c>
      <c r="J947" s="2" t="s">
        <v>18</v>
      </c>
      <c r="K947" s="2" t="s">
        <v>35</v>
      </c>
      <c r="L947" s="2" t="s">
        <v>43</v>
      </c>
      <c r="M947" s="2" t="s">
        <v>77</v>
      </c>
      <c r="N947" s="2" t="s">
        <v>54</v>
      </c>
    </row>
    <row r="948" spans="1:14" x14ac:dyDescent="0.3">
      <c r="A948" s="2" t="s">
        <v>14</v>
      </c>
      <c r="B948" s="3">
        <v>25</v>
      </c>
      <c r="C948" s="4" t="s">
        <v>37</v>
      </c>
      <c r="D948" s="2" t="s">
        <v>16</v>
      </c>
      <c r="E948" s="2" t="s">
        <v>42</v>
      </c>
      <c r="F948" s="5">
        <v>1</v>
      </c>
      <c r="G948" s="1">
        <v>19000000</v>
      </c>
      <c r="H948" s="2">
        <v>4</v>
      </c>
      <c r="I948" s="6">
        <v>4.9768518518518521E-3</v>
      </c>
      <c r="J948" s="2" t="s">
        <v>46</v>
      </c>
      <c r="K948" s="2" t="s">
        <v>64</v>
      </c>
      <c r="L948" s="2" t="s">
        <v>30</v>
      </c>
      <c r="M948" s="2" t="s">
        <v>66</v>
      </c>
      <c r="N948" s="2" t="s">
        <v>36</v>
      </c>
    </row>
    <row r="949" spans="1:14" x14ac:dyDescent="0.3">
      <c r="A949" s="2" t="s">
        <v>14</v>
      </c>
      <c r="B949" s="3">
        <v>31</v>
      </c>
      <c r="C949" s="4" t="s">
        <v>37</v>
      </c>
      <c r="D949" s="2" t="s">
        <v>16</v>
      </c>
      <c r="E949" s="2" t="s">
        <v>17</v>
      </c>
      <c r="F949" s="5">
        <v>3</v>
      </c>
      <c r="G949" s="1">
        <v>11000000</v>
      </c>
      <c r="H949" s="2">
        <v>1</v>
      </c>
      <c r="I949" s="6">
        <v>4.9768518518518521E-3</v>
      </c>
      <c r="J949" s="2" t="s">
        <v>18</v>
      </c>
      <c r="K949" s="2" t="s">
        <v>39</v>
      </c>
      <c r="L949" s="2" t="s">
        <v>33</v>
      </c>
      <c r="M949" s="2" t="s">
        <v>76</v>
      </c>
      <c r="N949" s="2" t="s">
        <v>26</v>
      </c>
    </row>
    <row r="950" spans="1:14" x14ac:dyDescent="0.3">
      <c r="A950" s="2" t="s">
        <v>14</v>
      </c>
      <c r="B950" s="3">
        <v>29</v>
      </c>
      <c r="C950" s="4" t="s">
        <v>37</v>
      </c>
      <c r="D950" s="2" t="s">
        <v>49</v>
      </c>
      <c r="E950" s="2" t="s">
        <v>23</v>
      </c>
      <c r="F950" s="5">
        <v>2</v>
      </c>
      <c r="G950" s="1">
        <v>12000000</v>
      </c>
      <c r="H950" s="2">
        <v>3</v>
      </c>
      <c r="I950" s="6">
        <v>4.9768518518518521E-3</v>
      </c>
      <c r="J950" s="2" t="s">
        <v>18</v>
      </c>
      <c r="K950" s="2" t="s">
        <v>39</v>
      </c>
      <c r="L950" s="2" t="s">
        <v>40</v>
      </c>
      <c r="M950" s="2" t="s">
        <v>76</v>
      </c>
      <c r="N950" s="2" t="s">
        <v>26</v>
      </c>
    </row>
    <row r="951" spans="1:14" x14ac:dyDescent="0.3">
      <c r="A951" s="2" t="s">
        <v>14</v>
      </c>
      <c r="B951" s="3">
        <v>2</v>
      </c>
      <c r="C951" s="4" t="s">
        <v>44</v>
      </c>
      <c r="D951" s="2" t="s">
        <v>49</v>
      </c>
      <c r="E951" s="2" t="s">
        <v>68</v>
      </c>
      <c r="F951" s="5">
        <v>2</v>
      </c>
      <c r="G951" s="1">
        <v>38000000</v>
      </c>
      <c r="H951" s="2">
        <v>1</v>
      </c>
      <c r="I951" s="6">
        <v>4.9768518518518521E-3</v>
      </c>
      <c r="J951" s="2" t="s">
        <v>46</v>
      </c>
      <c r="K951" s="2" t="s">
        <v>19</v>
      </c>
      <c r="L951" s="2" t="s">
        <v>30</v>
      </c>
      <c r="M951" s="2" t="s">
        <v>77</v>
      </c>
      <c r="N951" s="2" t="s">
        <v>54</v>
      </c>
    </row>
    <row r="952" spans="1:14" x14ac:dyDescent="0.3">
      <c r="A952" s="2" t="s">
        <v>14</v>
      </c>
      <c r="B952" s="3">
        <v>22</v>
      </c>
      <c r="C952" s="4" t="s">
        <v>44</v>
      </c>
      <c r="D952" s="2" t="s">
        <v>73</v>
      </c>
      <c r="E952" s="2" t="s">
        <v>23</v>
      </c>
      <c r="F952" s="5">
        <v>5</v>
      </c>
      <c r="G952" s="1">
        <v>25000000</v>
      </c>
      <c r="H952" s="2">
        <v>3</v>
      </c>
      <c r="I952" s="6">
        <v>4.9768518518518521E-3</v>
      </c>
      <c r="J952" s="2" t="s">
        <v>18</v>
      </c>
      <c r="K952" s="2" t="s">
        <v>56</v>
      </c>
      <c r="L952" s="2" t="s">
        <v>48</v>
      </c>
      <c r="M952" s="2" t="s">
        <v>76</v>
      </c>
      <c r="N952" s="2" t="s">
        <v>52</v>
      </c>
    </row>
    <row r="953" spans="1:14" x14ac:dyDescent="0.3">
      <c r="A953" s="2" t="s">
        <v>14</v>
      </c>
      <c r="B953" s="3">
        <v>29</v>
      </c>
      <c r="C953" s="4" t="s">
        <v>69</v>
      </c>
      <c r="D953" s="2" t="s">
        <v>16</v>
      </c>
      <c r="E953" s="2" t="s">
        <v>23</v>
      </c>
      <c r="F953" s="5">
        <v>1</v>
      </c>
      <c r="G953" s="1">
        <v>7000000</v>
      </c>
      <c r="H953" s="2">
        <v>1</v>
      </c>
      <c r="I953" s="6">
        <v>4.9768518518518521E-3</v>
      </c>
      <c r="J953" s="2" t="s">
        <v>18</v>
      </c>
      <c r="K953" s="2" t="s">
        <v>35</v>
      </c>
      <c r="L953" s="2" t="s">
        <v>30</v>
      </c>
      <c r="M953" s="2" t="s">
        <v>78</v>
      </c>
      <c r="N953" s="2" t="s">
        <v>62</v>
      </c>
    </row>
    <row r="954" spans="1:14" x14ac:dyDescent="0.3">
      <c r="A954" s="2" t="s">
        <v>14</v>
      </c>
      <c r="B954" s="3">
        <v>19</v>
      </c>
      <c r="C954" s="4" t="s">
        <v>57</v>
      </c>
      <c r="D954" s="2" t="s">
        <v>28</v>
      </c>
      <c r="E954" s="2" t="s">
        <v>45</v>
      </c>
      <c r="F954" s="5">
        <v>2</v>
      </c>
      <c r="G954" s="1">
        <v>12000000</v>
      </c>
      <c r="H954" s="2">
        <v>3</v>
      </c>
      <c r="I954" s="6">
        <v>4.9768518518518521E-3</v>
      </c>
      <c r="J954" s="2" t="s">
        <v>18</v>
      </c>
      <c r="K954" s="2" t="s">
        <v>24</v>
      </c>
      <c r="L954" s="2" t="s">
        <v>48</v>
      </c>
      <c r="M954" s="2" t="s">
        <v>76</v>
      </c>
      <c r="N954" s="2" t="s">
        <v>52</v>
      </c>
    </row>
    <row r="955" spans="1:14" x14ac:dyDescent="0.3">
      <c r="A955" s="2" t="s">
        <v>70</v>
      </c>
      <c r="B955" s="3">
        <v>28</v>
      </c>
      <c r="C955" s="4" t="s">
        <v>27</v>
      </c>
      <c r="D955" s="2" t="s">
        <v>38</v>
      </c>
      <c r="E955" s="2" t="s">
        <v>42</v>
      </c>
      <c r="F955" s="5">
        <v>0</v>
      </c>
      <c r="G955" s="1">
        <v>0</v>
      </c>
      <c r="H955" s="2">
        <v>1</v>
      </c>
      <c r="I955" s="6">
        <v>4.9768518518518521E-3</v>
      </c>
      <c r="J955" s="2"/>
      <c r="K955" s="2"/>
      <c r="L955" s="2" t="s">
        <v>51</v>
      </c>
      <c r="M955" s="2" t="s">
        <v>78</v>
      </c>
      <c r="N955" s="2" t="s">
        <v>66</v>
      </c>
    </row>
    <row r="956" spans="1:14" x14ac:dyDescent="0.3">
      <c r="A956" s="2" t="s">
        <v>70</v>
      </c>
      <c r="B956" s="3">
        <v>5</v>
      </c>
      <c r="C956" s="4" t="s">
        <v>37</v>
      </c>
      <c r="D956" s="2" t="s">
        <v>38</v>
      </c>
      <c r="E956" s="2" t="s">
        <v>42</v>
      </c>
      <c r="F956" s="5">
        <v>0</v>
      </c>
      <c r="G956" s="1">
        <v>0</v>
      </c>
      <c r="H956" s="2">
        <v>2</v>
      </c>
      <c r="I956" s="6">
        <v>4.9768518518518521E-3</v>
      </c>
      <c r="J956" s="2"/>
      <c r="K956" s="2"/>
      <c r="L956" s="2" t="s">
        <v>20</v>
      </c>
      <c r="M956" s="2" t="s">
        <v>78</v>
      </c>
      <c r="N956" s="2" t="s">
        <v>53</v>
      </c>
    </row>
    <row r="957" spans="1:14" x14ac:dyDescent="0.3">
      <c r="A957" s="2" t="s">
        <v>70</v>
      </c>
      <c r="B957" s="3">
        <v>29</v>
      </c>
      <c r="C957" s="4" t="s">
        <v>37</v>
      </c>
      <c r="D957" s="2" t="s">
        <v>32</v>
      </c>
      <c r="E957" s="2" t="s">
        <v>45</v>
      </c>
      <c r="F957" s="5">
        <v>0</v>
      </c>
      <c r="G957" s="1">
        <v>0</v>
      </c>
      <c r="H957" s="2">
        <v>5</v>
      </c>
      <c r="I957" s="6">
        <v>4.9768518518518521E-3</v>
      </c>
      <c r="J957" s="2"/>
      <c r="K957" s="2"/>
      <c r="L957" s="2" t="s">
        <v>25</v>
      </c>
      <c r="M957" s="2" t="s">
        <v>66</v>
      </c>
      <c r="N957" s="2" t="s">
        <v>36</v>
      </c>
    </row>
    <row r="958" spans="1:14" x14ac:dyDescent="0.3">
      <c r="A958" s="2" t="s">
        <v>70</v>
      </c>
      <c r="B958" s="3">
        <v>30</v>
      </c>
      <c r="C958" s="4" t="s">
        <v>44</v>
      </c>
      <c r="D958" s="2" t="s">
        <v>32</v>
      </c>
      <c r="E958" s="2" t="s">
        <v>42</v>
      </c>
      <c r="F958" s="5">
        <v>0</v>
      </c>
      <c r="G958" s="1">
        <v>0</v>
      </c>
      <c r="H958" s="2">
        <v>1</v>
      </c>
      <c r="I958" s="6">
        <v>4.9768518518518521E-3</v>
      </c>
      <c r="J958" s="2"/>
      <c r="K958" s="2"/>
      <c r="L958" s="2" t="s">
        <v>33</v>
      </c>
      <c r="M958" s="2" t="s">
        <v>78</v>
      </c>
      <c r="N958" s="2" t="s">
        <v>66</v>
      </c>
    </row>
    <row r="959" spans="1:14" x14ac:dyDescent="0.3">
      <c r="A959" s="2" t="s">
        <v>70</v>
      </c>
      <c r="B959" s="3">
        <v>15</v>
      </c>
      <c r="C959" s="4" t="s">
        <v>44</v>
      </c>
      <c r="D959" s="2" t="s">
        <v>49</v>
      </c>
      <c r="E959" s="2" t="s">
        <v>42</v>
      </c>
      <c r="F959" s="5">
        <v>0</v>
      </c>
      <c r="G959" s="1">
        <v>0</v>
      </c>
      <c r="H959" s="2">
        <v>4</v>
      </c>
      <c r="I959" s="6">
        <v>4.9768518518518521E-3</v>
      </c>
      <c r="J959" s="2"/>
      <c r="K959" s="2"/>
      <c r="L959" s="2" t="s">
        <v>51</v>
      </c>
      <c r="M959" s="2" t="s">
        <v>78</v>
      </c>
      <c r="N959" s="2" t="s">
        <v>66</v>
      </c>
    </row>
    <row r="960" spans="1:14" x14ac:dyDescent="0.3">
      <c r="A960" s="2" t="s">
        <v>14</v>
      </c>
      <c r="B960" s="3">
        <v>14</v>
      </c>
      <c r="C960" s="4" t="s">
        <v>55</v>
      </c>
      <c r="D960" s="2" t="s">
        <v>32</v>
      </c>
      <c r="E960" s="2" t="s">
        <v>17</v>
      </c>
      <c r="F960" s="5">
        <v>5</v>
      </c>
      <c r="G960" s="1">
        <v>20000000</v>
      </c>
      <c r="H960" s="2">
        <v>6</v>
      </c>
      <c r="I960" s="6">
        <v>5.0231481481481481E-3</v>
      </c>
      <c r="J960" s="2" t="s">
        <v>18</v>
      </c>
      <c r="K960" s="2" t="s">
        <v>47</v>
      </c>
      <c r="L960" s="2" t="s">
        <v>33</v>
      </c>
      <c r="M960" s="2" t="s">
        <v>78</v>
      </c>
      <c r="N960" s="2" t="s">
        <v>53</v>
      </c>
    </row>
    <row r="961" spans="1:14" x14ac:dyDescent="0.3">
      <c r="A961" s="2" t="s">
        <v>14</v>
      </c>
      <c r="B961" s="3">
        <v>11</v>
      </c>
      <c r="C961" s="4" t="s">
        <v>57</v>
      </c>
      <c r="D961" s="2" t="s">
        <v>16</v>
      </c>
      <c r="E961" s="2" t="s">
        <v>23</v>
      </c>
      <c r="F961" s="5">
        <v>1</v>
      </c>
      <c r="G961" s="1">
        <v>19000000</v>
      </c>
      <c r="H961" s="2">
        <v>3</v>
      </c>
      <c r="I961" s="6">
        <v>5.0231481481481481E-3</v>
      </c>
      <c r="J961" s="2" t="s">
        <v>46</v>
      </c>
      <c r="K961" s="2" t="s">
        <v>39</v>
      </c>
      <c r="L961" s="2" t="s">
        <v>48</v>
      </c>
      <c r="M961" s="2" t="s">
        <v>76</v>
      </c>
      <c r="N961" s="2" t="s">
        <v>26</v>
      </c>
    </row>
    <row r="962" spans="1:14" x14ac:dyDescent="0.3">
      <c r="A962" s="2" t="s">
        <v>14</v>
      </c>
      <c r="B962" s="3">
        <v>13</v>
      </c>
      <c r="C962" s="4" t="s">
        <v>59</v>
      </c>
      <c r="D962" s="2" t="s">
        <v>32</v>
      </c>
      <c r="E962" s="2" t="s">
        <v>42</v>
      </c>
      <c r="F962" s="5">
        <v>2</v>
      </c>
      <c r="G962" s="1">
        <v>12000000</v>
      </c>
      <c r="H962" s="2">
        <v>1</v>
      </c>
      <c r="I962" s="6">
        <v>5.0231481481481481E-3</v>
      </c>
      <c r="J962" s="2" t="s">
        <v>18</v>
      </c>
      <c r="K962" s="2" t="s">
        <v>39</v>
      </c>
      <c r="L962" s="2" t="s">
        <v>51</v>
      </c>
      <c r="M962" s="2" t="s">
        <v>76</v>
      </c>
      <c r="N962" s="2" t="s">
        <v>26</v>
      </c>
    </row>
    <row r="963" spans="1:14" x14ac:dyDescent="0.3">
      <c r="A963" s="2" t="s">
        <v>14</v>
      </c>
      <c r="B963" s="3">
        <v>28</v>
      </c>
      <c r="C963" s="4" t="s">
        <v>22</v>
      </c>
      <c r="D963" s="2" t="s">
        <v>32</v>
      </c>
      <c r="E963" s="2" t="s">
        <v>42</v>
      </c>
      <c r="F963" s="5">
        <v>2</v>
      </c>
      <c r="G963" s="1">
        <v>38000000</v>
      </c>
      <c r="H963" s="2">
        <v>5</v>
      </c>
      <c r="I963" s="6">
        <v>5.0231481481481481E-3</v>
      </c>
      <c r="J963" s="2" t="s">
        <v>46</v>
      </c>
      <c r="K963" s="2" t="s">
        <v>56</v>
      </c>
      <c r="L963" s="2" t="s">
        <v>51</v>
      </c>
      <c r="M963" s="2" t="s">
        <v>78</v>
      </c>
      <c r="N963" s="2" t="s">
        <v>41</v>
      </c>
    </row>
    <row r="964" spans="1:14" x14ac:dyDescent="0.3">
      <c r="A964" s="2" t="s">
        <v>14</v>
      </c>
      <c r="B964" s="3">
        <v>30</v>
      </c>
      <c r="C964" s="4" t="s">
        <v>27</v>
      </c>
      <c r="D964" s="2" t="s">
        <v>32</v>
      </c>
      <c r="E964" s="2" t="s">
        <v>17</v>
      </c>
      <c r="F964" s="5">
        <v>1</v>
      </c>
      <c r="G964" s="1">
        <v>7000000</v>
      </c>
      <c r="H964" s="2">
        <v>1</v>
      </c>
      <c r="I964" s="6">
        <v>5.0231481481481481E-3</v>
      </c>
      <c r="J964" s="2" t="s">
        <v>18</v>
      </c>
      <c r="K964" s="2" t="s">
        <v>35</v>
      </c>
      <c r="L964" s="2" t="s">
        <v>30</v>
      </c>
      <c r="M964" s="2" t="s">
        <v>77</v>
      </c>
      <c r="N964" s="2" t="s">
        <v>54</v>
      </c>
    </row>
    <row r="965" spans="1:14" x14ac:dyDescent="0.3">
      <c r="A965" s="2" t="s">
        <v>14</v>
      </c>
      <c r="B965" s="3">
        <v>20</v>
      </c>
      <c r="C965" s="4" t="s">
        <v>27</v>
      </c>
      <c r="D965" s="2" t="s">
        <v>32</v>
      </c>
      <c r="E965" s="2" t="s">
        <v>17</v>
      </c>
      <c r="F965" s="5">
        <v>2</v>
      </c>
      <c r="G965" s="1">
        <v>12000000</v>
      </c>
      <c r="H965" s="2">
        <v>2</v>
      </c>
      <c r="I965" s="6">
        <v>5.0231481481481481E-3</v>
      </c>
      <c r="J965" s="2" t="s">
        <v>18</v>
      </c>
      <c r="K965" s="2" t="s">
        <v>19</v>
      </c>
      <c r="L965" s="2" t="s">
        <v>43</v>
      </c>
      <c r="M965" s="2" t="s">
        <v>78</v>
      </c>
      <c r="N965" s="2" t="s">
        <v>41</v>
      </c>
    </row>
    <row r="966" spans="1:14" x14ac:dyDescent="0.3">
      <c r="A966" s="2" t="s">
        <v>14</v>
      </c>
      <c r="B966" s="3">
        <v>22</v>
      </c>
      <c r="C966" s="4" t="s">
        <v>37</v>
      </c>
      <c r="D966" s="2" t="s">
        <v>16</v>
      </c>
      <c r="E966" s="2" t="s">
        <v>17</v>
      </c>
      <c r="F966" s="5">
        <v>2</v>
      </c>
      <c r="G966" s="1">
        <v>12000000</v>
      </c>
      <c r="H966" s="2">
        <v>2</v>
      </c>
      <c r="I966" s="6">
        <v>5.0231481481481481E-3</v>
      </c>
      <c r="J966" s="2" t="s">
        <v>18</v>
      </c>
      <c r="K966" s="2" t="s">
        <v>29</v>
      </c>
      <c r="L966" s="2" t="s">
        <v>25</v>
      </c>
      <c r="M966" s="2" t="s">
        <v>76</v>
      </c>
      <c r="N966" s="2" t="s">
        <v>52</v>
      </c>
    </row>
    <row r="967" spans="1:14" x14ac:dyDescent="0.3">
      <c r="A967" s="2" t="s">
        <v>14</v>
      </c>
      <c r="B967" s="3">
        <v>17</v>
      </c>
      <c r="C967" s="4" t="s">
        <v>44</v>
      </c>
      <c r="D967" s="2" t="s">
        <v>38</v>
      </c>
      <c r="E967" s="2" t="s">
        <v>45</v>
      </c>
      <c r="F967" s="5">
        <v>3</v>
      </c>
      <c r="G967" s="1">
        <v>15000000</v>
      </c>
      <c r="H967" s="2">
        <v>2</v>
      </c>
      <c r="I967" s="6">
        <v>5.0231481481481481E-3</v>
      </c>
      <c r="J967" s="2" t="s">
        <v>18</v>
      </c>
      <c r="K967" s="2" t="s">
        <v>24</v>
      </c>
      <c r="L967" s="2" t="s">
        <v>25</v>
      </c>
      <c r="M967" s="2" t="s">
        <v>78</v>
      </c>
      <c r="N967" s="2" t="s">
        <v>66</v>
      </c>
    </row>
    <row r="968" spans="1:14" x14ac:dyDescent="0.3">
      <c r="A968" s="2" t="s">
        <v>14</v>
      </c>
      <c r="B968" s="3">
        <v>20</v>
      </c>
      <c r="C968" s="4" t="s">
        <v>44</v>
      </c>
      <c r="D968" s="2" t="s">
        <v>38</v>
      </c>
      <c r="E968" s="2" t="s">
        <v>42</v>
      </c>
      <c r="F968" s="5">
        <v>3</v>
      </c>
      <c r="G968" s="1">
        <v>11000000</v>
      </c>
      <c r="H968" s="2">
        <v>2</v>
      </c>
      <c r="I968" s="6">
        <v>5.0231481481481481E-3</v>
      </c>
      <c r="J968" s="2" t="s">
        <v>18</v>
      </c>
      <c r="K968" s="2" t="s">
        <v>39</v>
      </c>
      <c r="L968" s="2" t="s">
        <v>30</v>
      </c>
      <c r="M968" s="2" t="s">
        <v>76</v>
      </c>
      <c r="N968" s="2" t="s">
        <v>26</v>
      </c>
    </row>
    <row r="969" spans="1:14" x14ac:dyDescent="0.3">
      <c r="A969" s="2" t="s">
        <v>14</v>
      </c>
      <c r="B969" s="3">
        <v>22</v>
      </c>
      <c r="C969" s="4" t="s">
        <v>44</v>
      </c>
      <c r="D969" s="2" t="s">
        <v>16</v>
      </c>
      <c r="E969" s="2" t="s">
        <v>68</v>
      </c>
      <c r="F969" s="5">
        <v>5</v>
      </c>
      <c r="G969" s="1">
        <v>25000000</v>
      </c>
      <c r="H969" s="2">
        <v>4</v>
      </c>
      <c r="I969" s="6">
        <v>5.0231481481481481E-3</v>
      </c>
      <c r="J969" s="2" t="s">
        <v>18</v>
      </c>
      <c r="K969" s="2" t="s">
        <v>24</v>
      </c>
      <c r="L969" s="2" t="s">
        <v>20</v>
      </c>
      <c r="M969" s="2" t="s">
        <v>76</v>
      </c>
      <c r="N969" s="2" t="s">
        <v>52</v>
      </c>
    </row>
    <row r="970" spans="1:14" x14ac:dyDescent="0.3">
      <c r="A970" s="2" t="s">
        <v>14</v>
      </c>
      <c r="B970" s="3">
        <v>3</v>
      </c>
      <c r="C970" s="4" t="s">
        <v>44</v>
      </c>
      <c r="D970" s="2" t="s">
        <v>32</v>
      </c>
      <c r="E970" s="2" t="s">
        <v>17</v>
      </c>
      <c r="F970" s="5">
        <v>4</v>
      </c>
      <c r="G970" s="1">
        <v>15000000</v>
      </c>
      <c r="H970" s="2">
        <v>3</v>
      </c>
      <c r="I970" s="6">
        <v>5.0231481481481481E-3</v>
      </c>
      <c r="J970" s="2" t="s">
        <v>18</v>
      </c>
      <c r="K970" s="2" t="s">
        <v>64</v>
      </c>
      <c r="L970" s="2" t="s">
        <v>51</v>
      </c>
      <c r="M970" s="2" t="s">
        <v>78</v>
      </c>
      <c r="N970" s="2" t="s">
        <v>41</v>
      </c>
    </row>
    <row r="971" spans="1:14" x14ac:dyDescent="0.3">
      <c r="A971" s="2" t="s">
        <v>14</v>
      </c>
      <c r="B971" s="3">
        <v>14</v>
      </c>
      <c r="C971" s="4" t="s">
        <v>55</v>
      </c>
      <c r="D971" s="2" t="s">
        <v>32</v>
      </c>
      <c r="E971" s="2" t="s">
        <v>17</v>
      </c>
      <c r="F971" s="5">
        <v>5</v>
      </c>
      <c r="G971" s="1">
        <v>20000000</v>
      </c>
      <c r="H971" s="2">
        <v>6</v>
      </c>
      <c r="I971" s="6">
        <v>5.0231481481481481E-3</v>
      </c>
      <c r="J971" s="2" t="s">
        <v>18</v>
      </c>
      <c r="K971" s="2" t="s">
        <v>47</v>
      </c>
      <c r="L971" s="2" t="s">
        <v>33</v>
      </c>
      <c r="M971" s="2" t="s">
        <v>78</v>
      </c>
      <c r="N971" s="2" t="s">
        <v>53</v>
      </c>
    </row>
    <row r="972" spans="1:14" x14ac:dyDescent="0.3">
      <c r="A972" s="2" t="s">
        <v>14</v>
      </c>
      <c r="B972" s="3">
        <v>11</v>
      </c>
      <c r="C972" s="4" t="s">
        <v>57</v>
      </c>
      <c r="D972" s="2" t="s">
        <v>16</v>
      </c>
      <c r="E972" s="2" t="s">
        <v>23</v>
      </c>
      <c r="F972" s="5">
        <v>1</v>
      </c>
      <c r="G972" s="1">
        <v>19000000</v>
      </c>
      <c r="H972" s="2">
        <v>3</v>
      </c>
      <c r="I972" s="6">
        <v>5.0231481481481481E-3</v>
      </c>
      <c r="J972" s="2" t="s">
        <v>46</v>
      </c>
      <c r="K972" s="2" t="s">
        <v>39</v>
      </c>
      <c r="L972" s="2" t="s">
        <v>48</v>
      </c>
      <c r="M972" s="2" t="s">
        <v>76</v>
      </c>
      <c r="N972" s="2" t="s">
        <v>26</v>
      </c>
    </row>
    <row r="973" spans="1:14" x14ac:dyDescent="0.3">
      <c r="A973" s="2" t="s">
        <v>14</v>
      </c>
      <c r="B973" s="3">
        <v>13</v>
      </c>
      <c r="C973" s="4" t="s">
        <v>59</v>
      </c>
      <c r="D973" s="2" t="s">
        <v>32</v>
      </c>
      <c r="E973" s="2" t="s">
        <v>42</v>
      </c>
      <c r="F973" s="5">
        <v>2</v>
      </c>
      <c r="G973" s="1">
        <v>12000000</v>
      </c>
      <c r="H973" s="2">
        <v>1</v>
      </c>
      <c r="I973" s="6">
        <v>5.0231481481481481E-3</v>
      </c>
      <c r="J973" s="2" t="s">
        <v>18</v>
      </c>
      <c r="K973" s="2" t="s">
        <v>39</v>
      </c>
      <c r="L973" s="2" t="s">
        <v>51</v>
      </c>
      <c r="M973" s="2" t="s">
        <v>76</v>
      </c>
      <c r="N973" s="2" t="s">
        <v>26</v>
      </c>
    </row>
    <row r="974" spans="1:14" x14ac:dyDescent="0.3">
      <c r="A974" s="2" t="s">
        <v>14</v>
      </c>
      <c r="B974" s="3">
        <v>28</v>
      </c>
      <c r="C974" s="4" t="s">
        <v>22</v>
      </c>
      <c r="D974" s="2" t="s">
        <v>32</v>
      </c>
      <c r="E974" s="2" t="s">
        <v>42</v>
      </c>
      <c r="F974" s="5">
        <v>2</v>
      </c>
      <c r="G974" s="1">
        <v>38000000</v>
      </c>
      <c r="H974" s="2">
        <v>5</v>
      </c>
      <c r="I974" s="6">
        <v>5.0231481481481481E-3</v>
      </c>
      <c r="J974" s="2" t="s">
        <v>46</v>
      </c>
      <c r="K974" s="2" t="s">
        <v>56</v>
      </c>
      <c r="L974" s="2" t="s">
        <v>51</v>
      </c>
      <c r="M974" s="2" t="s">
        <v>78</v>
      </c>
      <c r="N974" s="2" t="s">
        <v>41</v>
      </c>
    </row>
    <row r="975" spans="1:14" x14ac:dyDescent="0.3">
      <c r="A975" s="2" t="s">
        <v>70</v>
      </c>
      <c r="B975" s="3">
        <v>13</v>
      </c>
      <c r="C975" s="4" t="s">
        <v>58</v>
      </c>
      <c r="D975" s="2" t="s">
        <v>49</v>
      </c>
      <c r="E975" s="2" t="s">
        <v>42</v>
      </c>
      <c r="F975" s="5">
        <v>0</v>
      </c>
      <c r="G975" s="1">
        <v>0</v>
      </c>
      <c r="H975" s="2">
        <v>2</v>
      </c>
      <c r="I975" s="6">
        <v>5.0231481481481481E-3</v>
      </c>
      <c r="J975" s="2"/>
      <c r="K975" s="2"/>
      <c r="L975" s="2" t="s">
        <v>48</v>
      </c>
      <c r="M975" s="2" t="s">
        <v>77</v>
      </c>
      <c r="N975" s="2" t="s">
        <v>65</v>
      </c>
    </row>
    <row r="976" spans="1:14" x14ac:dyDescent="0.3">
      <c r="A976" s="2" t="s">
        <v>70</v>
      </c>
      <c r="B976" s="3">
        <v>11</v>
      </c>
      <c r="C976" s="4" t="s">
        <v>44</v>
      </c>
      <c r="D976" s="2" t="s">
        <v>32</v>
      </c>
      <c r="E976" s="2" t="s">
        <v>23</v>
      </c>
      <c r="F976" s="5">
        <v>0</v>
      </c>
      <c r="G976" s="1">
        <v>0</v>
      </c>
      <c r="H976" s="2">
        <v>2</v>
      </c>
      <c r="I976" s="6">
        <v>5.0231481481481481E-3</v>
      </c>
      <c r="J976" s="2"/>
      <c r="K976" s="2"/>
      <c r="L976" s="2" t="s">
        <v>33</v>
      </c>
      <c r="M976" s="2" t="s">
        <v>66</v>
      </c>
      <c r="N976" s="2" t="s">
        <v>36</v>
      </c>
    </row>
    <row r="977" spans="1:14" x14ac:dyDescent="0.3">
      <c r="A977" s="2" t="s">
        <v>70</v>
      </c>
      <c r="B977" s="3">
        <v>13</v>
      </c>
      <c r="C977" s="4" t="s">
        <v>58</v>
      </c>
      <c r="D977" s="2" t="s">
        <v>49</v>
      </c>
      <c r="E977" s="2" t="s">
        <v>42</v>
      </c>
      <c r="F977" s="5">
        <v>0</v>
      </c>
      <c r="G977" s="1">
        <v>0</v>
      </c>
      <c r="H977" s="2">
        <v>2</v>
      </c>
      <c r="I977" s="6">
        <v>5.0231481481481481E-3</v>
      </c>
      <c r="J977" s="2"/>
      <c r="K977" s="2"/>
      <c r="L977" s="2" t="s">
        <v>48</v>
      </c>
      <c r="M977" s="2" t="s">
        <v>77</v>
      </c>
      <c r="N977" s="2" t="s">
        <v>65</v>
      </c>
    </row>
    <row r="978" spans="1:14" x14ac:dyDescent="0.3">
      <c r="A978" s="2" t="s">
        <v>14</v>
      </c>
      <c r="B978" s="3">
        <v>11</v>
      </c>
      <c r="C978" s="4" t="s">
        <v>55</v>
      </c>
      <c r="D978" s="2" t="s">
        <v>16</v>
      </c>
      <c r="E978" s="2" t="s">
        <v>42</v>
      </c>
      <c r="F978" s="5">
        <v>2</v>
      </c>
      <c r="G978" s="1">
        <v>38000000</v>
      </c>
      <c r="H978" s="2">
        <v>4</v>
      </c>
      <c r="I978" s="6">
        <v>5.208333333333333E-3</v>
      </c>
      <c r="J978" s="2" t="s">
        <v>46</v>
      </c>
      <c r="K978" s="2" t="s">
        <v>47</v>
      </c>
      <c r="L978" s="2" t="s">
        <v>51</v>
      </c>
      <c r="M978" s="2" t="s">
        <v>66</v>
      </c>
      <c r="N978" s="2" t="s">
        <v>67</v>
      </c>
    </row>
    <row r="979" spans="1:14" x14ac:dyDescent="0.3">
      <c r="A979" s="2" t="s">
        <v>14</v>
      </c>
      <c r="B979" s="3">
        <v>6</v>
      </c>
      <c r="C979" s="4" t="s">
        <v>55</v>
      </c>
      <c r="D979" s="2" t="s">
        <v>32</v>
      </c>
      <c r="E979" s="2" t="s">
        <v>42</v>
      </c>
      <c r="F979" s="5">
        <v>5</v>
      </c>
      <c r="G979" s="1">
        <v>20000000</v>
      </c>
      <c r="H979" s="2">
        <v>3</v>
      </c>
      <c r="I979" s="6">
        <v>5.208333333333333E-3</v>
      </c>
      <c r="J979" s="2" t="s">
        <v>18</v>
      </c>
      <c r="K979" s="2" t="s">
        <v>29</v>
      </c>
      <c r="L979" s="2" t="s">
        <v>25</v>
      </c>
      <c r="M979" s="2" t="s">
        <v>76</v>
      </c>
      <c r="N979" s="2" t="s">
        <v>26</v>
      </c>
    </row>
    <row r="980" spans="1:14" x14ac:dyDescent="0.3">
      <c r="A980" s="2" t="s">
        <v>14</v>
      </c>
      <c r="B980" s="3">
        <v>1</v>
      </c>
      <c r="C980" s="4" t="s">
        <v>15</v>
      </c>
      <c r="D980" s="2" t="s">
        <v>16</v>
      </c>
      <c r="E980" s="2" t="s">
        <v>45</v>
      </c>
      <c r="F980" s="5">
        <v>2</v>
      </c>
      <c r="G980" s="1">
        <v>12000000</v>
      </c>
      <c r="H980" s="2">
        <v>1</v>
      </c>
      <c r="I980" s="6">
        <v>5.208333333333333E-3</v>
      </c>
      <c r="J980" s="2" t="s">
        <v>18</v>
      </c>
      <c r="K980" s="2" t="s">
        <v>19</v>
      </c>
      <c r="L980" s="2" t="s">
        <v>25</v>
      </c>
      <c r="M980" s="2" t="s">
        <v>77</v>
      </c>
      <c r="N980" s="2" t="s">
        <v>65</v>
      </c>
    </row>
    <row r="981" spans="1:14" x14ac:dyDescent="0.3">
      <c r="A981" s="2" t="s">
        <v>14</v>
      </c>
      <c r="B981" s="3">
        <v>10</v>
      </c>
      <c r="C981" s="4" t="s">
        <v>59</v>
      </c>
      <c r="D981" s="2" t="s">
        <v>38</v>
      </c>
      <c r="E981" s="2" t="s">
        <v>17</v>
      </c>
      <c r="F981" s="5">
        <v>2</v>
      </c>
      <c r="G981" s="1">
        <v>38000000</v>
      </c>
      <c r="H981" s="2">
        <v>2</v>
      </c>
      <c r="I981" s="6">
        <v>5.208333333333333E-3</v>
      </c>
      <c r="J981" s="2" t="s">
        <v>74</v>
      </c>
      <c r="K981" s="2" t="s">
        <v>47</v>
      </c>
      <c r="L981" s="2" t="s">
        <v>43</v>
      </c>
      <c r="M981" s="2" t="s">
        <v>76</v>
      </c>
      <c r="N981" s="2" t="s">
        <v>52</v>
      </c>
    </row>
    <row r="982" spans="1:14" x14ac:dyDescent="0.3">
      <c r="A982" s="2" t="s">
        <v>14</v>
      </c>
      <c r="B982" s="3">
        <v>1</v>
      </c>
      <c r="C982" s="4" t="s">
        <v>59</v>
      </c>
      <c r="D982" s="2" t="s">
        <v>73</v>
      </c>
      <c r="E982" s="2" t="s">
        <v>42</v>
      </c>
      <c r="F982" s="5">
        <v>3</v>
      </c>
      <c r="G982" s="1">
        <v>15000000</v>
      </c>
      <c r="H982" s="2">
        <v>1</v>
      </c>
      <c r="I982" s="6">
        <v>5.208333333333333E-3</v>
      </c>
      <c r="J982" s="2" t="s">
        <v>18</v>
      </c>
      <c r="K982" s="2" t="s">
        <v>56</v>
      </c>
      <c r="L982" s="2" t="s">
        <v>43</v>
      </c>
      <c r="M982" s="2" t="s">
        <v>78</v>
      </c>
      <c r="N982" s="2" t="s">
        <v>62</v>
      </c>
    </row>
    <row r="983" spans="1:14" x14ac:dyDescent="0.3">
      <c r="A983" s="2" t="s">
        <v>14</v>
      </c>
      <c r="B983" s="3">
        <v>30</v>
      </c>
      <c r="C983" s="4" t="s">
        <v>27</v>
      </c>
      <c r="D983" s="2" t="s">
        <v>32</v>
      </c>
      <c r="E983" s="2" t="s">
        <v>42</v>
      </c>
      <c r="F983" s="5">
        <v>1</v>
      </c>
      <c r="G983" s="1">
        <v>7000000</v>
      </c>
      <c r="H983" s="2">
        <v>2</v>
      </c>
      <c r="I983" s="6">
        <v>5.208333333333333E-3</v>
      </c>
      <c r="J983" s="2" t="s">
        <v>18</v>
      </c>
      <c r="K983" s="2" t="s">
        <v>29</v>
      </c>
      <c r="L983" s="2" t="s">
        <v>43</v>
      </c>
      <c r="M983" s="2" t="s">
        <v>78</v>
      </c>
      <c r="N983" s="2" t="s">
        <v>63</v>
      </c>
    </row>
    <row r="984" spans="1:14" x14ac:dyDescent="0.3">
      <c r="A984" s="2" t="s">
        <v>14</v>
      </c>
      <c r="B984" s="3">
        <v>27</v>
      </c>
      <c r="C984" s="4" t="s">
        <v>27</v>
      </c>
      <c r="D984" s="2" t="s">
        <v>16</v>
      </c>
      <c r="E984" s="2" t="s">
        <v>23</v>
      </c>
      <c r="F984" s="5">
        <v>1</v>
      </c>
      <c r="G984" s="1">
        <v>7000000</v>
      </c>
      <c r="H984" s="2">
        <v>1</v>
      </c>
      <c r="I984" s="6">
        <v>5.208333333333333E-3</v>
      </c>
      <c r="J984" s="2" t="s">
        <v>18</v>
      </c>
      <c r="K984" s="2" t="s">
        <v>50</v>
      </c>
      <c r="L984" s="2" t="s">
        <v>51</v>
      </c>
      <c r="M984" s="2" t="s">
        <v>66</v>
      </c>
      <c r="N984" s="2" t="s">
        <v>67</v>
      </c>
    </row>
    <row r="985" spans="1:14" x14ac:dyDescent="0.3">
      <c r="A985" s="2" t="s">
        <v>14</v>
      </c>
      <c r="B985" s="3">
        <v>15</v>
      </c>
      <c r="C985" s="4" t="s">
        <v>37</v>
      </c>
      <c r="D985" s="2" t="s">
        <v>32</v>
      </c>
      <c r="E985" s="2" t="s">
        <v>17</v>
      </c>
      <c r="F985" s="5">
        <v>1</v>
      </c>
      <c r="G985" s="1">
        <v>19000000</v>
      </c>
      <c r="H985" s="2">
        <v>2</v>
      </c>
      <c r="I985" s="6">
        <v>5.208333333333333E-3</v>
      </c>
      <c r="J985" s="2" t="s">
        <v>46</v>
      </c>
      <c r="K985" s="2" t="s">
        <v>19</v>
      </c>
      <c r="L985" s="2" t="s">
        <v>30</v>
      </c>
      <c r="M985" s="2" t="s">
        <v>77</v>
      </c>
      <c r="N985" s="2" t="s">
        <v>65</v>
      </c>
    </row>
    <row r="986" spans="1:14" x14ac:dyDescent="0.3">
      <c r="A986" s="2" t="s">
        <v>14</v>
      </c>
      <c r="B986" s="3">
        <v>5</v>
      </c>
      <c r="C986" s="4" t="s">
        <v>37</v>
      </c>
      <c r="D986" s="2" t="s">
        <v>16</v>
      </c>
      <c r="E986" s="2" t="s">
        <v>42</v>
      </c>
      <c r="F986" s="5">
        <v>4</v>
      </c>
      <c r="G986" s="1">
        <v>15000000</v>
      </c>
      <c r="H986" s="2">
        <v>6</v>
      </c>
      <c r="I986" s="6">
        <v>5.208333333333333E-3</v>
      </c>
      <c r="J986" s="2" t="s">
        <v>18</v>
      </c>
      <c r="K986" s="2" t="s">
        <v>50</v>
      </c>
      <c r="L986" s="2" t="s">
        <v>30</v>
      </c>
      <c r="M986" s="2" t="s">
        <v>66</v>
      </c>
      <c r="N986" s="2" t="s">
        <v>36</v>
      </c>
    </row>
    <row r="987" spans="1:14" x14ac:dyDescent="0.3">
      <c r="A987" s="2" t="s">
        <v>14</v>
      </c>
      <c r="B987" s="3">
        <v>6</v>
      </c>
      <c r="C987" s="4" t="s">
        <v>37</v>
      </c>
      <c r="D987" s="2" t="s">
        <v>49</v>
      </c>
      <c r="E987" s="2" t="s">
        <v>23</v>
      </c>
      <c r="F987" s="5">
        <v>5</v>
      </c>
      <c r="G987" s="1">
        <v>20000000</v>
      </c>
      <c r="H987" s="2">
        <v>6</v>
      </c>
      <c r="I987" s="6">
        <v>5.208333333333333E-3</v>
      </c>
      <c r="J987" s="2" t="s">
        <v>18</v>
      </c>
      <c r="K987" s="2" t="s">
        <v>29</v>
      </c>
      <c r="L987" s="2" t="s">
        <v>30</v>
      </c>
      <c r="M987" s="2" t="s">
        <v>78</v>
      </c>
      <c r="N987" s="2" t="s">
        <v>62</v>
      </c>
    </row>
    <row r="988" spans="1:14" x14ac:dyDescent="0.3">
      <c r="A988" s="2" t="s">
        <v>14</v>
      </c>
      <c r="B988" s="3">
        <v>12</v>
      </c>
      <c r="C988" s="4" t="s">
        <v>37</v>
      </c>
      <c r="D988" s="2" t="s">
        <v>73</v>
      </c>
      <c r="E988" s="2" t="s">
        <v>17</v>
      </c>
      <c r="F988" s="5">
        <v>2</v>
      </c>
      <c r="G988" s="1">
        <v>12000000</v>
      </c>
      <c r="H988" s="2">
        <v>2</v>
      </c>
      <c r="I988" s="6">
        <v>5.208333333333333E-3</v>
      </c>
      <c r="J988" s="2" t="s">
        <v>18</v>
      </c>
      <c r="K988" s="2" t="s">
        <v>19</v>
      </c>
      <c r="L988" s="2" t="s">
        <v>40</v>
      </c>
      <c r="M988" s="2" t="s">
        <v>77</v>
      </c>
      <c r="N988" s="2" t="s">
        <v>54</v>
      </c>
    </row>
    <row r="989" spans="1:14" x14ac:dyDescent="0.3">
      <c r="A989" s="2" t="s">
        <v>14</v>
      </c>
      <c r="B989" s="3">
        <v>28</v>
      </c>
      <c r="C989" s="4" t="s">
        <v>37</v>
      </c>
      <c r="D989" s="2" t="s">
        <v>28</v>
      </c>
      <c r="E989" s="2" t="s">
        <v>23</v>
      </c>
      <c r="F989" s="5">
        <v>2</v>
      </c>
      <c r="G989" s="1">
        <v>12000000</v>
      </c>
      <c r="H989" s="2">
        <v>2</v>
      </c>
      <c r="I989" s="6">
        <v>5.208333333333333E-3</v>
      </c>
      <c r="J989" s="2" t="s">
        <v>18</v>
      </c>
      <c r="K989" s="2" t="s">
        <v>19</v>
      </c>
      <c r="L989" s="2" t="s">
        <v>20</v>
      </c>
      <c r="M989" s="2" t="s">
        <v>78</v>
      </c>
      <c r="N989" s="2" t="s">
        <v>21</v>
      </c>
    </row>
    <row r="990" spans="1:14" x14ac:dyDescent="0.3">
      <c r="A990" s="2" t="s">
        <v>14</v>
      </c>
      <c r="B990" s="3">
        <v>8</v>
      </c>
      <c r="C990" s="4" t="s">
        <v>37</v>
      </c>
      <c r="D990" s="2" t="s">
        <v>16</v>
      </c>
      <c r="E990" s="2" t="s">
        <v>23</v>
      </c>
      <c r="F990" s="5">
        <v>2</v>
      </c>
      <c r="G990" s="1">
        <v>12000000</v>
      </c>
      <c r="H990" s="2">
        <v>3</v>
      </c>
      <c r="I990" s="6">
        <v>5.208333333333333E-3</v>
      </c>
      <c r="J990" s="2" t="s">
        <v>18</v>
      </c>
      <c r="K990" s="2" t="s">
        <v>29</v>
      </c>
      <c r="L990" s="2" t="s">
        <v>33</v>
      </c>
      <c r="M990" s="2" t="s">
        <v>76</v>
      </c>
      <c r="N990" s="2" t="s">
        <v>75</v>
      </c>
    </row>
    <row r="991" spans="1:14" x14ac:dyDescent="0.3">
      <c r="A991" s="2" t="s">
        <v>14</v>
      </c>
      <c r="B991" s="3">
        <v>7</v>
      </c>
      <c r="C991" s="4" t="s">
        <v>37</v>
      </c>
      <c r="D991" s="2" t="s">
        <v>38</v>
      </c>
      <c r="E991" s="2" t="s">
        <v>42</v>
      </c>
      <c r="F991" s="5">
        <v>2</v>
      </c>
      <c r="G991" s="1">
        <v>12000000</v>
      </c>
      <c r="H991" s="2">
        <v>3</v>
      </c>
      <c r="I991" s="6">
        <v>5.208333333333333E-3</v>
      </c>
      <c r="J991" s="2" t="s">
        <v>18</v>
      </c>
      <c r="K991" s="2" t="s">
        <v>56</v>
      </c>
      <c r="L991" s="2" t="s">
        <v>40</v>
      </c>
      <c r="M991" s="2" t="s">
        <v>78</v>
      </c>
      <c r="N991" s="2" t="s">
        <v>63</v>
      </c>
    </row>
    <row r="992" spans="1:14" x14ac:dyDescent="0.3">
      <c r="A992" s="2" t="s">
        <v>14</v>
      </c>
      <c r="B992" s="3">
        <v>9</v>
      </c>
      <c r="C992" s="4" t="s">
        <v>37</v>
      </c>
      <c r="D992" s="2" t="s">
        <v>49</v>
      </c>
      <c r="E992" s="2" t="s">
        <v>42</v>
      </c>
      <c r="F992" s="5">
        <v>3</v>
      </c>
      <c r="G992" s="1">
        <v>15000000</v>
      </c>
      <c r="H992" s="2">
        <v>1</v>
      </c>
      <c r="I992" s="6">
        <v>5.208333333333333E-3</v>
      </c>
      <c r="J992" s="2" t="s">
        <v>18</v>
      </c>
      <c r="K992" s="2" t="s">
        <v>29</v>
      </c>
      <c r="L992" s="2" t="s">
        <v>48</v>
      </c>
      <c r="M992" s="2" t="s">
        <v>66</v>
      </c>
      <c r="N992" s="2" t="s">
        <v>36</v>
      </c>
    </row>
    <row r="993" spans="1:14" x14ac:dyDescent="0.3">
      <c r="A993" s="2" t="s">
        <v>14</v>
      </c>
      <c r="B993" s="3">
        <v>16</v>
      </c>
      <c r="C993" s="4" t="s">
        <v>44</v>
      </c>
      <c r="D993" s="2" t="s">
        <v>28</v>
      </c>
      <c r="E993" s="2" t="s">
        <v>23</v>
      </c>
      <c r="F993" s="5">
        <v>1</v>
      </c>
      <c r="G993" s="1">
        <v>19000000</v>
      </c>
      <c r="H993" s="2">
        <v>1</v>
      </c>
      <c r="I993" s="6">
        <v>5.208333333333333E-3</v>
      </c>
      <c r="J993" s="2" t="s">
        <v>46</v>
      </c>
      <c r="K993" s="2" t="s">
        <v>19</v>
      </c>
      <c r="L993" s="2" t="s">
        <v>33</v>
      </c>
      <c r="M993" s="2" t="s">
        <v>76</v>
      </c>
      <c r="N993" s="2" t="s">
        <v>31</v>
      </c>
    </row>
    <row r="994" spans="1:14" x14ac:dyDescent="0.3">
      <c r="A994" s="2" t="s">
        <v>14</v>
      </c>
      <c r="B994" s="3">
        <v>22</v>
      </c>
      <c r="C994" s="4" t="s">
        <v>44</v>
      </c>
      <c r="D994" s="2" t="s">
        <v>28</v>
      </c>
      <c r="E994" s="2" t="s">
        <v>23</v>
      </c>
      <c r="F994" s="5">
        <v>3</v>
      </c>
      <c r="G994" s="1">
        <v>11000000</v>
      </c>
      <c r="H994" s="2">
        <v>3</v>
      </c>
      <c r="I994" s="6">
        <v>5.208333333333333E-3</v>
      </c>
      <c r="J994" s="2" t="s">
        <v>18</v>
      </c>
      <c r="K994" s="2" t="s">
        <v>19</v>
      </c>
      <c r="L994" s="2" t="s">
        <v>30</v>
      </c>
      <c r="M994" s="2" t="s">
        <v>77</v>
      </c>
      <c r="N994" s="2" t="s">
        <v>65</v>
      </c>
    </row>
    <row r="995" spans="1:14" x14ac:dyDescent="0.3">
      <c r="A995" s="2" t="s">
        <v>14</v>
      </c>
      <c r="B995" s="3">
        <v>5</v>
      </c>
      <c r="C995" s="4" t="s">
        <v>44</v>
      </c>
      <c r="D995" s="2" t="s">
        <v>16</v>
      </c>
      <c r="E995" s="2" t="s">
        <v>42</v>
      </c>
      <c r="F995" s="5">
        <v>3</v>
      </c>
      <c r="G995" s="1">
        <v>15000000</v>
      </c>
      <c r="H995" s="2">
        <v>2</v>
      </c>
      <c r="I995" s="6">
        <v>5.208333333333333E-3</v>
      </c>
      <c r="J995" s="2" t="s">
        <v>18</v>
      </c>
      <c r="K995" s="2" t="s">
        <v>64</v>
      </c>
      <c r="L995" s="2" t="s">
        <v>40</v>
      </c>
      <c r="M995" s="2" t="s">
        <v>66</v>
      </c>
      <c r="N995" s="2" t="s">
        <v>67</v>
      </c>
    </row>
    <row r="996" spans="1:14" x14ac:dyDescent="0.3">
      <c r="A996" s="2" t="s">
        <v>14</v>
      </c>
      <c r="B996" s="3">
        <v>29</v>
      </c>
      <c r="C996" s="4" t="s">
        <v>44</v>
      </c>
      <c r="D996" s="2" t="s">
        <v>38</v>
      </c>
      <c r="E996" s="2" t="s">
        <v>42</v>
      </c>
      <c r="F996" s="5">
        <v>3</v>
      </c>
      <c r="G996" s="1">
        <v>15000000</v>
      </c>
      <c r="H996" s="2">
        <v>4</v>
      </c>
      <c r="I996" s="6">
        <v>5.208333333333333E-3</v>
      </c>
      <c r="J996" s="2" t="s">
        <v>18</v>
      </c>
      <c r="K996" s="2" t="s">
        <v>19</v>
      </c>
      <c r="L996" s="2" t="s">
        <v>25</v>
      </c>
      <c r="M996" s="2" t="s">
        <v>78</v>
      </c>
      <c r="N996" s="2" t="s">
        <v>63</v>
      </c>
    </row>
    <row r="997" spans="1:14" x14ac:dyDescent="0.3">
      <c r="A997" s="2" t="s">
        <v>14</v>
      </c>
      <c r="B997" s="3">
        <v>12</v>
      </c>
      <c r="C997" s="4" t="s">
        <v>44</v>
      </c>
      <c r="D997" s="2" t="s">
        <v>16</v>
      </c>
      <c r="E997" s="2" t="s">
        <v>45</v>
      </c>
      <c r="F997" s="5">
        <v>4</v>
      </c>
      <c r="G997" s="1">
        <v>15000000</v>
      </c>
      <c r="H997" s="2">
        <v>2</v>
      </c>
      <c r="I997" s="6">
        <v>5.208333333333333E-3</v>
      </c>
      <c r="J997" s="2" t="s">
        <v>18</v>
      </c>
      <c r="K997" s="2" t="s">
        <v>19</v>
      </c>
      <c r="L997" s="2" t="s">
        <v>48</v>
      </c>
      <c r="M997" s="2" t="s">
        <v>78</v>
      </c>
      <c r="N997" s="2" t="s">
        <v>41</v>
      </c>
    </row>
    <row r="998" spans="1:14" x14ac:dyDescent="0.3">
      <c r="A998" s="2" t="s">
        <v>14</v>
      </c>
      <c r="B998" s="3">
        <v>11</v>
      </c>
      <c r="C998" s="4" t="s">
        <v>55</v>
      </c>
      <c r="D998" s="2" t="s">
        <v>16</v>
      </c>
      <c r="E998" s="2" t="s">
        <v>42</v>
      </c>
      <c r="F998" s="5">
        <v>2</v>
      </c>
      <c r="G998" s="1">
        <v>38000000</v>
      </c>
      <c r="H998" s="2">
        <v>4</v>
      </c>
      <c r="I998" s="6">
        <v>5.208333333333333E-3</v>
      </c>
      <c r="J998" s="2" t="s">
        <v>46</v>
      </c>
      <c r="K998" s="2" t="s">
        <v>47</v>
      </c>
      <c r="L998" s="2" t="s">
        <v>51</v>
      </c>
      <c r="M998" s="2" t="s">
        <v>66</v>
      </c>
      <c r="N998" s="2" t="s">
        <v>67</v>
      </c>
    </row>
    <row r="999" spans="1:14" x14ac:dyDescent="0.3">
      <c r="A999" s="2" t="s">
        <v>14</v>
      </c>
      <c r="B999" s="3">
        <v>6</v>
      </c>
      <c r="C999" s="4" t="s">
        <v>55</v>
      </c>
      <c r="D999" s="2" t="s">
        <v>32</v>
      </c>
      <c r="E999" s="2" t="s">
        <v>42</v>
      </c>
      <c r="F999" s="5">
        <v>5</v>
      </c>
      <c r="G999" s="1">
        <v>20000000</v>
      </c>
      <c r="H999" s="2">
        <v>3</v>
      </c>
      <c r="I999" s="6">
        <v>5.208333333333333E-3</v>
      </c>
      <c r="J999" s="2" t="s">
        <v>18</v>
      </c>
      <c r="K999" s="2" t="s">
        <v>29</v>
      </c>
      <c r="L999" s="2" t="s">
        <v>25</v>
      </c>
      <c r="M999" s="2" t="s">
        <v>76</v>
      </c>
      <c r="N999" s="2" t="s">
        <v>26</v>
      </c>
    </row>
    <row r="1000" spans="1:14" x14ac:dyDescent="0.3">
      <c r="A1000" s="2" t="s">
        <v>14</v>
      </c>
      <c r="B1000" s="3">
        <v>1</v>
      </c>
      <c r="C1000" s="4" t="s">
        <v>15</v>
      </c>
      <c r="D1000" s="2" t="s">
        <v>16</v>
      </c>
      <c r="E1000" s="2" t="s">
        <v>45</v>
      </c>
      <c r="F1000" s="5">
        <v>2</v>
      </c>
      <c r="G1000" s="1">
        <v>12000000</v>
      </c>
      <c r="H1000" s="2">
        <v>1</v>
      </c>
      <c r="I1000" s="6">
        <v>5.208333333333333E-3</v>
      </c>
      <c r="J1000" s="2" t="s">
        <v>18</v>
      </c>
      <c r="K1000" s="2" t="s">
        <v>19</v>
      </c>
      <c r="L1000" s="2" t="s">
        <v>25</v>
      </c>
      <c r="M1000" s="2" t="s">
        <v>77</v>
      </c>
      <c r="N1000" s="2" t="s">
        <v>65</v>
      </c>
    </row>
    <row r="1001" spans="1:14" x14ac:dyDescent="0.3">
      <c r="A1001" s="2" t="s">
        <v>14</v>
      </c>
      <c r="B1001" s="3">
        <v>10</v>
      </c>
      <c r="C1001" s="4" t="s">
        <v>59</v>
      </c>
      <c r="D1001" s="2" t="s">
        <v>38</v>
      </c>
      <c r="E1001" s="2" t="s">
        <v>17</v>
      </c>
      <c r="F1001" s="5">
        <v>2</v>
      </c>
      <c r="G1001" s="1">
        <v>38000000</v>
      </c>
      <c r="H1001" s="2">
        <v>2</v>
      </c>
      <c r="I1001" s="6">
        <v>5.208333333333333E-3</v>
      </c>
      <c r="J1001" s="2" t="s">
        <v>74</v>
      </c>
      <c r="K1001" s="2" t="s">
        <v>47</v>
      </c>
      <c r="L1001" s="2" t="s">
        <v>43</v>
      </c>
      <c r="M1001" s="2" t="s">
        <v>76</v>
      </c>
      <c r="N1001" s="2" t="s">
        <v>52</v>
      </c>
    </row>
    <row r="1002" spans="1:14" x14ac:dyDescent="0.3">
      <c r="A1002" s="2" t="s">
        <v>14</v>
      </c>
      <c r="B1002" s="3">
        <v>1</v>
      </c>
      <c r="C1002" s="4" t="s">
        <v>59</v>
      </c>
      <c r="D1002" s="2" t="s">
        <v>73</v>
      </c>
      <c r="E1002" s="2" t="s">
        <v>42</v>
      </c>
      <c r="F1002" s="5">
        <v>3</v>
      </c>
      <c r="G1002" s="1">
        <v>15000000</v>
      </c>
      <c r="H1002" s="2">
        <v>1</v>
      </c>
      <c r="I1002" s="6">
        <v>5.208333333333333E-3</v>
      </c>
      <c r="J1002" s="2" t="s">
        <v>18</v>
      </c>
      <c r="K1002" s="2" t="s">
        <v>56</v>
      </c>
      <c r="L1002" s="2" t="s">
        <v>43</v>
      </c>
      <c r="M1002" s="2" t="s">
        <v>78</v>
      </c>
      <c r="N1002" s="2" t="s">
        <v>62</v>
      </c>
    </row>
    <row r="1003" spans="1:14" x14ac:dyDescent="0.3">
      <c r="A1003" s="2" t="s">
        <v>70</v>
      </c>
      <c r="B1003" s="3">
        <v>7</v>
      </c>
      <c r="C1003" s="4" t="s">
        <v>72</v>
      </c>
      <c r="D1003" s="2" t="s">
        <v>28</v>
      </c>
      <c r="E1003" s="2" t="s">
        <v>17</v>
      </c>
      <c r="F1003" s="5">
        <v>0</v>
      </c>
      <c r="G1003" s="1">
        <v>0</v>
      </c>
      <c r="H1003" s="2">
        <v>3</v>
      </c>
      <c r="I1003" s="6">
        <v>5.208333333333333E-3</v>
      </c>
      <c r="J1003" s="2"/>
      <c r="K1003" s="2"/>
      <c r="L1003" s="2" t="s">
        <v>51</v>
      </c>
      <c r="M1003" s="2" t="s">
        <v>77</v>
      </c>
      <c r="N1003" s="2" t="s">
        <v>65</v>
      </c>
    </row>
    <row r="1004" spans="1:14" x14ac:dyDescent="0.3">
      <c r="A1004" s="2" t="s">
        <v>70</v>
      </c>
      <c r="B1004" s="3">
        <v>12</v>
      </c>
      <c r="C1004" s="4" t="s">
        <v>22</v>
      </c>
      <c r="D1004" s="2" t="s">
        <v>49</v>
      </c>
      <c r="E1004" s="2" t="s">
        <v>23</v>
      </c>
      <c r="F1004" s="5">
        <v>0</v>
      </c>
      <c r="G1004" s="1">
        <v>0</v>
      </c>
      <c r="H1004" s="2">
        <v>2</v>
      </c>
      <c r="I1004" s="6">
        <v>5.208333333333333E-3</v>
      </c>
      <c r="J1004" s="2"/>
      <c r="K1004" s="2"/>
      <c r="L1004" s="2" t="s">
        <v>30</v>
      </c>
      <c r="M1004" s="2" t="s">
        <v>76</v>
      </c>
      <c r="N1004" s="2" t="s">
        <v>31</v>
      </c>
    </row>
    <row r="1005" spans="1:14" x14ac:dyDescent="0.3">
      <c r="A1005" s="2" t="s">
        <v>70</v>
      </c>
      <c r="B1005" s="3">
        <v>1</v>
      </c>
      <c r="C1005" s="4" t="s">
        <v>27</v>
      </c>
      <c r="D1005" s="2" t="s">
        <v>32</v>
      </c>
      <c r="E1005" s="2" t="s">
        <v>42</v>
      </c>
      <c r="F1005" s="5">
        <v>0</v>
      </c>
      <c r="G1005" s="1">
        <v>0</v>
      </c>
      <c r="H1005" s="2">
        <v>4</v>
      </c>
      <c r="I1005" s="6">
        <v>5.208333333333333E-3</v>
      </c>
      <c r="J1005" s="2"/>
      <c r="K1005" s="2"/>
      <c r="L1005" s="2" t="s">
        <v>30</v>
      </c>
      <c r="M1005" s="2" t="s">
        <v>78</v>
      </c>
      <c r="N1005" s="2" t="s">
        <v>63</v>
      </c>
    </row>
    <row r="1006" spans="1:14" x14ac:dyDescent="0.3">
      <c r="A1006" s="2" t="s">
        <v>70</v>
      </c>
      <c r="B1006" s="3">
        <v>29</v>
      </c>
      <c r="C1006" s="4" t="s">
        <v>27</v>
      </c>
      <c r="D1006" s="2" t="s">
        <v>38</v>
      </c>
      <c r="E1006" s="2" t="s">
        <v>42</v>
      </c>
      <c r="F1006" s="5">
        <v>0</v>
      </c>
      <c r="G1006" s="1">
        <v>0</v>
      </c>
      <c r="H1006" s="2">
        <v>2</v>
      </c>
      <c r="I1006" s="6">
        <v>5.208333333333333E-3</v>
      </c>
      <c r="J1006" s="2"/>
      <c r="K1006" s="2"/>
      <c r="L1006" s="2" t="s">
        <v>40</v>
      </c>
      <c r="M1006" s="2" t="s">
        <v>76</v>
      </c>
      <c r="N1006" s="2" t="s">
        <v>52</v>
      </c>
    </row>
    <row r="1007" spans="1:14" x14ac:dyDescent="0.3">
      <c r="A1007" s="2" t="s">
        <v>70</v>
      </c>
      <c r="B1007" s="3">
        <v>26</v>
      </c>
      <c r="C1007" s="4" t="s">
        <v>37</v>
      </c>
      <c r="D1007" s="2" t="s">
        <v>38</v>
      </c>
      <c r="E1007" s="2" t="s">
        <v>17</v>
      </c>
      <c r="F1007" s="5">
        <v>0</v>
      </c>
      <c r="G1007" s="1">
        <v>0</v>
      </c>
      <c r="H1007" s="2">
        <v>3</v>
      </c>
      <c r="I1007" s="6">
        <v>5.208333333333333E-3</v>
      </c>
      <c r="J1007" s="2"/>
      <c r="K1007" s="2"/>
      <c r="L1007" s="2" t="s">
        <v>30</v>
      </c>
      <c r="M1007" s="2" t="s">
        <v>78</v>
      </c>
      <c r="N1007" s="2" t="s">
        <v>41</v>
      </c>
    </row>
    <row r="1008" spans="1:14" x14ac:dyDescent="0.3">
      <c r="A1008" s="2" t="s">
        <v>70</v>
      </c>
      <c r="B1008" s="3">
        <v>30</v>
      </c>
      <c r="C1008" s="4" t="s">
        <v>69</v>
      </c>
      <c r="D1008" s="2" t="s">
        <v>49</v>
      </c>
      <c r="E1008" s="2" t="s">
        <v>17</v>
      </c>
      <c r="F1008" s="5">
        <v>0</v>
      </c>
      <c r="G1008" s="1">
        <v>0</v>
      </c>
      <c r="H1008" s="2">
        <v>7</v>
      </c>
      <c r="I1008" s="6">
        <v>5.208333333333333E-3</v>
      </c>
      <c r="J1008" s="2"/>
      <c r="K1008" s="2"/>
      <c r="L1008" s="2" t="s">
        <v>43</v>
      </c>
      <c r="M1008" s="2" t="s">
        <v>76</v>
      </c>
      <c r="N1008" s="2" t="s">
        <v>52</v>
      </c>
    </row>
    <row r="1009" spans="1:14" x14ac:dyDescent="0.3">
      <c r="A1009" s="2" t="s">
        <v>70</v>
      </c>
      <c r="B1009" s="3">
        <v>7</v>
      </c>
      <c r="C1009" s="4" t="s">
        <v>72</v>
      </c>
      <c r="D1009" s="2" t="s">
        <v>28</v>
      </c>
      <c r="E1009" s="2" t="s">
        <v>17</v>
      </c>
      <c r="F1009" s="5">
        <v>0</v>
      </c>
      <c r="G1009" s="1">
        <v>0</v>
      </c>
      <c r="H1009" s="2">
        <v>3</v>
      </c>
      <c r="I1009" s="6">
        <v>5.208333333333333E-3</v>
      </c>
      <c r="J1009" s="2"/>
      <c r="K1009" s="2"/>
      <c r="L1009" s="2" t="s">
        <v>51</v>
      </c>
      <c r="M1009" s="2" t="s">
        <v>77</v>
      </c>
      <c r="N1009" s="2" t="s">
        <v>65</v>
      </c>
    </row>
    <row r="1010" spans="1:14" x14ac:dyDescent="0.3">
      <c r="A1010" s="2" t="s">
        <v>14</v>
      </c>
      <c r="B1010" s="3">
        <v>16</v>
      </c>
      <c r="C1010" s="4" t="s">
        <v>57</v>
      </c>
      <c r="D1010" s="2" t="s">
        <v>38</v>
      </c>
      <c r="E1010" s="2" t="s">
        <v>23</v>
      </c>
      <c r="F1010" s="5">
        <v>3</v>
      </c>
      <c r="G1010" s="1">
        <v>11000000</v>
      </c>
      <c r="H1010" s="2">
        <v>3</v>
      </c>
      <c r="I1010" s="6">
        <v>5.5555555555555558E-3</v>
      </c>
      <c r="J1010" s="2" t="s">
        <v>18</v>
      </c>
      <c r="K1010" s="2" t="s">
        <v>24</v>
      </c>
      <c r="L1010" s="2" t="s">
        <v>30</v>
      </c>
      <c r="M1010" s="2" t="s">
        <v>78</v>
      </c>
      <c r="N1010" s="2" t="s">
        <v>41</v>
      </c>
    </row>
    <row r="1011" spans="1:14" x14ac:dyDescent="0.3">
      <c r="A1011" s="2" t="s">
        <v>14</v>
      </c>
      <c r="B1011" s="3">
        <v>13</v>
      </c>
      <c r="C1011" s="4" t="s">
        <v>27</v>
      </c>
      <c r="D1011" s="2" t="s">
        <v>73</v>
      </c>
      <c r="E1011" s="2" t="s">
        <v>23</v>
      </c>
      <c r="F1011" s="5">
        <v>2</v>
      </c>
      <c r="G1011" s="1">
        <v>10000000</v>
      </c>
      <c r="H1011" s="2">
        <v>2</v>
      </c>
      <c r="I1011" s="6">
        <v>5.5555555555555558E-3</v>
      </c>
      <c r="J1011" s="2" t="s">
        <v>18</v>
      </c>
      <c r="K1011" s="2" t="s">
        <v>19</v>
      </c>
      <c r="L1011" s="2" t="s">
        <v>33</v>
      </c>
      <c r="M1011" s="2" t="s">
        <v>78</v>
      </c>
      <c r="N1011" s="2" t="s">
        <v>41</v>
      </c>
    </row>
    <row r="1012" spans="1:14" x14ac:dyDescent="0.3">
      <c r="A1012" s="2" t="s">
        <v>14</v>
      </c>
      <c r="B1012" s="3">
        <v>16</v>
      </c>
      <c r="C1012" s="4" t="s">
        <v>27</v>
      </c>
      <c r="D1012" s="2" t="s">
        <v>16</v>
      </c>
      <c r="E1012" s="2" t="s">
        <v>42</v>
      </c>
      <c r="F1012" s="5">
        <v>2</v>
      </c>
      <c r="G1012" s="1">
        <v>12000000</v>
      </c>
      <c r="H1012" s="2">
        <v>2</v>
      </c>
      <c r="I1012" s="6">
        <v>5.5555555555555558E-3</v>
      </c>
      <c r="J1012" s="2" t="s">
        <v>18</v>
      </c>
      <c r="K1012" s="2" t="s">
        <v>39</v>
      </c>
      <c r="L1012" s="2" t="s">
        <v>51</v>
      </c>
      <c r="M1012" s="2" t="s">
        <v>76</v>
      </c>
      <c r="N1012" s="2" t="s">
        <v>26</v>
      </c>
    </row>
    <row r="1013" spans="1:14" x14ac:dyDescent="0.3">
      <c r="A1013" s="2" t="s">
        <v>14</v>
      </c>
      <c r="B1013" s="3">
        <v>26</v>
      </c>
      <c r="C1013" s="4" t="s">
        <v>37</v>
      </c>
      <c r="D1013" s="2" t="s">
        <v>32</v>
      </c>
      <c r="E1013" s="2" t="s">
        <v>42</v>
      </c>
      <c r="F1013" s="5">
        <v>2</v>
      </c>
      <c r="G1013" s="1">
        <v>38000000</v>
      </c>
      <c r="H1013" s="2">
        <v>5</v>
      </c>
      <c r="I1013" s="6">
        <v>5.5555555555555558E-3</v>
      </c>
      <c r="J1013" s="2" t="s">
        <v>46</v>
      </c>
      <c r="K1013" s="2" t="s">
        <v>29</v>
      </c>
      <c r="L1013" s="2" t="s">
        <v>48</v>
      </c>
      <c r="M1013" s="2" t="s">
        <v>76</v>
      </c>
      <c r="N1013" s="2" t="s">
        <v>31</v>
      </c>
    </row>
    <row r="1014" spans="1:14" x14ac:dyDescent="0.3">
      <c r="A1014" s="2" t="s">
        <v>14</v>
      </c>
      <c r="B1014" s="3">
        <v>9</v>
      </c>
      <c r="C1014" s="4" t="s">
        <v>37</v>
      </c>
      <c r="D1014" s="2" t="s">
        <v>28</v>
      </c>
      <c r="E1014" s="2" t="s">
        <v>42</v>
      </c>
      <c r="F1014" s="5">
        <v>4</v>
      </c>
      <c r="G1014" s="1">
        <v>20000000</v>
      </c>
      <c r="H1014" s="2">
        <v>1</v>
      </c>
      <c r="I1014" s="6">
        <v>5.5555555555555558E-3</v>
      </c>
      <c r="J1014" s="2" t="s">
        <v>61</v>
      </c>
      <c r="K1014" s="2" t="s">
        <v>29</v>
      </c>
      <c r="L1014" s="2" t="s">
        <v>43</v>
      </c>
      <c r="M1014" s="2" t="s">
        <v>76</v>
      </c>
      <c r="N1014" s="2" t="s">
        <v>71</v>
      </c>
    </row>
    <row r="1015" spans="1:14" x14ac:dyDescent="0.3">
      <c r="A1015" s="2" t="s">
        <v>14</v>
      </c>
      <c r="B1015" s="3">
        <v>28</v>
      </c>
      <c r="C1015" s="4" t="s">
        <v>37</v>
      </c>
      <c r="D1015" s="2" t="s">
        <v>28</v>
      </c>
      <c r="E1015" s="2" t="s">
        <v>42</v>
      </c>
      <c r="F1015" s="5">
        <v>1</v>
      </c>
      <c r="G1015" s="1">
        <v>7000000</v>
      </c>
      <c r="H1015" s="2">
        <v>2</v>
      </c>
      <c r="I1015" s="6">
        <v>5.5555555555555558E-3</v>
      </c>
      <c r="J1015" s="2" t="s">
        <v>18</v>
      </c>
      <c r="K1015" s="2" t="s">
        <v>29</v>
      </c>
      <c r="L1015" s="2" t="s">
        <v>48</v>
      </c>
      <c r="M1015" s="2" t="s">
        <v>76</v>
      </c>
      <c r="N1015" s="2" t="s">
        <v>52</v>
      </c>
    </row>
    <row r="1016" spans="1:14" x14ac:dyDescent="0.3">
      <c r="A1016" s="2" t="s">
        <v>14</v>
      </c>
      <c r="B1016" s="3">
        <v>30</v>
      </c>
      <c r="C1016" s="4" t="s">
        <v>37</v>
      </c>
      <c r="D1016" s="2" t="s">
        <v>32</v>
      </c>
      <c r="E1016" s="2" t="s">
        <v>17</v>
      </c>
      <c r="F1016" s="5">
        <v>3</v>
      </c>
      <c r="G1016" s="1">
        <v>15000000</v>
      </c>
      <c r="H1016" s="2">
        <v>4</v>
      </c>
      <c r="I1016" s="6">
        <v>5.5555555555555558E-3</v>
      </c>
      <c r="J1016" s="2" t="s">
        <v>18</v>
      </c>
      <c r="K1016" s="2" t="s">
        <v>24</v>
      </c>
      <c r="L1016" s="2" t="s">
        <v>33</v>
      </c>
      <c r="M1016" s="2" t="s">
        <v>78</v>
      </c>
      <c r="N1016" s="2" t="s">
        <v>63</v>
      </c>
    </row>
    <row r="1017" spans="1:14" x14ac:dyDescent="0.3">
      <c r="A1017" s="2" t="s">
        <v>14</v>
      </c>
      <c r="B1017" s="3">
        <v>5</v>
      </c>
      <c r="C1017" s="4" t="s">
        <v>44</v>
      </c>
      <c r="D1017" s="2" t="s">
        <v>28</v>
      </c>
      <c r="E1017" s="2" t="s">
        <v>17</v>
      </c>
      <c r="F1017" s="5">
        <v>5</v>
      </c>
      <c r="G1017" s="1">
        <v>25000000</v>
      </c>
      <c r="H1017" s="2">
        <v>2</v>
      </c>
      <c r="I1017" s="6">
        <v>5.5555555555555558E-3</v>
      </c>
      <c r="J1017" s="2" t="s">
        <v>18</v>
      </c>
      <c r="K1017" s="2" t="s">
        <v>19</v>
      </c>
      <c r="L1017" s="2" t="s">
        <v>25</v>
      </c>
      <c r="M1017" s="2" t="s">
        <v>66</v>
      </c>
      <c r="N1017" s="2" t="s">
        <v>36</v>
      </c>
    </row>
    <row r="1018" spans="1:14" x14ac:dyDescent="0.3">
      <c r="A1018" s="2" t="s">
        <v>14</v>
      </c>
      <c r="B1018" s="3">
        <v>16</v>
      </c>
      <c r="C1018" s="4" t="s">
        <v>57</v>
      </c>
      <c r="D1018" s="2" t="s">
        <v>38</v>
      </c>
      <c r="E1018" s="2" t="s">
        <v>23</v>
      </c>
      <c r="F1018" s="5">
        <v>3</v>
      </c>
      <c r="G1018" s="1">
        <v>11000000</v>
      </c>
      <c r="H1018" s="2">
        <v>3</v>
      </c>
      <c r="I1018" s="6">
        <v>5.5555555555555558E-3</v>
      </c>
      <c r="J1018" s="2" t="s">
        <v>18</v>
      </c>
      <c r="K1018" s="2" t="s">
        <v>24</v>
      </c>
      <c r="L1018" s="2" t="s">
        <v>30</v>
      </c>
      <c r="M1018" s="2" t="s">
        <v>78</v>
      </c>
      <c r="N1018" s="2" t="s">
        <v>41</v>
      </c>
    </row>
    <row r="1019" spans="1:14" x14ac:dyDescent="0.3">
      <c r="A1019" s="2" t="s">
        <v>70</v>
      </c>
      <c r="B1019" s="3">
        <v>12</v>
      </c>
      <c r="C1019" s="4" t="s">
        <v>27</v>
      </c>
      <c r="D1019" s="2" t="s">
        <v>32</v>
      </c>
      <c r="E1019" s="2" t="s">
        <v>42</v>
      </c>
      <c r="F1019" s="5">
        <v>0</v>
      </c>
      <c r="G1019" s="1">
        <v>0</v>
      </c>
      <c r="H1019" s="2">
        <v>3</v>
      </c>
      <c r="I1019" s="6">
        <v>5.5555555555555558E-3</v>
      </c>
      <c r="J1019" s="2"/>
      <c r="K1019" s="2"/>
      <c r="L1019" s="2" t="s">
        <v>30</v>
      </c>
      <c r="M1019" s="2" t="s">
        <v>66</v>
      </c>
      <c r="N1019" s="2" t="s">
        <v>67</v>
      </c>
    </row>
    <row r="1020" spans="1:14" x14ac:dyDescent="0.3">
      <c r="A1020" s="2" t="s">
        <v>70</v>
      </c>
      <c r="B1020" s="3">
        <v>1</v>
      </c>
      <c r="C1020" s="4" t="s">
        <v>37</v>
      </c>
      <c r="D1020" s="2" t="s">
        <v>49</v>
      </c>
      <c r="E1020" s="2" t="s">
        <v>42</v>
      </c>
      <c r="F1020" s="5">
        <v>0</v>
      </c>
      <c r="G1020" s="1">
        <v>0</v>
      </c>
      <c r="H1020" s="2">
        <v>1</v>
      </c>
      <c r="I1020" s="6">
        <v>5.5555555555555558E-3</v>
      </c>
      <c r="J1020" s="2"/>
      <c r="K1020" s="2"/>
      <c r="L1020" s="2" t="s">
        <v>30</v>
      </c>
      <c r="M1020" s="2" t="s">
        <v>66</v>
      </c>
      <c r="N1020" s="2" t="s">
        <v>67</v>
      </c>
    </row>
    <row r="1021" spans="1:14" x14ac:dyDescent="0.3">
      <c r="A1021" s="2" t="s">
        <v>70</v>
      </c>
      <c r="B1021" s="3">
        <v>5</v>
      </c>
      <c r="C1021" s="4" t="s">
        <v>37</v>
      </c>
      <c r="D1021" s="2" t="s">
        <v>49</v>
      </c>
      <c r="E1021" s="2" t="s">
        <v>45</v>
      </c>
      <c r="F1021" s="5">
        <v>0</v>
      </c>
      <c r="G1021" s="1">
        <v>0</v>
      </c>
      <c r="H1021" s="2">
        <v>4</v>
      </c>
      <c r="I1021" s="6">
        <v>5.5555555555555558E-3</v>
      </c>
      <c r="J1021" s="2"/>
      <c r="K1021" s="2"/>
      <c r="L1021" s="2" t="s">
        <v>43</v>
      </c>
      <c r="M1021" s="2" t="s">
        <v>77</v>
      </c>
      <c r="N1021" s="2" t="s">
        <v>65</v>
      </c>
    </row>
    <row r="1022" spans="1:14" x14ac:dyDescent="0.3">
      <c r="A1022" s="2" t="s">
        <v>70</v>
      </c>
      <c r="B1022" s="3">
        <v>27</v>
      </c>
      <c r="C1022" s="4" t="s">
        <v>44</v>
      </c>
      <c r="D1022" s="2" t="s">
        <v>16</v>
      </c>
      <c r="E1022" s="2" t="s">
        <v>17</v>
      </c>
      <c r="F1022" s="5">
        <v>0</v>
      </c>
      <c r="G1022" s="1">
        <v>0</v>
      </c>
      <c r="H1022" s="2">
        <v>1</v>
      </c>
      <c r="I1022" s="6">
        <v>5.5555555555555558E-3</v>
      </c>
      <c r="J1022" s="2"/>
      <c r="K1022" s="2"/>
      <c r="L1022" s="2" t="s">
        <v>30</v>
      </c>
      <c r="M1022" s="2" t="s">
        <v>76</v>
      </c>
      <c r="N1022" s="2" t="s">
        <v>52</v>
      </c>
    </row>
    <row r="1023" spans="1:14" x14ac:dyDescent="0.3">
      <c r="A1023" s="2" t="s">
        <v>70</v>
      </c>
      <c r="B1023" s="3">
        <v>16</v>
      </c>
      <c r="C1023" s="4" t="s">
        <v>44</v>
      </c>
      <c r="D1023" s="2" t="s">
        <v>16</v>
      </c>
      <c r="E1023" s="2" t="s">
        <v>17</v>
      </c>
      <c r="F1023" s="5">
        <v>0</v>
      </c>
      <c r="G1023" s="1">
        <v>0</v>
      </c>
      <c r="H1023" s="2">
        <v>1</v>
      </c>
      <c r="I1023" s="6">
        <v>5.5555555555555558E-3</v>
      </c>
      <c r="J1023" s="2"/>
      <c r="K1023" s="2"/>
      <c r="L1023" s="2" t="s">
        <v>40</v>
      </c>
      <c r="M1023" s="2" t="s">
        <v>78</v>
      </c>
      <c r="N1023" s="2" t="s">
        <v>21</v>
      </c>
    </row>
    <row r="1024" spans="1:14" x14ac:dyDescent="0.3">
      <c r="A1024" s="2" t="s">
        <v>14</v>
      </c>
      <c r="B1024" s="3">
        <v>11</v>
      </c>
      <c r="C1024" s="4" t="s">
        <v>57</v>
      </c>
      <c r="D1024" s="2" t="s">
        <v>32</v>
      </c>
      <c r="E1024" s="2" t="s">
        <v>42</v>
      </c>
      <c r="F1024" s="5">
        <v>4</v>
      </c>
      <c r="G1024" s="1">
        <v>20000000</v>
      </c>
      <c r="H1024" s="2">
        <v>1</v>
      </c>
      <c r="I1024" s="6">
        <v>5.6712962962962958E-3</v>
      </c>
      <c r="J1024" s="2" t="s">
        <v>18</v>
      </c>
      <c r="K1024" s="2" t="s">
        <v>56</v>
      </c>
      <c r="L1024" s="2" t="s">
        <v>20</v>
      </c>
      <c r="M1024" s="2" t="s">
        <v>78</v>
      </c>
      <c r="N1024" s="2" t="s">
        <v>62</v>
      </c>
    </row>
    <row r="1025" spans="1:14" x14ac:dyDescent="0.3">
      <c r="A1025" s="2" t="s">
        <v>14</v>
      </c>
      <c r="B1025" s="3">
        <v>1</v>
      </c>
      <c r="C1025" s="4" t="s">
        <v>59</v>
      </c>
      <c r="D1025" s="2" t="s">
        <v>38</v>
      </c>
      <c r="E1025" s="2" t="s">
        <v>23</v>
      </c>
      <c r="F1025" s="5">
        <v>2</v>
      </c>
      <c r="G1025" s="1">
        <v>12000000</v>
      </c>
      <c r="H1025" s="2">
        <v>5</v>
      </c>
      <c r="I1025" s="6">
        <v>5.6712962962962958E-3</v>
      </c>
      <c r="J1025" s="2" t="s">
        <v>18</v>
      </c>
      <c r="K1025" s="2" t="s">
        <v>35</v>
      </c>
      <c r="L1025" s="2" t="s">
        <v>40</v>
      </c>
      <c r="M1025" s="2" t="s">
        <v>66</v>
      </c>
      <c r="N1025" s="2" t="s">
        <v>36</v>
      </c>
    </row>
    <row r="1026" spans="1:14" x14ac:dyDescent="0.3">
      <c r="A1026" s="2" t="s">
        <v>14</v>
      </c>
      <c r="B1026" s="3">
        <v>10</v>
      </c>
      <c r="C1026" s="4" t="s">
        <v>27</v>
      </c>
      <c r="D1026" s="2" t="s">
        <v>38</v>
      </c>
      <c r="E1026" s="2" t="s">
        <v>42</v>
      </c>
      <c r="F1026" s="5">
        <v>2</v>
      </c>
      <c r="G1026" s="1">
        <v>38000000</v>
      </c>
      <c r="H1026" s="2">
        <v>2</v>
      </c>
      <c r="I1026" s="6">
        <v>5.6712962962962958E-3</v>
      </c>
      <c r="J1026" s="2" t="s">
        <v>74</v>
      </c>
      <c r="K1026" s="2" t="s">
        <v>47</v>
      </c>
      <c r="L1026" s="2" t="s">
        <v>48</v>
      </c>
      <c r="M1026" s="2" t="s">
        <v>78</v>
      </c>
      <c r="N1026" s="2" t="s">
        <v>63</v>
      </c>
    </row>
    <row r="1027" spans="1:14" x14ac:dyDescent="0.3">
      <c r="A1027" s="2" t="s">
        <v>14</v>
      </c>
      <c r="B1027" s="3">
        <v>11</v>
      </c>
      <c r="C1027" s="4" t="s">
        <v>27</v>
      </c>
      <c r="D1027" s="2" t="s">
        <v>16</v>
      </c>
      <c r="E1027" s="2" t="s">
        <v>23</v>
      </c>
      <c r="F1027" s="5">
        <v>2</v>
      </c>
      <c r="G1027" s="1">
        <v>12000000</v>
      </c>
      <c r="H1027" s="2">
        <v>4</v>
      </c>
      <c r="I1027" s="6">
        <v>5.6712962962962958E-3</v>
      </c>
      <c r="J1027" s="2" t="s">
        <v>18</v>
      </c>
      <c r="K1027" s="2" t="s">
        <v>39</v>
      </c>
      <c r="L1027" s="2" t="s">
        <v>30</v>
      </c>
      <c r="M1027" s="2" t="s">
        <v>76</v>
      </c>
      <c r="N1027" s="2" t="s">
        <v>31</v>
      </c>
    </row>
    <row r="1028" spans="1:14" x14ac:dyDescent="0.3">
      <c r="A1028" s="2" t="s">
        <v>14</v>
      </c>
      <c r="B1028" s="3">
        <v>12</v>
      </c>
      <c r="C1028" s="4" t="s">
        <v>27</v>
      </c>
      <c r="D1028" s="2" t="s">
        <v>38</v>
      </c>
      <c r="E1028" s="2" t="s">
        <v>17</v>
      </c>
      <c r="F1028" s="5">
        <v>3</v>
      </c>
      <c r="G1028" s="1">
        <v>15000000</v>
      </c>
      <c r="H1028" s="2">
        <v>4</v>
      </c>
      <c r="I1028" s="6">
        <v>5.6712962962962958E-3</v>
      </c>
      <c r="J1028" s="2" t="s">
        <v>18</v>
      </c>
      <c r="K1028" s="2" t="s">
        <v>24</v>
      </c>
      <c r="L1028" s="2" t="s">
        <v>30</v>
      </c>
      <c r="M1028" s="2" t="s">
        <v>76</v>
      </c>
      <c r="N1028" s="2" t="s">
        <v>31</v>
      </c>
    </row>
    <row r="1029" spans="1:14" x14ac:dyDescent="0.3">
      <c r="A1029" s="2" t="s">
        <v>14</v>
      </c>
      <c r="B1029" s="3">
        <v>27</v>
      </c>
      <c r="C1029" s="4" t="s">
        <v>37</v>
      </c>
      <c r="D1029" s="2" t="s">
        <v>32</v>
      </c>
      <c r="E1029" s="2" t="s">
        <v>45</v>
      </c>
      <c r="F1029" s="5">
        <v>1</v>
      </c>
      <c r="G1029" s="1">
        <v>19000000</v>
      </c>
      <c r="H1029" s="2">
        <v>1</v>
      </c>
      <c r="I1029" s="6">
        <v>5.6712962962962958E-3</v>
      </c>
      <c r="J1029" s="2" t="s">
        <v>46</v>
      </c>
      <c r="K1029" s="2" t="s">
        <v>19</v>
      </c>
      <c r="L1029" s="2" t="s">
        <v>33</v>
      </c>
      <c r="M1029" s="2" t="s">
        <v>78</v>
      </c>
      <c r="N1029" s="2" t="s">
        <v>41</v>
      </c>
    </row>
    <row r="1030" spans="1:14" x14ac:dyDescent="0.3">
      <c r="A1030" s="2" t="s">
        <v>14</v>
      </c>
      <c r="B1030" s="3">
        <v>30</v>
      </c>
      <c r="C1030" s="4" t="s">
        <v>37</v>
      </c>
      <c r="D1030" s="2" t="s">
        <v>38</v>
      </c>
      <c r="E1030" s="2" t="s">
        <v>42</v>
      </c>
      <c r="F1030" s="5">
        <v>4</v>
      </c>
      <c r="G1030" s="1">
        <v>11000000</v>
      </c>
      <c r="H1030" s="2">
        <v>3</v>
      </c>
      <c r="I1030" s="6">
        <v>5.6712962962962958E-3</v>
      </c>
      <c r="J1030" s="2" t="s">
        <v>61</v>
      </c>
      <c r="K1030" s="2" t="s">
        <v>39</v>
      </c>
      <c r="L1030" s="2" t="s">
        <v>43</v>
      </c>
      <c r="M1030" s="2" t="s">
        <v>76</v>
      </c>
      <c r="N1030" s="2" t="s">
        <v>26</v>
      </c>
    </row>
    <row r="1031" spans="1:14" x14ac:dyDescent="0.3">
      <c r="A1031" s="2" t="s">
        <v>14</v>
      </c>
      <c r="B1031" s="3">
        <v>27</v>
      </c>
      <c r="C1031" s="4" t="s">
        <v>37</v>
      </c>
      <c r="D1031" s="2" t="s">
        <v>28</v>
      </c>
      <c r="E1031" s="2" t="s">
        <v>17</v>
      </c>
      <c r="F1031" s="5">
        <v>5</v>
      </c>
      <c r="G1031" s="1">
        <v>25000000</v>
      </c>
      <c r="H1031" s="2">
        <v>2</v>
      </c>
      <c r="I1031" s="6">
        <v>5.6712962962962958E-3</v>
      </c>
      <c r="J1031" s="2" t="s">
        <v>18</v>
      </c>
      <c r="K1031" s="2" t="s">
        <v>39</v>
      </c>
      <c r="L1031" s="2" t="s">
        <v>40</v>
      </c>
      <c r="M1031" s="2" t="s">
        <v>76</v>
      </c>
      <c r="N1031" s="2" t="s">
        <v>52</v>
      </c>
    </row>
    <row r="1032" spans="1:14" x14ac:dyDescent="0.3">
      <c r="A1032" s="2" t="s">
        <v>14</v>
      </c>
      <c r="B1032" s="3">
        <v>9</v>
      </c>
      <c r="C1032" s="4" t="s">
        <v>37</v>
      </c>
      <c r="D1032" s="2" t="s">
        <v>16</v>
      </c>
      <c r="E1032" s="2" t="s">
        <v>42</v>
      </c>
      <c r="F1032" s="5">
        <v>3</v>
      </c>
      <c r="G1032" s="1">
        <v>15000000</v>
      </c>
      <c r="H1032" s="2">
        <v>4</v>
      </c>
      <c r="I1032" s="6">
        <v>5.6712962962962958E-3</v>
      </c>
      <c r="J1032" s="2" t="s">
        <v>18</v>
      </c>
      <c r="K1032" s="2" t="s">
        <v>56</v>
      </c>
      <c r="L1032" s="2" t="s">
        <v>33</v>
      </c>
      <c r="M1032" s="2" t="s">
        <v>66</v>
      </c>
      <c r="N1032" s="2" t="s">
        <v>67</v>
      </c>
    </row>
    <row r="1033" spans="1:14" x14ac:dyDescent="0.3">
      <c r="A1033" s="2" t="s">
        <v>14</v>
      </c>
      <c r="B1033" s="3">
        <v>22</v>
      </c>
      <c r="C1033" s="4" t="s">
        <v>44</v>
      </c>
      <c r="D1033" s="2" t="s">
        <v>73</v>
      </c>
      <c r="E1033" s="2" t="s">
        <v>42</v>
      </c>
      <c r="F1033" s="5">
        <v>3</v>
      </c>
      <c r="G1033" s="1">
        <v>15000000</v>
      </c>
      <c r="H1033" s="2">
        <v>1</v>
      </c>
      <c r="I1033" s="6">
        <v>5.6712962962962958E-3</v>
      </c>
      <c r="J1033" s="2" t="s">
        <v>18</v>
      </c>
      <c r="K1033" s="2" t="s">
        <v>29</v>
      </c>
      <c r="L1033" s="2" t="s">
        <v>48</v>
      </c>
      <c r="M1033" s="2" t="s">
        <v>66</v>
      </c>
      <c r="N1033" s="2" t="s">
        <v>36</v>
      </c>
    </row>
    <row r="1034" spans="1:14" x14ac:dyDescent="0.3">
      <c r="A1034" s="2" t="s">
        <v>14</v>
      </c>
      <c r="B1034" s="3">
        <v>23</v>
      </c>
      <c r="C1034" s="4" t="s">
        <v>69</v>
      </c>
      <c r="D1034" s="2" t="s">
        <v>38</v>
      </c>
      <c r="E1034" s="2" t="s">
        <v>42</v>
      </c>
      <c r="F1034" s="5">
        <v>5</v>
      </c>
      <c r="G1034" s="1">
        <v>21000000</v>
      </c>
      <c r="H1034" s="2">
        <v>1</v>
      </c>
      <c r="I1034" s="6">
        <v>5.6712962962962958E-3</v>
      </c>
      <c r="J1034" s="2" t="s">
        <v>18</v>
      </c>
      <c r="K1034" s="2" t="s">
        <v>64</v>
      </c>
      <c r="L1034" s="2" t="s">
        <v>25</v>
      </c>
      <c r="M1034" s="2" t="s">
        <v>78</v>
      </c>
      <c r="N1034" s="2" t="s">
        <v>41</v>
      </c>
    </row>
    <row r="1035" spans="1:14" x14ac:dyDescent="0.3">
      <c r="A1035" s="2" t="s">
        <v>14</v>
      </c>
      <c r="B1035" s="3">
        <v>11</v>
      </c>
      <c r="C1035" s="4" t="s">
        <v>57</v>
      </c>
      <c r="D1035" s="2" t="s">
        <v>32</v>
      </c>
      <c r="E1035" s="2" t="s">
        <v>42</v>
      </c>
      <c r="F1035" s="5">
        <v>4</v>
      </c>
      <c r="G1035" s="1">
        <v>20000000</v>
      </c>
      <c r="H1035" s="2">
        <v>1</v>
      </c>
      <c r="I1035" s="6">
        <v>5.6712962962962958E-3</v>
      </c>
      <c r="J1035" s="2" t="s">
        <v>18</v>
      </c>
      <c r="K1035" s="2" t="s">
        <v>56</v>
      </c>
      <c r="L1035" s="2" t="s">
        <v>20</v>
      </c>
      <c r="M1035" s="2" t="s">
        <v>78</v>
      </c>
      <c r="N1035" s="2" t="s">
        <v>62</v>
      </c>
    </row>
    <row r="1036" spans="1:14" x14ac:dyDescent="0.3">
      <c r="A1036" s="2" t="s">
        <v>14</v>
      </c>
      <c r="B1036" s="3">
        <v>1</v>
      </c>
      <c r="C1036" s="4" t="s">
        <v>59</v>
      </c>
      <c r="D1036" s="2" t="s">
        <v>38</v>
      </c>
      <c r="E1036" s="2" t="s">
        <v>23</v>
      </c>
      <c r="F1036" s="5">
        <v>2</v>
      </c>
      <c r="G1036" s="1">
        <v>12000000</v>
      </c>
      <c r="H1036" s="2">
        <v>5</v>
      </c>
      <c r="I1036" s="6">
        <v>5.6712962962962958E-3</v>
      </c>
      <c r="J1036" s="2" t="s">
        <v>18</v>
      </c>
      <c r="K1036" s="2" t="s">
        <v>35</v>
      </c>
      <c r="L1036" s="2" t="s">
        <v>40</v>
      </c>
      <c r="M1036" s="2" t="s">
        <v>66</v>
      </c>
      <c r="N1036" s="2" t="s">
        <v>36</v>
      </c>
    </row>
    <row r="1037" spans="1:14" x14ac:dyDescent="0.3">
      <c r="A1037" s="2" t="s">
        <v>70</v>
      </c>
      <c r="B1037" s="3">
        <v>18</v>
      </c>
      <c r="C1037" s="4" t="s">
        <v>58</v>
      </c>
      <c r="D1037" s="2" t="s">
        <v>16</v>
      </c>
      <c r="E1037" s="2" t="s">
        <v>42</v>
      </c>
      <c r="F1037" s="5">
        <v>0</v>
      </c>
      <c r="G1037" s="1">
        <v>0</v>
      </c>
      <c r="H1037" s="2">
        <v>1</v>
      </c>
      <c r="I1037" s="6">
        <v>5.6712962962962958E-3</v>
      </c>
      <c r="J1037" s="2"/>
      <c r="K1037" s="2"/>
      <c r="L1037" s="2" t="s">
        <v>20</v>
      </c>
      <c r="M1037" s="2" t="s">
        <v>76</v>
      </c>
      <c r="N1037" s="2" t="s">
        <v>31</v>
      </c>
    </row>
    <row r="1038" spans="1:14" x14ac:dyDescent="0.3">
      <c r="A1038" s="2" t="s">
        <v>70</v>
      </c>
      <c r="B1038" s="3">
        <v>2</v>
      </c>
      <c r="C1038" s="4" t="s">
        <v>72</v>
      </c>
      <c r="D1038" s="2" t="s">
        <v>16</v>
      </c>
      <c r="E1038" s="2" t="s">
        <v>23</v>
      </c>
      <c r="F1038" s="5">
        <v>0</v>
      </c>
      <c r="G1038" s="1">
        <v>0</v>
      </c>
      <c r="H1038" s="2">
        <v>4</v>
      </c>
      <c r="I1038" s="6">
        <v>5.6712962962962958E-3</v>
      </c>
      <c r="J1038" s="2"/>
      <c r="K1038" s="2"/>
      <c r="L1038" s="2" t="s">
        <v>51</v>
      </c>
      <c r="M1038" s="2" t="s">
        <v>77</v>
      </c>
      <c r="N1038" s="2" t="s">
        <v>54</v>
      </c>
    </row>
    <row r="1039" spans="1:14" x14ac:dyDescent="0.3">
      <c r="A1039" s="2" t="s">
        <v>70</v>
      </c>
      <c r="B1039" s="3">
        <v>18</v>
      </c>
      <c r="C1039" s="4" t="s">
        <v>58</v>
      </c>
      <c r="D1039" s="2" t="s">
        <v>16</v>
      </c>
      <c r="E1039" s="2" t="s">
        <v>42</v>
      </c>
      <c r="F1039" s="5">
        <v>0</v>
      </c>
      <c r="G1039" s="1">
        <v>0</v>
      </c>
      <c r="H1039" s="2">
        <v>1</v>
      </c>
      <c r="I1039" s="6">
        <v>5.6712962962962958E-3</v>
      </c>
      <c r="J1039" s="2"/>
      <c r="K1039" s="2"/>
      <c r="L1039" s="2" t="s">
        <v>20</v>
      </c>
      <c r="M1039" s="2" t="s">
        <v>76</v>
      </c>
      <c r="N1039" s="2" t="s">
        <v>31</v>
      </c>
    </row>
    <row r="1040" spans="1:14" x14ac:dyDescent="0.3">
      <c r="A1040" s="2" t="s">
        <v>70</v>
      </c>
      <c r="B1040" s="3">
        <v>2</v>
      </c>
      <c r="C1040" s="4" t="s">
        <v>72</v>
      </c>
      <c r="D1040" s="2" t="s">
        <v>16</v>
      </c>
      <c r="E1040" s="2" t="s">
        <v>23</v>
      </c>
      <c r="F1040" s="5">
        <v>0</v>
      </c>
      <c r="G1040" s="1">
        <v>0</v>
      </c>
      <c r="H1040" s="2">
        <v>4</v>
      </c>
      <c r="I1040" s="6">
        <v>5.6712962962962958E-3</v>
      </c>
      <c r="J1040" s="2"/>
      <c r="K1040" s="2"/>
      <c r="L1040" s="2" t="s">
        <v>51</v>
      </c>
      <c r="M1040" s="2" t="s">
        <v>77</v>
      </c>
      <c r="N1040" s="2" t="s">
        <v>54</v>
      </c>
    </row>
    <row r="1041" spans="1:14" x14ac:dyDescent="0.3">
      <c r="A1041" s="2" t="s">
        <v>14</v>
      </c>
      <c r="B1041" s="3">
        <v>13</v>
      </c>
      <c r="C1041" s="4" t="s">
        <v>55</v>
      </c>
      <c r="D1041" s="2" t="s">
        <v>16</v>
      </c>
      <c r="E1041" s="2" t="s">
        <v>42</v>
      </c>
      <c r="F1041" s="5">
        <v>4</v>
      </c>
      <c r="G1041" s="1">
        <v>15000000</v>
      </c>
      <c r="H1041" s="2">
        <v>5</v>
      </c>
      <c r="I1041" s="6">
        <v>5.6944444444444438E-3</v>
      </c>
      <c r="J1041" s="2" t="s">
        <v>18</v>
      </c>
      <c r="K1041" s="2" t="s">
        <v>35</v>
      </c>
      <c r="L1041" s="2" t="s">
        <v>48</v>
      </c>
      <c r="M1041" s="2" t="s">
        <v>76</v>
      </c>
      <c r="N1041" s="2" t="s">
        <v>52</v>
      </c>
    </row>
    <row r="1042" spans="1:14" x14ac:dyDescent="0.3">
      <c r="A1042" s="2" t="s">
        <v>14</v>
      </c>
      <c r="B1042" s="3">
        <v>11</v>
      </c>
      <c r="C1042" s="4" t="s">
        <v>57</v>
      </c>
      <c r="D1042" s="2" t="s">
        <v>28</v>
      </c>
      <c r="E1042" s="2" t="s">
        <v>17</v>
      </c>
      <c r="F1042" s="5">
        <v>2</v>
      </c>
      <c r="G1042" s="1">
        <v>38000000</v>
      </c>
      <c r="H1042" s="2">
        <v>2</v>
      </c>
      <c r="I1042" s="6">
        <v>5.6944444444444438E-3</v>
      </c>
      <c r="J1042" s="2" t="s">
        <v>46</v>
      </c>
      <c r="K1042" s="2" t="s">
        <v>19</v>
      </c>
      <c r="L1042" s="2" t="s">
        <v>25</v>
      </c>
      <c r="M1042" s="2" t="s">
        <v>78</v>
      </c>
      <c r="N1042" s="2" t="s">
        <v>62</v>
      </c>
    </row>
    <row r="1043" spans="1:14" x14ac:dyDescent="0.3">
      <c r="A1043" s="2" t="s">
        <v>14</v>
      </c>
      <c r="B1043" s="3">
        <v>12</v>
      </c>
      <c r="C1043" s="4" t="s">
        <v>59</v>
      </c>
      <c r="D1043" s="2" t="s">
        <v>16</v>
      </c>
      <c r="E1043" s="2" t="s">
        <v>42</v>
      </c>
      <c r="F1043" s="5">
        <v>1</v>
      </c>
      <c r="G1043" s="1">
        <v>7000000</v>
      </c>
      <c r="H1043" s="2">
        <v>1</v>
      </c>
      <c r="I1043" s="6">
        <v>5.6944444444444438E-3</v>
      </c>
      <c r="J1043" s="2" t="s">
        <v>18</v>
      </c>
      <c r="K1043" s="2" t="s">
        <v>39</v>
      </c>
      <c r="L1043" s="2" t="s">
        <v>20</v>
      </c>
      <c r="M1043" s="2" t="s">
        <v>77</v>
      </c>
      <c r="N1043" s="2" t="s">
        <v>65</v>
      </c>
    </row>
    <row r="1044" spans="1:14" x14ac:dyDescent="0.3">
      <c r="A1044" s="2" t="s">
        <v>14</v>
      </c>
      <c r="B1044" s="3">
        <v>27</v>
      </c>
      <c r="C1044" s="4" t="s">
        <v>22</v>
      </c>
      <c r="D1044" s="2" t="s">
        <v>32</v>
      </c>
      <c r="E1044" s="2" t="s">
        <v>68</v>
      </c>
      <c r="F1044" s="5">
        <v>5</v>
      </c>
      <c r="G1044" s="1">
        <v>25000000</v>
      </c>
      <c r="H1044" s="2">
        <v>4</v>
      </c>
      <c r="I1044" s="6">
        <v>5.6944444444444438E-3</v>
      </c>
      <c r="J1044" s="2" t="s">
        <v>18</v>
      </c>
      <c r="K1044" s="2" t="s">
        <v>56</v>
      </c>
      <c r="L1044" s="2" t="s">
        <v>51</v>
      </c>
      <c r="M1044" s="2" t="s">
        <v>78</v>
      </c>
      <c r="N1044" s="2" t="s">
        <v>63</v>
      </c>
    </row>
    <row r="1045" spans="1:14" x14ac:dyDescent="0.3">
      <c r="A1045" s="2" t="s">
        <v>14</v>
      </c>
      <c r="B1045" s="3">
        <v>30</v>
      </c>
      <c r="C1045" s="4" t="s">
        <v>27</v>
      </c>
      <c r="D1045" s="2" t="s">
        <v>32</v>
      </c>
      <c r="E1045" s="2" t="s">
        <v>42</v>
      </c>
      <c r="F1045" s="5">
        <v>1</v>
      </c>
      <c r="G1045" s="1">
        <v>19000000</v>
      </c>
      <c r="H1045" s="2">
        <v>5</v>
      </c>
      <c r="I1045" s="6">
        <v>5.6944444444444438E-3</v>
      </c>
      <c r="J1045" s="2" t="s">
        <v>46</v>
      </c>
      <c r="K1045" s="2" t="s">
        <v>56</v>
      </c>
      <c r="L1045" s="2" t="s">
        <v>40</v>
      </c>
      <c r="M1045" s="2" t="s">
        <v>78</v>
      </c>
      <c r="N1045" s="2" t="s">
        <v>63</v>
      </c>
    </row>
    <row r="1046" spans="1:14" x14ac:dyDescent="0.3">
      <c r="A1046" s="2" t="s">
        <v>14</v>
      </c>
      <c r="B1046" s="3">
        <v>19</v>
      </c>
      <c r="C1046" s="4" t="s">
        <v>27</v>
      </c>
      <c r="D1046" s="2" t="s">
        <v>32</v>
      </c>
      <c r="E1046" s="2" t="s">
        <v>68</v>
      </c>
      <c r="F1046" s="5">
        <v>5</v>
      </c>
      <c r="G1046" s="1">
        <v>20000000</v>
      </c>
      <c r="H1046" s="2">
        <v>5</v>
      </c>
      <c r="I1046" s="6">
        <v>5.6944444444444438E-3</v>
      </c>
      <c r="J1046" s="2" t="s">
        <v>18</v>
      </c>
      <c r="K1046" s="2" t="s">
        <v>39</v>
      </c>
      <c r="L1046" s="2" t="s">
        <v>33</v>
      </c>
      <c r="M1046" s="2" t="s">
        <v>78</v>
      </c>
      <c r="N1046" s="2" t="s">
        <v>53</v>
      </c>
    </row>
    <row r="1047" spans="1:14" x14ac:dyDescent="0.3">
      <c r="A1047" s="2" t="s">
        <v>14</v>
      </c>
      <c r="B1047" s="3">
        <v>12</v>
      </c>
      <c r="C1047" s="4" t="s">
        <v>27</v>
      </c>
      <c r="D1047" s="2" t="s">
        <v>16</v>
      </c>
      <c r="E1047" s="2" t="s">
        <v>42</v>
      </c>
      <c r="F1047" s="5">
        <v>3</v>
      </c>
      <c r="G1047" s="1">
        <v>11000000</v>
      </c>
      <c r="H1047" s="2">
        <v>5</v>
      </c>
      <c r="I1047" s="6">
        <v>5.6944444444444438E-3</v>
      </c>
      <c r="J1047" s="2" t="s">
        <v>18</v>
      </c>
      <c r="K1047" s="2" t="s">
        <v>64</v>
      </c>
      <c r="L1047" s="2" t="s">
        <v>25</v>
      </c>
      <c r="M1047" s="2" t="s">
        <v>66</v>
      </c>
      <c r="N1047" s="2" t="s">
        <v>67</v>
      </c>
    </row>
    <row r="1048" spans="1:14" x14ac:dyDescent="0.3">
      <c r="A1048" s="2" t="s">
        <v>14</v>
      </c>
      <c r="B1048" s="3">
        <v>21</v>
      </c>
      <c r="C1048" s="4" t="s">
        <v>37</v>
      </c>
      <c r="D1048" s="2" t="s">
        <v>16</v>
      </c>
      <c r="E1048" s="2" t="s">
        <v>23</v>
      </c>
      <c r="F1048" s="5">
        <v>2</v>
      </c>
      <c r="G1048" s="1">
        <v>12000000</v>
      </c>
      <c r="H1048" s="2">
        <v>1</v>
      </c>
      <c r="I1048" s="6">
        <v>5.6944444444444438E-3</v>
      </c>
      <c r="J1048" s="2" t="s">
        <v>18</v>
      </c>
      <c r="K1048" s="2" t="s">
        <v>47</v>
      </c>
      <c r="L1048" s="2" t="s">
        <v>20</v>
      </c>
      <c r="M1048" s="2" t="s">
        <v>76</v>
      </c>
      <c r="N1048" s="2" t="s">
        <v>71</v>
      </c>
    </row>
    <row r="1049" spans="1:14" x14ac:dyDescent="0.3">
      <c r="A1049" s="2" t="s">
        <v>14</v>
      </c>
      <c r="B1049" s="3">
        <v>17</v>
      </c>
      <c r="C1049" s="4" t="s">
        <v>44</v>
      </c>
      <c r="D1049" s="2" t="s">
        <v>38</v>
      </c>
      <c r="E1049" s="2" t="s">
        <v>42</v>
      </c>
      <c r="F1049" s="5">
        <v>2</v>
      </c>
      <c r="G1049" s="1">
        <v>12000000</v>
      </c>
      <c r="H1049" s="2">
        <v>4</v>
      </c>
      <c r="I1049" s="6">
        <v>5.6944444444444438E-3</v>
      </c>
      <c r="J1049" s="2" t="s">
        <v>18</v>
      </c>
      <c r="K1049" s="2" t="s">
        <v>64</v>
      </c>
      <c r="L1049" s="2" t="s">
        <v>20</v>
      </c>
      <c r="M1049" s="2" t="s">
        <v>66</v>
      </c>
      <c r="N1049" s="2" t="s">
        <v>36</v>
      </c>
    </row>
    <row r="1050" spans="1:14" x14ac:dyDescent="0.3">
      <c r="A1050" s="2" t="s">
        <v>14</v>
      </c>
      <c r="B1050" s="3">
        <v>15</v>
      </c>
      <c r="C1050" s="4" t="s">
        <v>69</v>
      </c>
      <c r="D1050" s="2" t="s">
        <v>28</v>
      </c>
      <c r="E1050" s="2" t="s">
        <v>68</v>
      </c>
      <c r="F1050" s="5">
        <v>4</v>
      </c>
      <c r="G1050" s="1">
        <v>20000000</v>
      </c>
      <c r="H1050" s="2">
        <v>2</v>
      </c>
      <c r="I1050" s="6">
        <v>5.6944444444444438E-3</v>
      </c>
      <c r="J1050" s="2" t="s">
        <v>61</v>
      </c>
      <c r="K1050" s="2" t="s">
        <v>29</v>
      </c>
      <c r="L1050" s="2" t="s">
        <v>43</v>
      </c>
      <c r="M1050" s="2" t="s">
        <v>76</v>
      </c>
      <c r="N1050" s="2" t="s">
        <v>52</v>
      </c>
    </row>
    <row r="1051" spans="1:14" x14ac:dyDescent="0.3">
      <c r="A1051" s="2" t="s">
        <v>14</v>
      </c>
      <c r="B1051" s="3">
        <v>1</v>
      </c>
      <c r="C1051" s="4" t="s">
        <v>69</v>
      </c>
      <c r="D1051" s="2" t="s">
        <v>38</v>
      </c>
      <c r="E1051" s="2" t="s">
        <v>42</v>
      </c>
      <c r="F1051" s="5">
        <v>3</v>
      </c>
      <c r="G1051" s="1">
        <v>12000000</v>
      </c>
      <c r="H1051" s="2">
        <v>4</v>
      </c>
      <c r="I1051" s="6">
        <v>5.6944444444444438E-3</v>
      </c>
      <c r="J1051" s="2" t="s">
        <v>18</v>
      </c>
      <c r="K1051" s="2" t="s">
        <v>19</v>
      </c>
      <c r="L1051" s="2" t="s">
        <v>43</v>
      </c>
      <c r="M1051" s="2" t="s">
        <v>77</v>
      </c>
      <c r="N1051" s="2" t="s">
        <v>54</v>
      </c>
    </row>
    <row r="1052" spans="1:14" x14ac:dyDescent="0.3">
      <c r="A1052" s="2" t="s">
        <v>14</v>
      </c>
      <c r="B1052" s="3">
        <v>13</v>
      </c>
      <c r="C1052" s="4" t="s">
        <v>55</v>
      </c>
      <c r="D1052" s="2" t="s">
        <v>16</v>
      </c>
      <c r="E1052" s="2" t="s">
        <v>42</v>
      </c>
      <c r="F1052" s="5">
        <v>4</v>
      </c>
      <c r="G1052" s="1">
        <v>15000000</v>
      </c>
      <c r="H1052" s="2">
        <v>5</v>
      </c>
      <c r="I1052" s="6">
        <v>5.6944444444444438E-3</v>
      </c>
      <c r="J1052" s="2" t="s">
        <v>18</v>
      </c>
      <c r="K1052" s="2" t="s">
        <v>35</v>
      </c>
      <c r="L1052" s="2" t="s">
        <v>48</v>
      </c>
      <c r="M1052" s="2" t="s">
        <v>76</v>
      </c>
      <c r="N1052" s="2" t="s">
        <v>52</v>
      </c>
    </row>
    <row r="1053" spans="1:14" x14ac:dyDescent="0.3">
      <c r="A1053" s="2" t="s">
        <v>14</v>
      </c>
      <c r="B1053" s="3">
        <v>11</v>
      </c>
      <c r="C1053" s="4" t="s">
        <v>57</v>
      </c>
      <c r="D1053" s="2" t="s">
        <v>28</v>
      </c>
      <c r="E1053" s="2" t="s">
        <v>17</v>
      </c>
      <c r="F1053" s="5">
        <v>2</v>
      </c>
      <c r="G1053" s="1">
        <v>38000000</v>
      </c>
      <c r="H1053" s="2">
        <v>2</v>
      </c>
      <c r="I1053" s="6">
        <v>5.6944444444444438E-3</v>
      </c>
      <c r="J1053" s="2" t="s">
        <v>46</v>
      </c>
      <c r="K1053" s="2" t="s">
        <v>19</v>
      </c>
      <c r="L1053" s="2" t="s">
        <v>25</v>
      </c>
      <c r="M1053" s="2" t="s">
        <v>78</v>
      </c>
      <c r="N1053" s="2" t="s">
        <v>62</v>
      </c>
    </row>
    <row r="1054" spans="1:14" x14ac:dyDescent="0.3">
      <c r="A1054" s="2" t="s">
        <v>14</v>
      </c>
      <c r="B1054" s="3">
        <v>12</v>
      </c>
      <c r="C1054" s="4" t="s">
        <v>59</v>
      </c>
      <c r="D1054" s="2" t="s">
        <v>16</v>
      </c>
      <c r="E1054" s="2" t="s">
        <v>42</v>
      </c>
      <c r="F1054" s="5">
        <v>1</v>
      </c>
      <c r="G1054" s="1">
        <v>7000000</v>
      </c>
      <c r="H1054" s="2">
        <v>1</v>
      </c>
      <c r="I1054" s="6">
        <v>5.6944444444444438E-3</v>
      </c>
      <c r="J1054" s="2" t="s">
        <v>18</v>
      </c>
      <c r="K1054" s="2" t="s">
        <v>39</v>
      </c>
      <c r="L1054" s="2" t="s">
        <v>20</v>
      </c>
      <c r="M1054" s="2" t="s">
        <v>77</v>
      </c>
      <c r="N1054" s="2" t="s">
        <v>65</v>
      </c>
    </row>
    <row r="1055" spans="1:14" x14ac:dyDescent="0.3">
      <c r="A1055" s="2" t="s">
        <v>14</v>
      </c>
      <c r="B1055" s="3">
        <v>27</v>
      </c>
      <c r="C1055" s="4" t="s">
        <v>22</v>
      </c>
      <c r="D1055" s="2" t="s">
        <v>32</v>
      </c>
      <c r="E1055" s="2" t="s">
        <v>68</v>
      </c>
      <c r="F1055" s="5">
        <v>5</v>
      </c>
      <c r="G1055" s="1">
        <v>25000000</v>
      </c>
      <c r="H1055" s="2">
        <v>4</v>
      </c>
      <c r="I1055" s="6">
        <v>5.6944444444444438E-3</v>
      </c>
      <c r="J1055" s="2" t="s">
        <v>18</v>
      </c>
      <c r="K1055" s="2" t="s">
        <v>56</v>
      </c>
      <c r="L1055" s="2" t="s">
        <v>51</v>
      </c>
      <c r="M1055" s="2" t="s">
        <v>78</v>
      </c>
      <c r="N1055" s="2" t="s">
        <v>63</v>
      </c>
    </row>
    <row r="1056" spans="1:14" x14ac:dyDescent="0.3">
      <c r="A1056" s="2" t="s">
        <v>70</v>
      </c>
      <c r="B1056" s="3">
        <v>12</v>
      </c>
      <c r="C1056" s="4" t="s">
        <v>58</v>
      </c>
      <c r="D1056" s="2" t="s">
        <v>49</v>
      </c>
      <c r="E1056" s="2" t="s">
        <v>23</v>
      </c>
      <c r="F1056" s="5">
        <v>0</v>
      </c>
      <c r="G1056" s="1">
        <v>0</v>
      </c>
      <c r="H1056" s="2">
        <v>3</v>
      </c>
      <c r="I1056" s="6">
        <v>5.6944444444444438E-3</v>
      </c>
      <c r="J1056" s="2"/>
      <c r="K1056" s="2"/>
      <c r="L1056" s="2" t="s">
        <v>51</v>
      </c>
      <c r="M1056" s="2" t="s">
        <v>77</v>
      </c>
      <c r="N1056" s="2" t="s">
        <v>54</v>
      </c>
    </row>
    <row r="1057" spans="1:14" x14ac:dyDescent="0.3">
      <c r="A1057" s="2" t="s">
        <v>70</v>
      </c>
      <c r="B1057" s="3">
        <v>25</v>
      </c>
      <c r="C1057" s="4" t="s">
        <v>44</v>
      </c>
      <c r="D1057" s="2" t="s">
        <v>16</v>
      </c>
      <c r="E1057" s="2" t="s">
        <v>42</v>
      </c>
      <c r="F1057" s="5">
        <v>0</v>
      </c>
      <c r="G1057" s="1">
        <v>0</v>
      </c>
      <c r="H1057" s="2">
        <v>1</v>
      </c>
      <c r="I1057" s="6">
        <v>5.6944444444444438E-3</v>
      </c>
      <c r="J1057" s="2"/>
      <c r="K1057" s="2"/>
      <c r="L1057" s="2" t="s">
        <v>48</v>
      </c>
      <c r="M1057" s="2" t="s">
        <v>66</v>
      </c>
      <c r="N1057" s="2" t="s">
        <v>67</v>
      </c>
    </row>
    <row r="1058" spans="1:14" x14ac:dyDescent="0.3">
      <c r="A1058" s="2" t="s">
        <v>70</v>
      </c>
      <c r="B1058" s="3">
        <v>12</v>
      </c>
      <c r="C1058" s="4" t="s">
        <v>58</v>
      </c>
      <c r="D1058" s="2" t="s">
        <v>49</v>
      </c>
      <c r="E1058" s="2" t="s">
        <v>23</v>
      </c>
      <c r="F1058" s="5">
        <v>0</v>
      </c>
      <c r="G1058" s="1">
        <v>0</v>
      </c>
      <c r="H1058" s="2">
        <v>3</v>
      </c>
      <c r="I1058" s="6">
        <v>5.6944444444444438E-3</v>
      </c>
      <c r="J1058" s="2"/>
      <c r="K1058" s="2"/>
      <c r="L1058" s="2" t="s">
        <v>51</v>
      </c>
      <c r="M1058" s="2" t="s">
        <v>77</v>
      </c>
      <c r="N1058" s="2" t="s">
        <v>54</v>
      </c>
    </row>
    <row r="1059" spans="1:14" x14ac:dyDescent="0.3">
      <c r="A1059" s="2" t="s">
        <v>14</v>
      </c>
      <c r="B1059" s="3">
        <v>12</v>
      </c>
      <c r="C1059" s="4" t="s">
        <v>22</v>
      </c>
      <c r="D1059" s="2" t="s">
        <v>16</v>
      </c>
      <c r="E1059" s="2" t="s">
        <v>42</v>
      </c>
      <c r="F1059" s="5">
        <v>3</v>
      </c>
      <c r="G1059" s="1">
        <v>15000000</v>
      </c>
      <c r="H1059" s="2">
        <v>1</v>
      </c>
      <c r="I1059" s="6">
        <v>5.7870370370370376E-3</v>
      </c>
      <c r="J1059" s="2" t="s">
        <v>18</v>
      </c>
      <c r="K1059" s="2" t="s">
        <v>35</v>
      </c>
      <c r="L1059" s="2" t="s">
        <v>40</v>
      </c>
      <c r="M1059" s="2" t="s">
        <v>76</v>
      </c>
      <c r="N1059" s="2" t="s">
        <v>26</v>
      </c>
    </row>
    <row r="1060" spans="1:14" x14ac:dyDescent="0.3">
      <c r="A1060" s="2" t="s">
        <v>14</v>
      </c>
      <c r="B1060" s="3">
        <v>30</v>
      </c>
      <c r="C1060" s="4" t="s">
        <v>27</v>
      </c>
      <c r="D1060" s="2" t="s">
        <v>28</v>
      </c>
      <c r="E1060" s="2" t="s">
        <v>42</v>
      </c>
      <c r="F1060" s="5">
        <v>2</v>
      </c>
      <c r="G1060" s="1">
        <v>12000000</v>
      </c>
      <c r="H1060" s="2">
        <v>2</v>
      </c>
      <c r="I1060" s="6">
        <v>5.7870370370370376E-3</v>
      </c>
      <c r="J1060" s="2" t="s">
        <v>18</v>
      </c>
      <c r="K1060" s="2" t="s">
        <v>64</v>
      </c>
      <c r="L1060" s="2" t="s">
        <v>30</v>
      </c>
      <c r="M1060" s="2" t="s">
        <v>77</v>
      </c>
      <c r="N1060" s="2" t="s">
        <v>54</v>
      </c>
    </row>
    <row r="1061" spans="1:14" x14ac:dyDescent="0.3">
      <c r="A1061" s="2" t="s">
        <v>14</v>
      </c>
      <c r="B1061" s="3">
        <v>6</v>
      </c>
      <c r="C1061" s="4" t="s">
        <v>27</v>
      </c>
      <c r="D1061" s="2" t="s">
        <v>32</v>
      </c>
      <c r="E1061" s="2" t="s">
        <v>42</v>
      </c>
      <c r="F1061" s="5">
        <v>5</v>
      </c>
      <c r="G1061" s="1">
        <v>20000000</v>
      </c>
      <c r="H1061" s="2">
        <v>2</v>
      </c>
      <c r="I1061" s="6">
        <v>5.7870370370370376E-3</v>
      </c>
      <c r="J1061" s="2" t="s">
        <v>18</v>
      </c>
      <c r="K1061" s="2" t="s">
        <v>39</v>
      </c>
      <c r="L1061" s="2" t="s">
        <v>43</v>
      </c>
      <c r="M1061" s="2" t="s">
        <v>78</v>
      </c>
      <c r="N1061" s="2" t="s">
        <v>53</v>
      </c>
    </row>
    <row r="1062" spans="1:14" x14ac:dyDescent="0.3">
      <c r="A1062" s="2" t="s">
        <v>14</v>
      </c>
      <c r="B1062" s="3">
        <v>21</v>
      </c>
      <c r="C1062" s="4" t="s">
        <v>37</v>
      </c>
      <c r="D1062" s="2" t="s">
        <v>28</v>
      </c>
      <c r="E1062" s="2" t="s">
        <v>23</v>
      </c>
      <c r="F1062" s="5">
        <v>1</v>
      </c>
      <c r="G1062" s="1">
        <v>7000000</v>
      </c>
      <c r="H1062" s="2">
        <v>2</v>
      </c>
      <c r="I1062" s="6">
        <v>5.7870370370370376E-3</v>
      </c>
      <c r="J1062" s="2" t="s">
        <v>18</v>
      </c>
      <c r="K1062" s="2" t="s">
        <v>19</v>
      </c>
      <c r="L1062" s="2" t="s">
        <v>30</v>
      </c>
      <c r="M1062" s="2" t="s">
        <v>76</v>
      </c>
      <c r="N1062" s="2" t="s">
        <v>75</v>
      </c>
    </row>
    <row r="1063" spans="1:14" x14ac:dyDescent="0.3">
      <c r="A1063" s="2" t="s">
        <v>14</v>
      </c>
      <c r="B1063" s="3">
        <v>22</v>
      </c>
      <c r="C1063" s="4" t="s">
        <v>37</v>
      </c>
      <c r="D1063" s="2" t="s">
        <v>49</v>
      </c>
      <c r="E1063" s="2" t="s">
        <v>23</v>
      </c>
      <c r="F1063" s="5">
        <v>3</v>
      </c>
      <c r="G1063" s="1">
        <v>15000000</v>
      </c>
      <c r="H1063" s="2">
        <v>5</v>
      </c>
      <c r="I1063" s="6">
        <v>5.7870370370370376E-3</v>
      </c>
      <c r="J1063" s="2" t="s">
        <v>18</v>
      </c>
      <c r="K1063" s="2" t="s">
        <v>39</v>
      </c>
      <c r="L1063" s="2" t="s">
        <v>48</v>
      </c>
      <c r="M1063" s="2" t="s">
        <v>78</v>
      </c>
      <c r="N1063" s="2" t="s">
        <v>66</v>
      </c>
    </row>
    <row r="1064" spans="1:14" x14ac:dyDescent="0.3">
      <c r="A1064" s="2" t="s">
        <v>14</v>
      </c>
      <c r="B1064" s="3">
        <v>12</v>
      </c>
      <c r="C1064" s="4" t="s">
        <v>37</v>
      </c>
      <c r="D1064" s="2" t="s">
        <v>28</v>
      </c>
      <c r="E1064" s="2" t="s">
        <v>42</v>
      </c>
      <c r="F1064" s="5">
        <v>4</v>
      </c>
      <c r="G1064" s="1">
        <v>15000000</v>
      </c>
      <c r="H1064" s="2">
        <v>4</v>
      </c>
      <c r="I1064" s="6">
        <v>5.7870370370370376E-3</v>
      </c>
      <c r="J1064" s="2" t="s">
        <v>18</v>
      </c>
      <c r="K1064" s="2" t="s">
        <v>56</v>
      </c>
      <c r="L1064" s="2" t="s">
        <v>33</v>
      </c>
      <c r="M1064" s="2" t="s">
        <v>76</v>
      </c>
      <c r="N1064" s="2" t="s">
        <v>52</v>
      </c>
    </row>
    <row r="1065" spans="1:14" x14ac:dyDescent="0.3">
      <c r="A1065" s="2" t="s">
        <v>14</v>
      </c>
      <c r="B1065" s="3">
        <v>23</v>
      </c>
      <c r="C1065" s="4" t="s">
        <v>44</v>
      </c>
      <c r="D1065" s="2" t="s">
        <v>28</v>
      </c>
      <c r="E1065" s="2" t="s">
        <v>23</v>
      </c>
      <c r="F1065" s="5">
        <v>2</v>
      </c>
      <c r="G1065" s="1">
        <v>12000000</v>
      </c>
      <c r="H1065" s="2">
        <v>1</v>
      </c>
      <c r="I1065" s="6">
        <v>5.7870370370370376E-3</v>
      </c>
      <c r="J1065" s="2" t="s">
        <v>18</v>
      </c>
      <c r="K1065" s="2" t="s">
        <v>35</v>
      </c>
      <c r="L1065" s="2" t="s">
        <v>25</v>
      </c>
      <c r="M1065" s="2" t="s">
        <v>78</v>
      </c>
      <c r="N1065" s="2" t="s">
        <v>41</v>
      </c>
    </row>
    <row r="1066" spans="1:14" x14ac:dyDescent="0.3">
      <c r="A1066" s="2" t="s">
        <v>14</v>
      </c>
      <c r="B1066" s="3">
        <v>29</v>
      </c>
      <c r="C1066" s="4" t="s">
        <v>44</v>
      </c>
      <c r="D1066" s="2" t="s">
        <v>38</v>
      </c>
      <c r="E1066" s="2" t="s">
        <v>17</v>
      </c>
      <c r="F1066" s="5">
        <v>2</v>
      </c>
      <c r="G1066" s="1">
        <v>12000000</v>
      </c>
      <c r="H1066" s="2">
        <v>2</v>
      </c>
      <c r="I1066" s="6">
        <v>5.7870370370370376E-3</v>
      </c>
      <c r="J1066" s="2" t="s">
        <v>18</v>
      </c>
      <c r="K1066" s="2" t="s">
        <v>39</v>
      </c>
      <c r="L1066" s="2" t="s">
        <v>48</v>
      </c>
      <c r="M1066" s="2" t="s">
        <v>78</v>
      </c>
      <c r="N1066" s="2" t="s">
        <v>53</v>
      </c>
    </row>
    <row r="1067" spans="1:14" x14ac:dyDescent="0.3">
      <c r="A1067" s="2" t="s">
        <v>14</v>
      </c>
      <c r="B1067" s="3">
        <v>21</v>
      </c>
      <c r="C1067" s="4" t="s">
        <v>69</v>
      </c>
      <c r="D1067" s="2" t="s">
        <v>16</v>
      </c>
      <c r="E1067" s="2" t="s">
        <v>42</v>
      </c>
      <c r="F1067" s="5">
        <v>1</v>
      </c>
      <c r="G1067" s="1">
        <v>19000000</v>
      </c>
      <c r="H1067" s="2">
        <v>2</v>
      </c>
      <c r="I1067" s="6">
        <v>5.7870370370370376E-3</v>
      </c>
      <c r="J1067" s="2" t="s">
        <v>46</v>
      </c>
      <c r="K1067" s="2" t="s">
        <v>56</v>
      </c>
      <c r="L1067" s="2" t="s">
        <v>30</v>
      </c>
      <c r="M1067" s="2" t="s">
        <v>78</v>
      </c>
      <c r="N1067" s="2" t="s">
        <v>66</v>
      </c>
    </row>
    <row r="1068" spans="1:14" x14ac:dyDescent="0.3">
      <c r="A1068" s="2" t="s">
        <v>14</v>
      </c>
      <c r="B1068" s="3">
        <v>24</v>
      </c>
      <c r="C1068" s="4" t="s">
        <v>69</v>
      </c>
      <c r="D1068" s="2" t="s">
        <v>16</v>
      </c>
      <c r="E1068" s="2" t="s">
        <v>23</v>
      </c>
      <c r="F1068" s="5">
        <v>3</v>
      </c>
      <c r="G1068" s="1">
        <v>15000000</v>
      </c>
      <c r="H1068" s="2">
        <v>1</v>
      </c>
      <c r="I1068" s="6">
        <v>5.7870370370370376E-3</v>
      </c>
      <c r="J1068" s="2" t="s">
        <v>18</v>
      </c>
      <c r="K1068" s="2" t="s">
        <v>24</v>
      </c>
      <c r="L1068" s="2" t="s">
        <v>33</v>
      </c>
      <c r="M1068" s="2" t="s">
        <v>76</v>
      </c>
      <c r="N1068" s="2" t="s">
        <v>26</v>
      </c>
    </row>
    <row r="1069" spans="1:14" x14ac:dyDescent="0.3">
      <c r="A1069" s="2" t="s">
        <v>70</v>
      </c>
      <c r="B1069" s="3">
        <v>20</v>
      </c>
      <c r="C1069" s="4" t="s">
        <v>27</v>
      </c>
      <c r="D1069" s="2" t="s">
        <v>16</v>
      </c>
      <c r="E1069" s="2" t="s">
        <v>42</v>
      </c>
      <c r="F1069" s="5">
        <v>0</v>
      </c>
      <c r="G1069" s="1">
        <v>0</v>
      </c>
      <c r="H1069" s="2">
        <v>1</v>
      </c>
      <c r="I1069" s="6">
        <v>5.7870370370370376E-3</v>
      </c>
      <c r="J1069" s="2"/>
      <c r="K1069" s="2"/>
      <c r="L1069" s="2" t="s">
        <v>48</v>
      </c>
      <c r="M1069" s="2" t="s">
        <v>76</v>
      </c>
      <c r="N1069" s="2" t="s">
        <v>52</v>
      </c>
    </row>
    <row r="1070" spans="1:14" x14ac:dyDescent="0.3">
      <c r="A1070" s="2" t="s">
        <v>70</v>
      </c>
      <c r="B1070" s="3">
        <v>8</v>
      </c>
      <c r="C1070" s="4" t="s">
        <v>37</v>
      </c>
      <c r="D1070" s="2" t="s">
        <v>38</v>
      </c>
      <c r="E1070" s="2" t="s">
        <v>42</v>
      </c>
      <c r="F1070" s="5">
        <v>0</v>
      </c>
      <c r="G1070" s="1">
        <v>0</v>
      </c>
      <c r="H1070" s="2">
        <v>5</v>
      </c>
      <c r="I1070" s="6">
        <v>5.7870370370370376E-3</v>
      </c>
      <c r="J1070" s="2"/>
      <c r="K1070" s="2"/>
      <c r="L1070" s="2" t="s">
        <v>20</v>
      </c>
      <c r="M1070" s="2" t="s">
        <v>77</v>
      </c>
      <c r="N1070" s="2" t="s">
        <v>54</v>
      </c>
    </row>
    <row r="1071" spans="1:14" x14ac:dyDescent="0.3">
      <c r="A1071" s="2" t="s">
        <v>70</v>
      </c>
      <c r="B1071" s="3">
        <v>31</v>
      </c>
      <c r="C1071" s="4" t="s">
        <v>69</v>
      </c>
      <c r="D1071" s="2" t="s">
        <v>16</v>
      </c>
      <c r="E1071" s="2" t="s">
        <v>42</v>
      </c>
      <c r="F1071" s="5">
        <v>0</v>
      </c>
      <c r="G1071" s="1">
        <v>0</v>
      </c>
      <c r="H1071" s="2">
        <v>1</v>
      </c>
      <c r="I1071" s="6">
        <v>5.7870370370370376E-3</v>
      </c>
      <c r="J1071" s="2"/>
      <c r="K1071" s="2"/>
      <c r="L1071" s="2" t="s">
        <v>51</v>
      </c>
      <c r="M1071" s="2" t="s">
        <v>66</v>
      </c>
      <c r="N1071" s="2" t="s">
        <v>36</v>
      </c>
    </row>
    <row r="1072" spans="1:14" x14ac:dyDescent="0.3">
      <c r="A1072" s="2" t="s">
        <v>14</v>
      </c>
      <c r="B1072" s="3">
        <v>30</v>
      </c>
      <c r="C1072" s="4" t="s">
        <v>22</v>
      </c>
      <c r="D1072" s="2" t="s">
        <v>28</v>
      </c>
      <c r="E1072" s="2" t="s">
        <v>17</v>
      </c>
      <c r="F1072" s="5">
        <v>2</v>
      </c>
      <c r="G1072" s="1">
        <v>38000000</v>
      </c>
      <c r="H1072" s="2">
        <v>2</v>
      </c>
      <c r="I1072" s="6">
        <v>6.0185185185185177E-3</v>
      </c>
      <c r="J1072" s="2" t="s">
        <v>46</v>
      </c>
      <c r="K1072" s="2" t="s">
        <v>56</v>
      </c>
      <c r="L1072" s="2" t="s">
        <v>20</v>
      </c>
      <c r="M1072" s="2" t="s">
        <v>76</v>
      </c>
      <c r="N1072" s="2" t="s">
        <v>31</v>
      </c>
    </row>
    <row r="1073" spans="1:14" x14ac:dyDescent="0.3">
      <c r="A1073" s="2" t="s">
        <v>14</v>
      </c>
      <c r="B1073" s="3">
        <v>28</v>
      </c>
      <c r="C1073" s="4" t="s">
        <v>27</v>
      </c>
      <c r="D1073" s="2" t="s">
        <v>16</v>
      </c>
      <c r="E1073" s="2" t="s">
        <v>42</v>
      </c>
      <c r="F1073" s="5">
        <v>2</v>
      </c>
      <c r="G1073" s="1">
        <v>12000000</v>
      </c>
      <c r="H1073" s="2">
        <v>2</v>
      </c>
      <c r="I1073" s="6">
        <v>6.0185185185185177E-3</v>
      </c>
      <c r="J1073" s="2" t="s">
        <v>18</v>
      </c>
      <c r="K1073" s="2" t="s">
        <v>29</v>
      </c>
      <c r="L1073" s="2" t="s">
        <v>30</v>
      </c>
      <c r="M1073" s="2" t="s">
        <v>66</v>
      </c>
      <c r="N1073" s="2" t="s">
        <v>67</v>
      </c>
    </row>
    <row r="1074" spans="1:14" x14ac:dyDescent="0.3">
      <c r="A1074" s="2" t="s">
        <v>14</v>
      </c>
      <c r="B1074" s="3">
        <v>28</v>
      </c>
      <c r="C1074" s="4" t="s">
        <v>27</v>
      </c>
      <c r="D1074" s="2" t="s">
        <v>38</v>
      </c>
      <c r="E1074" s="2" t="s">
        <v>23</v>
      </c>
      <c r="F1074" s="5">
        <v>3</v>
      </c>
      <c r="G1074" s="1">
        <v>15000000</v>
      </c>
      <c r="H1074" s="2">
        <v>2</v>
      </c>
      <c r="I1074" s="6">
        <v>6.0185185185185177E-3</v>
      </c>
      <c r="J1074" s="2" t="s">
        <v>18</v>
      </c>
      <c r="K1074" s="2" t="s">
        <v>19</v>
      </c>
      <c r="L1074" s="2" t="s">
        <v>30</v>
      </c>
      <c r="M1074" s="2" t="s">
        <v>66</v>
      </c>
      <c r="N1074" s="2" t="s">
        <v>67</v>
      </c>
    </row>
    <row r="1075" spans="1:14" x14ac:dyDescent="0.3">
      <c r="A1075" s="2" t="s">
        <v>14</v>
      </c>
      <c r="B1075" s="3">
        <v>30</v>
      </c>
      <c r="C1075" s="4" t="s">
        <v>27</v>
      </c>
      <c r="D1075" s="2" t="s">
        <v>73</v>
      </c>
      <c r="E1075" s="2" t="s">
        <v>23</v>
      </c>
      <c r="F1075" s="5">
        <v>3</v>
      </c>
      <c r="G1075" s="1">
        <v>15000000</v>
      </c>
      <c r="H1075" s="2">
        <v>4</v>
      </c>
      <c r="I1075" s="6">
        <v>6.0185185185185177E-3</v>
      </c>
      <c r="J1075" s="2" t="s">
        <v>18</v>
      </c>
      <c r="K1075" s="2" t="s">
        <v>56</v>
      </c>
      <c r="L1075" s="2" t="s">
        <v>33</v>
      </c>
      <c r="M1075" s="2" t="s">
        <v>76</v>
      </c>
      <c r="N1075" s="2" t="s">
        <v>26</v>
      </c>
    </row>
    <row r="1076" spans="1:14" x14ac:dyDescent="0.3">
      <c r="A1076" s="2" t="s">
        <v>14</v>
      </c>
      <c r="B1076" s="3">
        <v>30</v>
      </c>
      <c r="C1076" s="4" t="s">
        <v>27</v>
      </c>
      <c r="D1076" s="2" t="s">
        <v>32</v>
      </c>
      <c r="E1076" s="2" t="s">
        <v>17</v>
      </c>
      <c r="F1076" s="5">
        <v>2</v>
      </c>
      <c r="G1076" s="1">
        <v>12000000</v>
      </c>
      <c r="H1076" s="2">
        <v>2</v>
      </c>
      <c r="I1076" s="6">
        <v>6.0185185185185177E-3</v>
      </c>
      <c r="J1076" s="2" t="s">
        <v>18</v>
      </c>
      <c r="K1076" s="2" t="s">
        <v>56</v>
      </c>
      <c r="L1076" s="2" t="s">
        <v>43</v>
      </c>
      <c r="M1076" s="2" t="s">
        <v>76</v>
      </c>
      <c r="N1076" s="2" t="s">
        <v>26</v>
      </c>
    </row>
    <row r="1077" spans="1:14" x14ac:dyDescent="0.3">
      <c r="A1077" s="2" t="s">
        <v>14</v>
      </c>
      <c r="B1077" s="3">
        <v>6</v>
      </c>
      <c r="C1077" s="4" t="s">
        <v>27</v>
      </c>
      <c r="D1077" s="2" t="s">
        <v>73</v>
      </c>
      <c r="E1077" s="2" t="s">
        <v>23</v>
      </c>
      <c r="F1077" s="5">
        <v>3</v>
      </c>
      <c r="G1077" s="1">
        <v>15000000</v>
      </c>
      <c r="H1077" s="2">
        <v>4</v>
      </c>
      <c r="I1077" s="6">
        <v>6.0185185185185177E-3</v>
      </c>
      <c r="J1077" s="2" t="s">
        <v>18</v>
      </c>
      <c r="K1077" s="2" t="s">
        <v>39</v>
      </c>
      <c r="L1077" s="2" t="s">
        <v>48</v>
      </c>
      <c r="M1077" s="2" t="s">
        <v>76</v>
      </c>
      <c r="N1077" s="2" t="s">
        <v>26</v>
      </c>
    </row>
    <row r="1078" spans="1:14" x14ac:dyDescent="0.3">
      <c r="A1078" s="2" t="s">
        <v>14</v>
      </c>
      <c r="B1078" s="3">
        <v>27</v>
      </c>
      <c r="C1078" s="4" t="s">
        <v>37</v>
      </c>
      <c r="D1078" s="2" t="s">
        <v>16</v>
      </c>
      <c r="E1078" s="2" t="s">
        <v>23</v>
      </c>
      <c r="F1078" s="5">
        <v>4</v>
      </c>
      <c r="G1078" s="1">
        <v>20000000</v>
      </c>
      <c r="H1078" s="2">
        <v>5</v>
      </c>
      <c r="I1078" s="6">
        <v>6.0185185185185177E-3</v>
      </c>
      <c r="J1078" s="2" t="s">
        <v>61</v>
      </c>
      <c r="K1078" s="2" t="s">
        <v>56</v>
      </c>
      <c r="L1078" s="2" t="s">
        <v>51</v>
      </c>
      <c r="M1078" s="2" t="s">
        <v>76</v>
      </c>
      <c r="N1078" s="2" t="s">
        <v>52</v>
      </c>
    </row>
    <row r="1079" spans="1:14" x14ac:dyDescent="0.3">
      <c r="A1079" s="2" t="s">
        <v>14</v>
      </c>
      <c r="B1079" s="3">
        <v>11</v>
      </c>
      <c r="C1079" s="4" t="s">
        <v>37</v>
      </c>
      <c r="D1079" s="2" t="s">
        <v>49</v>
      </c>
      <c r="E1079" s="2" t="s">
        <v>17</v>
      </c>
      <c r="F1079" s="5">
        <v>1</v>
      </c>
      <c r="G1079" s="1">
        <v>7000000</v>
      </c>
      <c r="H1079" s="2">
        <v>1</v>
      </c>
      <c r="I1079" s="6">
        <v>6.0185185185185177E-3</v>
      </c>
      <c r="J1079" s="2" t="s">
        <v>18</v>
      </c>
      <c r="K1079" s="2" t="s">
        <v>19</v>
      </c>
      <c r="L1079" s="2" t="s">
        <v>30</v>
      </c>
      <c r="M1079" s="2" t="s">
        <v>77</v>
      </c>
      <c r="N1079" s="2" t="s">
        <v>54</v>
      </c>
    </row>
    <row r="1080" spans="1:14" x14ac:dyDescent="0.3">
      <c r="A1080" s="2" t="s">
        <v>14</v>
      </c>
      <c r="B1080" s="3">
        <v>29</v>
      </c>
      <c r="C1080" s="4" t="s">
        <v>37</v>
      </c>
      <c r="D1080" s="2" t="s">
        <v>38</v>
      </c>
      <c r="E1080" s="2" t="s">
        <v>42</v>
      </c>
      <c r="F1080" s="5">
        <v>2</v>
      </c>
      <c r="G1080" s="1">
        <v>12000000</v>
      </c>
      <c r="H1080" s="2">
        <v>2</v>
      </c>
      <c r="I1080" s="6">
        <v>6.0185185185185177E-3</v>
      </c>
      <c r="J1080" s="2" t="s">
        <v>18</v>
      </c>
      <c r="K1080" s="2" t="s">
        <v>35</v>
      </c>
      <c r="L1080" s="2" t="s">
        <v>30</v>
      </c>
      <c r="M1080" s="2" t="s">
        <v>78</v>
      </c>
      <c r="N1080" s="2" t="s">
        <v>41</v>
      </c>
    </row>
    <row r="1081" spans="1:14" x14ac:dyDescent="0.3">
      <c r="A1081" s="2" t="s">
        <v>14</v>
      </c>
      <c r="B1081" s="3">
        <v>7</v>
      </c>
      <c r="C1081" s="4" t="s">
        <v>37</v>
      </c>
      <c r="D1081" s="2" t="s">
        <v>38</v>
      </c>
      <c r="E1081" s="2" t="s">
        <v>17</v>
      </c>
      <c r="F1081" s="5">
        <v>2</v>
      </c>
      <c r="G1081" s="1">
        <v>12000000</v>
      </c>
      <c r="H1081" s="2">
        <v>7</v>
      </c>
      <c r="I1081" s="6">
        <v>6.0185185185185177E-3</v>
      </c>
      <c r="J1081" s="2" t="s">
        <v>18</v>
      </c>
      <c r="K1081" s="2" t="s">
        <v>19</v>
      </c>
      <c r="L1081" s="2" t="s">
        <v>20</v>
      </c>
      <c r="M1081" s="2" t="s">
        <v>77</v>
      </c>
      <c r="N1081" s="2" t="s">
        <v>65</v>
      </c>
    </row>
    <row r="1082" spans="1:14" x14ac:dyDescent="0.3">
      <c r="A1082" s="2" t="s">
        <v>14</v>
      </c>
      <c r="B1082" s="3">
        <v>8</v>
      </c>
      <c r="C1082" s="4" t="s">
        <v>37</v>
      </c>
      <c r="D1082" s="2" t="s">
        <v>16</v>
      </c>
      <c r="E1082" s="2" t="s">
        <v>42</v>
      </c>
      <c r="F1082" s="5">
        <v>3</v>
      </c>
      <c r="G1082" s="1">
        <v>15000000</v>
      </c>
      <c r="H1082" s="2">
        <v>2</v>
      </c>
      <c r="I1082" s="6">
        <v>6.0185185185185177E-3</v>
      </c>
      <c r="J1082" s="2" t="s">
        <v>18</v>
      </c>
      <c r="K1082" s="2" t="s">
        <v>24</v>
      </c>
      <c r="L1082" s="2" t="s">
        <v>43</v>
      </c>
      <c r="M1082" s="2" t="s">
        <v>76</v>
      </c>
      <c r="N1082" s="2" t="s">
        <v>71</v>
      </c>
    </row>
    <row r="1083" spans="1:14" x14ac:dyDescent="0.3">
      <c r="A1083" s="2" t="s">
        <v>14</v>
      </c>
      <c r="B1083" s="3">
        <v>11</v>
      </c>
      <c r="C1083" s="4" t="s">
        <v>37</v>
      </c>
      <c r="D1083" s="2" t="s">
        <v>28</v>
      </c>
      <c r="E1083" s="2" t="s">
        <v>68</v>
      </c>
      <c r="F1083" s="5">
        <v>4</v>
      </c>
      <c r="G1083" s="1">
        <v>20000000</v>
      </c>
      <c r="H1083" s="2">
        <v>5</v>
      </c>
      <c r="I1083" s="6">
        <v>6.0185185185185177E-3</v>
      </c>
      <c r="J1083" s="2" t="s">
        <v>18</v>
      </c>
      <c r="K1083" s="2" t="s">
        <v>39</v>
      </c>
      <c r="L1083" s="2" t="s">
        <v>51</v>
      </c>
      <c r="M1083" s="2" t="s">
        <v>77</v>
      </c>
      <c r="N1083" s="2" t="s">
        <v>54</v>
      </c>
    </row>
    <row r="1084" spans="1:14" x14ac:dyDescent="0.3">
      <c r="A1084" s="2" t="s">
        <v>14</v>
      </c>
      <c r="B1084" s="3">
        <v>22</v>
      </c>
      <c r="C1084" s="4" t="s">
        <v>44</v>
      </c>
      <c r="D1084" s="2" t="s">
        <v>28</v>
      </c>
      <c r="E1084" s="2" t="s">
        <v>17</v>
      </c>
      <c r="F1084" s="5">
        <v>1</v>
      </c>
      <c r="G1084" s="1">
        <v>19000000</v>
      </c>
      <c r="H1084" s="2">
        <v>1</v>
      </c>
      <c r="I1084" s="6">
        <v>6.0185185185185177E-3</v>
      </c>
      <c r="J1084" s="2" t="s">
        <v>46</v>
      </c>
      <c r="K1084" s="2" t="s">
        <v>29</v>
      </c>
      <c r="L1084" s="2" t="s">
        <v>40</v>
      </c>
      <c r="M1084" s="2" t="s">
        <v>76</v>
      </c>
      <c r="N1084" s="2" t="s">
        <v>26</v>
      </c>
    </row>
    <row r="1085" spans="1:14" x14ac:dyDescent="0.3">
      <c r="A1085" s="2" t="s">
        <v>14</v>
      </c>
      <c r="B1085" s="3">
        <v>6</v>
      </c>
      <c r="C1085" s="4" t="s">
        <v>44</v>
      </c>
      <c r="D1085" s="2" t="s">
        <v>16</v>
      </c>
      <c r="E1085" s="2" t="s">
        <v>42</v>
      </c>
      <c r="F1085" s="5">
        <v>4</v>
      </c>
      <c r="G1085" s="1">
        <v>20000000</v>
      </c>
      <c r="H1085" s="2">
        <v>1</v>
      </c>
      <c r="I1085" s="6">
        <v>6.0185185185185177E-3</v>
      </c>
      <c r="J1085" s="2" t="s">
        <v>61</v>
      </c>
      <c r="K1085" s="2" t="s">
        <v>64</v>
      </c>
      <c r="L1085" s="2" t="s">
        <v>30</v>
      </c>
      <c r="M1085" s="2" t="s">
        <v>78</v>
      </c>
      <c r="N1085" s="2" t="s">
        <v>66</v>
      </c>
    </row>
    <row r="1086" spans="1:14" x14ac:dyDescent="0.3">
      <c r="A1086" s="2" t="s">
        <v>14</v>
      </c>
      <c r="B1086" s="3">
        <v>1</v>
      </c>
      <c r="C1086" s="4" t="s">
        <v>44</v>
      </c>
      <c r="D1086" s="2" t="s">
        <v>32</v>
      </c>
      <c r="E1086" s="2" t="s">
        <v>17</v>
      </c>
      <c r="F1086" s="5">
        <v>2</v>
      </c>
      <c r="G1086" s="1">
        <v>12000000</v>
      </c>
      <c r="H1086" s="2">
        <v>1</v>
      </c>
      <c r="I1086" s="6">
        <v>6.0185185185185177E-3</v>
      </c>
      <c r="J1086" s="2" t="s">
        <v>18</v>
      </c>
      <c r="K1086" s="2" t="s">
        <v>29</v>
      </c>
      <c r="L1086" s="2" t="s">
        <v>30</v>
      </c>
      <c r="M1086" s="2" t="s">
        <v>78</v>
      </c>
      <c r="N1086" s="2" t="s">
        <v>53</v>
      </c>
    </row>
    <row r="1087" spans="1:14" x14ac:dyDescent="0.3">
      <c r="A1087" s="2" t="s">
        <v>14</v>
      </c>
      <c r="B1087" s="3">
        <v>14</v>
      </c>
      <c r="C1087" s="4" t="s">
        <v>44</v>
      </c>
      <c r="D1087" s="2" t="s">
        <v>38</v>
      </c>
      <c r="E1087" s="2" t="s">
        <v>42</v>
      </c>
      <c r="F1087" s="5">
        <v>5</v>
      </c>
      <c r="G1087" s="1">
        <v>25000000</v>
      </c>
      <c r="H1087" s="2">
        <v>1</v>
      </c>
      <c r="I1087" s="6">
        <v>6.0185185185185177E-3</v>
      </c>
      <c r="J1087" s="2" t="s">
        <v>18</v>
      </c>
      <c r="K1087" s="2" t="s">
        <v>50</v>
      </c>
      <c r="L1087" s="2" t="s">
        <v>30</v>
      </c>
      <c r="M1087" s="2" t="s">
        <v>76</v>
      </c>
      <c r="N1087" s="2" t="s">
        <v>31</v>
      </c>
    </row>
    <row r="1088" spans="1:14" x14ac:dyDescent="0.3">
      <c r="A1088" s="2" t="s">
        <v>14</v>
      </c>
      <c r="B1088" s="3">
        <v>10</v>
      </c>
      <c r="C1088" s="4" t="s">
        <v>44</v>
      </c>
      <c r="D1088" s="2" t="s">
        <v>16</v>
      </c>
      <c r="E1088" s="2" t="s">
        <v>23</v>
      </c>
      <c r="F1088" s="5">
        <v>1</v>
      </c>
      <c r="G1088" s="1">
        <v>7000000</v>
      </c>
      <c r="H1088" s="2">
        <v>2</v>
      </c>
      <c r="I1088" s="6">
        <v>6.0185185185185177E-3</v>
      </c>
      <c r="J1088" s="2" t="s">
        <v>18</v>
      </c>
      <c r="K1088" s="2" t="s">
        <v>64</v>
      </c>
      <c r="L1088" s="2" t="s">
        <v>48</v>
      </c>
      <c r="M1088" s="2" t="s">
        <v>78</v>
      </c>
      <c r="N1088" s="2" t="s">
        <v>66</v>
      </c>
    </row>
    <row r="1089" spans="1:14" x14ac:dyDescent="0.3">
      <c r="A1089" s="2" t="s">
        <v>14</v>
      </c>
      <c r="B1089" s="3">
        <v>13</v>
      </c>
      <c r="C1089" s="4" t="s">
        <v>69</v>
      </c>
      <c r="D1089" s="2" t="s">
        <v>32</v>
      </c>
      <c r="E1089" s="2" t="s">
        <v>42</v>
      </c>
      <c r="F1089" s="5">
        <v>1</v>
      </c>
      <c r="G1089" s="1">
        <v>19000000</v>
      </c>
      <c r="H1089" s="2">
        <v>2</v>
      </c>
      <c r="I1089" s="6">
        <v>6.0185185185185177E-3</v>
      </c>
      <c r="J1089" s="2" t="s">
        <v>46</v>
      </c>
      <c r="K1089" s="2" t="s">
        <v>19</v>
      </c>
      <c r="L1089" s="2" t="s">
        <v>51</v>
      </c>
      <c r="M1089" s="2" t="s">
        <v>78</v>
      </c>
      <c r="N1089" s="2" t="s">
        <v>41</v>
      </c>
    </row>
    <row r="1090" spans="1:14" x14ac:dyDescent="0.3">
      <c r="A1090" s="2" t="s">
        <v>14</v>
      </c>
      <c r="B1090" s="3">
        <v>16</v>
      </c>
      <c r="C1090" s="4" t="s">
        <v>69</v>
      </c>
      <c r="D1090" s="2" t="s">
        <v>16</v>
      </c>
      <c r="E1090" s="2" t="s">
        <v>17</v>
      </c>
      <c r="F1090" s="5">
        <v>5</v>
      </c>
      <c r="G1090" s="1">
        <v>20000000</v>
      </c>
      <c r="H1090" s="2">
        <v>4</v>
      </c>
      <c r="I1090" s="6">
        <v>6.0185185185185177E-3</v>
      </c>
      <c r="J1090" s="2" t="s">
        <v>18</v>
      </c>
      <c r="K1090" s="2" t="s">
        <v>56</v>
      </c>
      <c r="L1090" s="2" t="s">
        <v>33</v>
      </c>
      <c r="M1090" s="2" t="s">
        <v>76</v>
      </c>
      <c r="N1090" s="2" t="s">
        <v>52</v>
      </c>
    </row>
    <row r="1091" spans="1:14" x14ac:dyDescent="0.3">
      <c r="A1091" s="2" t="s">
        <v>14</v>
      </c>
      <c r="B1091" s="3">
        <v>17</v>
      </c>
      <c r="C1091" s="4" t="s">
        <v>69</v>
      </c>
      <c r="D1091" s="2" t="s">
        <v>32</v>
      </c>
      <c r="E1091" s="2" t="s">
        <v>42</v>
      </c>
      <c r="F1091" s="5">
        <v>5</v>
      </c>
      <c r="G1091" s="1">
        <v>21000000</v>
      </c>
      <c r="H1091" s="2">
        <v>6</v>
      </c>
      <c r="I1091" s="6">
        <v>6.0185185185185177E-3</v>
      </c>
      <c r="J1091" s="2" t="s">
        <v>18</v>
      </c>
      <c r="K1091" s="2" t="s">
        <v>29</v>
      </c>
      <c r="L1091" s="2" t="s">
        <v>33</v>
      </c>
      <c r="M1091" s="2" t="s">
        <v>66</v>
      </c>
      <c r="N1091" s="2" t="s">
        <v>36</v>
      </c>
    </row>
    <row r="1092" spans="1:14" x14ac:dyDescent="0.3">
      <c r="A1092" s="2" t="s">
        <v>14</v>
      </c>
      <c r="B1092" s="3">
        <v>30</v>
      </c>
      <c r="C1092" s="4" t="s">
        <v>22</v>
      </c>
      <c r="D1092" s="2" t="s">
        <v>28</v>
      </c>
      <c r="E1092" s="2" t="s">
        <v>17</v>
      </c>
      <c r="F1092" s="5">
        <v>2</v>
      </c>
      <c r="G1092" s="1">
        <v>38000000</v>
      </c>
      <c r="H1092" s="2">
        <v>2</v>
      </c>
      <c r="I1092" s="6">
        <v>6.0185185185185177E-3</v>
      </c>
      <c r="J1092" s="2" t="s">
        <v>46</v>
      </c>
      <c r="K1092" s="2" t="s">
        <v>56</v>
      </c>
      <c r="L1092" s="2" t="s">
        <v>20</v>
      </c>
      <c r="M1092" s="2" t="s">
        <v>76</v>
      </c>
      <c r="N1092" s="2" t="s">
        <v>31</v>
      </c>
    </row>
    <row r="1093" spans="1:14" x14ac:dyDescent="0.3">
      <c r="A1093" s="2" t="s">
        <v>70</v>
      </c>
      <c r="B1093" s="3">
        <v>5</v>
      </c>
      <c r="C1093" s="4" t="s">
        <v>55</v>
      </c>
      <c r="D1093" s="2" t="s">
        <v>16</v>
      </c>
      <c r="E1093" s="2" t="s">
        <v>45</v>
      </c>
      <c r="F1093" s="5">
        <v>0</v>
      </c>
      <c r="G1093" s="1">
        <v>0</v>
      </c>
      <c r="H1093" s="2">
        <v>4</v>
      </c>
      <c r="I1093" s="6">
        <v>6.0185185185185177E-3</v>
      </c>
      <c r="J1093" s="2"/>
      <c r="K1093" s="2"/>
      <c r="L1093" s="2" t="s">
        <v>48</v>
      </c>
      <c r="M1093" s="2" t="s">
        <v>76</v>
      </c>
      <c r="N1093" s="2" t="s">
        <v>26</v>
      </c>
    </row>
    <row r="1094" spans="1:14" x14ac:dyDescent="0.3">
      <c r="A1094" s="2" t="s">
        <v>70</v>
      </c>
      <c r="B1094" s="3">
        <v>10</v>
      </c>
      <c r="C1094" s="4" t="s">
        <v>72</v>
      </c>
      <c r="D1094" s="2" t="s">
        <v>38</v>
      </c>
      <c r="E1094" s="2" t="s">
        <v>23</v>
      </c>
      <c r="F1094" s="5">
        <v>0</v>
      </c>
      <c r="G1094" s="1">
        <v>0</v>
      </c>
      <c r="H1094" s="2">
        <v>3</v>
      </c>
      <c r="I1094" s="6">
        <v>6.0185185185185177E-3</v>
      </c>
      <c r="J1094" s="2"/>
      <c r="K1094" s="2"/>
      <c r="L1094" s="2" t="s">
        <v>51</v>
      </c>
      <c r="M1094" s="2" t="s">
        <v>66</v>
      </c>
      <c r="N1094" s="2" t="s">
        <v>36</v>
      </c>
    </row>
    <row r="1095" spans="1:14" x14ac:dyDescent="0.3">
      <c r="A1095" s="2" t="s">
        <v>70</v>
      </c>
      <c r="B1095" s="3">
        <v>12</v>
      </c>
      <c r="C1095" s="4" t="s">
        <v>22</v>
      </c>
      <c r="D1095" s="2" t="s">
        <v>38</v>
      </c>
      <c r="E1095" s="2" t="s">
        <v>45</v>
      </c>
      <c r="F1095" s="5">
        <v>0</v>
      </c>
      <c r="G1095" s="1">
        <v>0</v>
      </c>
      <c r="H1095" s="2">
        <v>1</v>
      </c>
      <c r="I1095" s="6">
        <v>6.0185185185185177E-3</v>
      </c>
      <c r="J1095" s="2"/>
      <c r="K1095" s="2"/>
      <c r="L1095" s="2" t="s">
        <v>30</v>
      </c>
      <c r="M1095" s="2" t="s">
        <v>78</v>
      </c>
      <c r="N1095" s="2" t="s">
        <v>66</v>
      </c>
    </row>
    <row r="1096" spans="1:14" x14ac:dyDescent="0.3">
      <c r="A1096" s="2" t="s">
        <v>70</v>
      </c>
      <c r="B1096" s="3">
        <v>30</v>
      </c>
      <c r="C1096" s="4" t="s">
        <v>27</v>
      </c>
      <c r="D1096" s="2" t="s">
        <v>38</v>
      </c>
      <c r="E1096" s="2" t="s">
        <v>23</v>
      </c>
      <c r="F1096" s="5">
        <v>0</v>
      </c>
      <c r="G1096" s="1">
        <v>0</v>
      </c>
      <c r="H1096" s="2">
        <v>2</v>
      </c>
      <c r="I1096" s="6">
        <v>6.0185185185185177E-3</v>
      </c>
      <c r="J1096" s="2"/>
      <c r="K1096" s="2"/>
      <c r="L1096" s="2" t="s">
        <v>51</v>
      </c>
      <c r="M1096" s="2" t="s">
        <v>78</v>
      </c>
      <c r="N1096" s="2" t="s">
        <v>41</v>
      </c>
    </row>
    <row r="1097" spans="1:14" x14ac:dyDescent="0.3">
      <c r="A1097" s="2" t="s">
        <v>70</v>
      </c>
      <c r="B1097" s="3">
        <v>30</v>
      </c>
      <c r="C1097" s="4" t="s">
        <v>69</v>
      </c>
      <c r="D1097" s="2" t="s">
        <v>16</v>
      </c>
      <c r="E1097" s="2" t="s">
        <v>42</v>
      </c>
      <c r="F1097" s="5">
        <v>0</v>
      </c>
      <c r="G1097" s="1">
        <v>0</v>
      </c>
      <c r="H1097" s="2">
        <v>5</v>
      </c>
      <c r="I1097" s="6">
        <v>6.0185185185185177E-3</v>
      </c>
      <c r="J1097" s="2"/>
      <c r="K1097" s="2"/>
      <c r="L1097" s="2" t="s">
        <v>30</v>
      </c>
      <c r="M1097" s="2" t="s">
        <v>77</v>
      </c>
      <c r="N1097" s="2" t="s">
        <v>54</v>
      </c>
    </row>
    <row r="1098" spans="1:14" x14ac:dyDescent="0.3">
      <c r="A1098" s="2" t="s">
        <v>70</v>
      </c>
      <c r="B1098" s="3">
        <v>30</v>
      </c>
      <c r="C1098" s="4" t="s">
        <v>69</v>
      </c>
      <c r="D1098" s="2" t="s">
        <v>49</v>
      </c>
      <c r="E1098" s="2" t="s">
        <v>17</v>
      </c>
      <c r="F1098" s="5">
        <v>0</v>
      </c>
      <c r="G1098" s="1">
        <v>0</v>
      </c>
      <c r="H1098" s="2">
        <v>3</v>
      </c>
      <c r="I1098" s="6">
        <v>6.0185185185185177E-3</v>
      </c>
      <c r="J1098" s="2"/>
      <c r="K1098" s="2"/>
      <c r="L1098" s="2" t="s">
        <v>40</v>
      </c>
      <c r="M1098" s="2" t="s">
        <v>66</v>
      </c>
      <c r="N1098" s="2" t="s">
        <v>67</v>
      </c>
    </row>
    <row r="1099" spans="1:14" x14ac:dyDescent="0.3">
      <c r="A1099" s="2" t="s">
        <v>70</v>
      </c>
      <c r="B1099" s="3">
        <v>5</v>
      </c>
      <c r="C1099" s="4" t="s">
        <v>55</v>
      </c>
      <c r="D1099" s="2" t="s">
        <v>16</v>
      </c>
      <c r="E1099" s="2" t="s">
        <v>45</v>
      </c>
      <c r="F1099" s="5">
        <v>0</v>
      </c>
      <c r="G1099" s="1">
        <v>0</v>
      </c>
      <c r="H1099" s="2">
        <v>4</v>
      </c>
      <c r="I1099" s="6">
        <v>6.0185185185185177E-3</v>
      </c>
      <c r="J1099" s="2"/>
      <c r="K1099" s="2"/>
      <c r="L1099" s="2" t="s">
        <v>48</v>
      </c>
      <c r="M1099" s="2" t="s">
        <v>76</v>
      </c>
      <c r="N1099" s="2" t="s">
        <v>26</v>
      </c>
    </row>
    <row r="1100" spans="1:14" x14ac:dyDescent="0.3">
      <c r="A1100" s="2" t="s">
        <v>70</v>
      </c>
      <c r="B1100" s="3">
        <v>10</v>
      </c>
      <c r="C1100" s="4" t="s">
        <v>72</v>
      </c>
      <c r="D1100" s="2" t="s">
        <v>38</v>
      </c>
      <c r="E1100" s="2" t="s">
        <v>23</v>
      </c>
      <c r="F1100" s="5">
        <v>0</v>
      </c>
      <c r="G1100" s="1">
        <v>0</v>
      </c>
      <c r="H1100" s="2">
        <v>3</v>
      </c>
      <c r="I1100" s="6">
        <v>6.0185185185185177E-3</v>
      </c>
      <c r="J1100" s="2"/>
      <c r="K1100" s="2"/>
      <c r="L1100" s="2" t="s">
        <v>51</v>
      </c>
      <c r="M1100" s="2" t="s">
        <v>66</v>
      </c>
      <c r="N1100" s="2" t="s">
        <v>36</v>
      </c>
    </row>
    <row r="1101" spans="1:14" x14ac:dyDescent="0.3">
      <c r="A1101" s="2" t="s">
        <v>14</v>
      </c>
      <c r="B1101" s="3">
        <v>26</v>
      </c>
      <c r="C1101" s="4" t="s">
        <v>22</v>
      </c>
      <c r="D1101" s="2" t="s">
        <v>28</v>
      </c>
      <c r="E1101" s="2" t="s">
        <v>42</v>
      </c>
      <c r="F1101" s="5">
        <v>3</v>
      </c>
      <c r="G1101" s="1">
        <v>15000000</v>
      </c>
      <c r="H1101" s="2">
        <v>2</v>
      </c>
      <c r="I1101" s="6">
        <v>6.2499999999999995E-3</v>
      </c>
      <c r="J1101" s="2" t="s">
        <v>18</v>
      </c>
      <c r="K1101" s="2" t="s">
        <v>35</v>
      </c>
      <c r="L1101" s="2" t="s">
        <v>20</v>
      </c>
      <c r="M1101" s="2" t="s">
        <v>78</v>
      </c>
      <c r="N1101" s="2" t="s">
        <v>63</v>
      </c>
    </row>
    <row r="1102" spans="1:14" x14ac:dyDescent="0.3">
      <c r="A1102" s="2" t="s">
        <v>14</v>
      </c>
      <c r="B1102" s="3">
        <v>27</v>
      </c>
      <c r="C1102" s="4" t="s">
        <v>27</v>
      </c>
      <c r="D1102" s="2" t="s">
        <v>32</v>
      </c>
      <c r="E1102" s="2" t="s">
        <v>23</v>
      </c>
      <c r="F1102" s="5">
        <v>3</v>
      </c>
      <c r="G1102" s="1">
        <v>15000000</v>
      </c>
      <c r="H1102" s="2">
        <v>4</v>
      </c>
      <c r="I1102" s="6">
        <v>6.2499999999999995E-3</v>
      </c>
      <c r="J1102" s="2" t="s">
        <v>18</v>
      </c>
      <c r="K1102" s="2" t="s">
        <v>56</v>
      </c>
      <c r="L1102" s="2" t="s">
        <v>40</v>
      </c>
      <c r="M1102" s="2" t="s">
        <v>76</v>
      </c>
      <c r="N1102" s="2" t="s">
        <v>31</v>
      </c>
    </row>
    <row r="1103" spans="1:14" x14ac:dyDescent="0.3">
      <c r="A1103" s="2" t="s">
        <v>14</v>
      </c>
      <c r="B1103" s="3">
        <v>30</v>
      </c>
      <c r="C1103" s="4" t="s">
        <v>27</v>
      </c>
      <c r="D1103" s="2" t="s">
        <v>73</v>
      </c>
      <c r="E1103" s="2" t="s">
        <v>45</v>
      </c>
      <c r="F1103" s="5">
        <v>3</v>
      </c>
      <c r="G1103" s="1">
        <v>15000000</v>
      </c>
      <c r="H1103" s="2">
        <v>2</v>
      </c>
      <c r="I1103" s="6">
        <v>6.2499999999999995E-3</v>
      </c>
      <c r="J1103" s="2" t="s">
        <v>18</v>
      </c>
      <c r="K1103" s="2" t="s">
        <v>19</v>
      </c>
      <c r="L1103" s="2" t="s">
        <v>43</v>
      </c>
      <c r="M1103" s="2" t="s">
        <v>77</v>
      </c>
      <c r="N1103" s="2" t="s">
        <v>65</v>
      </c>
    </row>
    <row r="1104" spans="1:14" x14ac:dyDescent="0.3">
      <c r="A1104" s="2" t="s">
        <v>14</v>
      </c>
      <c r="B1104" s="3">
        <v>5</v>
      </c>
      <c r="C1104" s="4" t="s">
        <v>37</v>
      </c>
      <c r="D1104" s="2" t="s">
        <v>32</v>
      </c>
      <c r="E1104" s="2" t="s">
        <v>42</v>
      </c>
      <c r="F1104" s="5">
        <v>1</v>
      </c>
      <c r="G1104" s="1">
        <v>7000000</v>
      </c>
      <c r="H1104" s="2">
        <v>4</v>
      </c>
      <c r="I1104" s="6">
        <v>6.2499999999999995E-3</v>
      </c>
      <c r="J1104" s="2" t="s">
        <v>18</v>
      </c>
      <c r="K1104" s="2" t="s">
        <v>29</v>
      </c>
      <c r="L1104" s="2" t="s">
        <v>30</v>
      </c>
      <c r="M1104" s="2" t="s">
        <v>78</v>
      </c>
      <c r="N1104" s="2" t="s">
        <v>66</v>
      </c>
    </row>
    <row r="1105" spans="1:14" x14ac:dyDescent="0.3">
      <c r="A1105" s="2" t="s">
        <v>14</v>
      </c>
      <c r="B1105" s="3">
        <v>28</v>
      </c>
      <c r="C1105" s="4" t="s">
        <v>37</v>
      </c>
      <c r="D1105" s="2" t="s">
        <v>16</v>
      </c>
      <c r="E1105" s="2" t="s">
        <v>42</v>
      </c>
      <c r="F1105" s="5">
        <v>5</v>
      </c>
      <c r="G1105" s="1">
        <v>20000000</v>
      </c>
      <c r="H1105" s="2">
        <v>2</v>
      </c>
      <c r="I1105" s="6">
        <v>6.2499999999999995E-3</v>
      </c>
      <c r="J1105" s="2" t="s">
        <v>18</v>
      </c>
      <c r="K1105" s="2" t="s">
        <v>56</v>
      </c>
      <c r="L1105" s="2" t="s">
        <v>25</v>
      </c>
      <c r="M1105" s="2" t="s">
        <v>76</v>
      </c>
      <c r="N1105" s="2" t="s">
        <v>52</v>
      </c>
    </row>
    <row r="1106" spans="1:14" x14ac:dyDescent="0.3">
      <c r="A1106" s="2" t="s">
        <v>14</v>
      </c>
      <c r="B1106" s="3">
        <v>7</v>
      </c>
      <c r="C1106" s="4" t="s">
        <v>37</v>
      </c>
      <c r="D1106" s="2" t="s">
        <v>16</v>
      </c>
      <c r="E1106" s="2" t="s">
        <v>42</v>
      </c>
      <c r="F1106" s="5">
        <v>2</v>
      </c>
      <c r="G1106" s="1">
        <v>12000000</v>
      </c>
      <c r="H1106" s="2">
        <v>2</v>
      </c>
      <c r="I1106" s="6">
        <v>6.2499999999999995E-3</v>
      </c>
      <c r="J1106" s="2" t="s">
        <v>18</v>
      </c>
      <c r="K1106" s="2" t="s">
        <v>19</v>
      </c>
      <c r="L1106" s="2" t="s">
        <v>48</v>
      </c>
      <c r="M1106" s="2" t="s">
        <v>78</v>
      </c>
      <c r="N1106" s="2" t="s">
        <v>63</v>
      </c>
    </row>
    <row r="1107" spans="1:14" x14ac:dyDescent="0.3">
      <c r="A1107" s="2" t="s">
        <v>14</v>
      </c>
      <c r="B1107" s="3">
        <v>20</v>
      </c>
      <c r="C1107" s="4" t="s">
        <v>44</v>
      </c>
      <c r="D1107" s="2" t="s">
        <v>16</v>
      </c>
      <c r="E1107" s="2" t="s">
        <v>42</v>
      </c>
      <c r="F1107" s="5">
        <v>4</v>
      </c>
      <c r="G1107" s="1">
        <v>20000000</v>
      </c>
      <c r="H1107" s="2">
        <v>2</v>
      </c>
      <c r="I1107" s="6">
        <v>6.2499999999999995E-3</v>
      </c>
      <c r="J1107" s="2" t="s">
        <v>61</v>
      </c>
      <c r="K1107" s="2" t="s">
        <v>39</v>
      </c>
      <c r="L1107" s="2" t="s">
        <v>51</v>
      </c>
      <c r="M1107" s="2" t="s">
        <v>76</v>
      </c>
      <c r="N1107" s="2" t="s">
        <v>31</v>
      </c>
    </row>
    <row r="1108" spans="1:14" x14ac:dyDescent="0.3">
      <c r="A1108" s="2" t="s">
        <v>14</v>
      </c>
      <c r="B1108" s="3">
        <v>15</v>
      </c>
      <c r="C1108" s="4" t="s">
        <v>44</v>
      </c>
      <c r="D1108" s="2" t="s">
        <v>73</v>
      </c>
      <c r="E1108" s="2" t="s">
        <v>23</v>
      </c>
      <c r="F1108" s="5">
        <v>2</v>
      </c>
      <c r="G1108" s="1">
        <v>12000000</v>
      </c>
      <c r="H1108" s="2">
        <v>3</v>
      </c>
      <c r="I1108" s="6">
        <v>6.2499999999999995E-3</v>
      </c>
      <c r="J1108" s="2" t="s">
        <v>18</v>
      </c>
      <c r="K1108" s="2" t="s">
        <v>64</v>
      </c>
      <c r="L1108" s="2" t="s">
        <v>33</v>
      </c>
      <c r="M1108" s="2" t="s">
        <v>78</v>
      </c>
      <c r="N1108" s="2" t="s">
        <v>66</v>
      </c>
    </row>
    <row r="1109" spans="1:14" x14ac:dyDescent="0.3">
      <c r="A1109" s="2" t="s">
        <v>14</v>
      </c>
      <c r="B1109" s="3">
        <v>18</v>
      </c>
      <c r="C1109" s="4" t="s">
        <v>44</v>
      </c>
      <c r="D1109" s="2" t="s">
        <v>16</v>
      </c>
      <c r="E1109" s="2" t="s">
        <v>23</v>
      </c>
      <c r="F1109" s="5">
        <v>2</v>
      </c>
      <c r="G1109" s="1">
        <v>12000000</v>
      </c>
      <c r="H1109" s="2">
        <v>1</v>
      </c>
      <c r="I1109" s="6">
        <v>6.2499999999999995E-3</v>
      </c>
      <c r="J1109" s="2" t="s">
        <v>18</v>
      </c>
      <c r="K1109" s="2" t="s">
        <v>56</v>
      </c>
      <c r="L1109" s="2" t="s">
        <v>40</v>
      </c>
      <c r="M1109" s="2" t="s">
        <v>76</v>
      </c>
      <c r="N1109" s="2" t="s">
        <v>52</v>
      </c>
    </row>
    <row r="1110" spans="1:14" x14ac:dyDescent="0.3">
      <c r="A1110" s="2" t="s">
        <v>14</v>
      </c>
      <c r="B1110" s="3">
        <v>3</v>
      </c>
      <c r="C1110" s="4" t="s">
        <v>44</v>
      </c>
      <c r="D1110" s="2" t="s">
        <v>38</v>
      </c>
      <c r="E1110" s="2" t="s">
        <v>17</v>
      </c>
      <c r="F1110" s="5">
        <v>4</v>
      </c>
      <c r="G1110" s="1">
        <v>20000000</v>
      </c>
      <c r="H1110" s="2">
        <v>1</v>
      </c>
      <c r="I1110" s="6">
        <v>6.2499999999999995E-3</v>
      </c>
      <c r="J1110" s="2" t="s">
        <v>18</v>
      </c>
      <c r="K1110" s="2" t="s">
        <v>39</v>
      </c>
      <c r="L1110" s="2" t="s">
        <v>43</v>
      </c>
      <c r="M1110" s="2" t="s">
        <v>78</v>
      </c>
      <c r="N1110" s="2" t="s">
        <v>53</v>
      </c>
    </row>
    <row r="1111" spans="1:14" x14ac:dyDescent="0.3">
      <c r="A1111" s="2" t="s">
        <v>70</v>
      </c>
      <c r="B1111" s="3">
        <v>11</v>
      </c>
      <c r="C1111" s="4" t="s">
        <v>58</v>
      </c>
      <c r="D1111" s="2" t="s">
        <v>16</v>
      </c>
      <c r="E1111" s="2" t="s">
        <v>17</v>
      </c>
      <c r="F1111" s="5">
        <v>0</v>
      </c>
      <c r="G1111" s="1">
        <v>0</v>
      </c>
      <c r="H1111" s="2">
        <v>1</v>
      </c>
      <c r="I1111" s="6">
        <v>6.2499999999999995E-3</v>
      </c>
      <c r="J1111" s="2"/>
      <c r="K1111" s="2"/>
      <c r="L1111" s="2" t="s">
        <v>30</v>
      </c>
      <c r="M1111" s="2" t="s">
        <v>76</v>
      </c>
      <c r="N1111" s="2" t="s">
        <v>52</v>
      </c>
    </row>
    <row r="1112" spans="1:14" x14ac:dyDescent="0.3">
      <c r="A1112" s="2" t="s">
        <v>70</v>
      </c>
      <c r="B1112" s="3">
        <v>30</v>
      </c>
      <c r="C1112" s="4" t="s">
        <v>69</v>
      </c>
      <c r="D1112" s="2" t="s">
        <v>38</v>
      </c>
      <c r="E1112" s="2" t="s">
        <v>17</v>
      </c>
      <c r="F1112" s="5">
        <v>0</v>
      </c>
      <c r="G1112" s="1">
        <v>0</v>
      </c>
      <c r="H1112" s="2">
        <v>3</v>
      </c>
      <c r="I1112" s="6">
        <v>6.2499999999999995E-3</v>
      </c>
      <c r="J1112" s="2"/>
      <c r="K1112" s="2"/>
      <c r="L1112" s="2" t="s">
        <v>30</v>
      </c>
      <c r="M1112" s="2" t="s">
        <v>66</v>
      </c>
      <c r="N1112" s="2" t="s">
        <v>67</v>
      </c>
    </row>
    <row r="1113" spans="1:14" x14ac:dyDescent="0.3">
      <c r="A1113" s="2" t="s">
        <v>70</v>
      </c>
      <c r="B1113" s="3">
        <v>27</v>
      </c>
      <c r="C1113" s="4" t="s">
        <v>69</v>
      </c>
      <c r="D1113" s="2" t="s">
        <v>49</v>
      </c>
      <c r="E1113" s="2" t="s">
        <v>42</v>
      </c>
      <c r="F1113" s="5">
        <v>0</v>
      </c>
      <c r="G1113" s="1">
        <v>0</v>
      </c>
      <c r="H1113" s="2">
        <v>1</v>
      </c>
      <c r="I1113" s="6">
        <v>6.2499999999999995E-3</v>
      </c>
      <c r="J1113" s="2"/>
      <c r="K1113" s="2"/>
      <c r="L1113" s="2" t="s">
        <v>48</v>
      </c>
      <c r="M1113" s="2" t="s">
        <v>77</v>
      </c>
      <c r="N1113" s="2" t="s">
        <v>34</v>
      </c>
    </row>
    <row r="1114" spans="1:14" x14ac:dyDescent="0.3">
      <c r="A1114" s="2" t="s">
        <v>70</v>
      </c>
      <c r="B1114" s="3">
        <v>11</v>
      </c>
      <c r="C1114" s="4" t="s">
        <v>58</v>
      </c>
      <c r="D1114" s="2" t="s">
        <v>16</v>
      </c>
      <c r="E1114" s="2" t="s">
        <v>17</v>
      </c>
      <c r="F1114" s="5">
        <v>0</v>
      </c>
      <c r="G1114" s="1">
        <v>0</v>
      </c>
      <c r="H1114" s="2">
        <v>1</v>
      </c>
      <c r="I1114" s="6">
        <v>6.2499999999999995E-3</v>
      </c>
      <c r="J1114" s="2"/>
      <c r="K1114" s="2"/>
      <c r="L1114" s="2" t="s">
        <v>30</v>
      </c>
      <c r="M1114" s="2" t="s">
        <v>76</v>
      </c>
      <c r="N1114" s="2" t="s">
        <v>52</v>
      </c>
    </row>
    <row r="1115" spans="1:14" x14ac:dyDescent="0.3">
      <c r="A1115" s="2" t="s">
        <v>14</v>
      </c>
      <c r="B1115" s="3">
        <v>31</v>
      </c>
      <c r="C1115" s="4" t="s">
        <v>59</v>
      </c>
      <c r="D1115" s="2" t="s">
        <v>49</v>
      </c>
      <c r="E1115" s="2" t="s">
        <v>42</v>
      </c>
      <c r="F1115" s="5">
        <v>2</v>
      </c>
      <c r="G1115" s="1">
        <v>12000000</v>
      </c>
      <c r="H1115" s="2">
        <v>4</v>
      </c>
      <c r="I1115" s="6">
        <v>6.3888888888888884E-3</v>
      </c>
      <c r="J1115" s="2" t="s">
        <v>18</v>
      </c>
      <c r="K1115" s="2" t="s">
        <v>56</v>
      </c>
      <c r="L1115" s="2" t="s">
        <v>30</v>
      </c>
      <c r="M1115" s="2" t="s">
        <v>76</v>
      </c>
      <c r="N1115" s="2" t="s">
        <v>26</v>
      </c>
    </row>
    <row r="1116" spans="1:14" x14ac:dyDescent="0.3">
      <c r="A1116" s="2" t="s">
        <v>14</v>
      </c>
      <c r="B1116" s="3">
        <v>7</v>
      </c>
      <c r="C1116" s="4" t="s">
        <v>27</v>
      </c>
      <c r="D1116" s="2" t="s">
        <v>16</v>
      </c>
      <c r="E1116" s="2" t="s">
        <v>45</v>
      </c>
      <c r="F1116" s="5">
        <v>4</v>
      </c>
      <c r="G1116" s="1">
        <v>11000000</v>
      </c>
      <c r="H1116" s="2">
        <v>5</v>
      </c>
      <c r="I1116" s="6">
        <v>6.3888888888888884E-3</v>
      </c>
      <c r="J1116" s="2" t="s">
        <v>61</v>
      </c>
      <c r="K1116" s="2" t="s">
        <v>39</v>
      </c>
      <c r="L1116" s="2" t="s">
        <v>33</v>
      </c>
      <c r="M1116" s="2" t="s">
        <v>76</v>
      </c>
      <c r="N1116" s="2" t="s">
        <v>52</v>
      </c>
    </row>
    <row r="1117" spans="1:14" x14ac:dyDescent="0.3">
      <c r="A1117" s="2" t="s">
        <v>14</v>
      </c>
      <c r="B1117" s="3">
        <v>21</v>
      </c>
      <c r="C1117" s="4" t="s">
        <v>37</v>
      </c>
      <c r="D1117" s="2" t="s">
        <v>16</v>
      </c>
      <c r="E1117" s="2" t="s">
        <v>68</v>
      </c>
      <c r="F1117" s="5">
        <v>4</v>
      </c>
      <c r="G1117" s="1">
        <v>20000000</v>
      </c>
      <c r="H1117" s="2">
        <v>2</v>
      </c>
      <c r="I1117" s="6">
        <v>6.3888888888888884E-3</v>
      </c>
      <c r="J1117" s="2" t="s">
        <v>18</v>
      </c>
      <c r="K1117" s="2" t="s">
        <v>35</v>
      </c>
      <c r="L1117" s="2" t="s">
        <v>30</v>
      </c>
      <c r="M1117" s="2" t="s">
        <v>76</v>
      </c>
      <c r="N1117" s="2" t="s">
        <v>52</v>
      </c>
    </row>
    <row r="1118" spans="1:14" x14ac:dyDescent="0.3">
      <c r="A1118" s="2" t="s">
        <v>14</v>
      </c>
      <c r="B1118" s="3">
        <v>8</v>
      </c>
      <c r="C1118" s="4" t="s">
        <v>37</v>
      </c>
      <c r="D1118" s="2" t="s">
        <v>16</v>
      </c>
      <c r="E1118" s="2" t="s">
        <v>68</v>
      </c>
      <c r="F1118" s="5">
        <v>3</v>
      </c>
      <c r="G1118" s="1">
        <v>15000000</v>
      </c>
      <c r="H1118" s="2">
        <v>1</v>
      </c>
      <c r="I1118" s="6">
        <v>6.3888888888888884E-3</v>
      </c>
      <c r="J1118" s="2" t="s">
        <v>18</v>
      </c>
      <c r="K1118" s="2" t="s">
        <v>64</v>
      </c>
      <c r="L1118" s="2" t="s">
        <v>40</v>
      </c>
      <c r="M1118" s="2" t="s">
        <v>78</v>
      </c>
      <c r="N1118" s="2" t="s">
        <v>53</v>
      </c>
    </row>
    <row r="1119" spans="1:14" x14ac:dyDescent="0.3">
      <c r="A1119" s="2" t="s">
        <v>14</v>
      </c>
      <c r="B1119" s="3">
        <v>8</v>
      </c>
      <c r="C1119" s="4" t="s">
        <v>37</v>
      </c>
      <c r="D1119" s="2" t="s">
        <v>38</v>
      </c>
      <c r="E1119" s="2" t="s">
        <v>42</v>
      </c>
      <c r="F1119" s="5">
        <v>2</v>
      </c>
      <c r="G1119" s="1">
        <v>12000000</v>
      </c>
      <c r="H1119" s="2">
        <v>4</v>
      </c>
      <c r="I1119" s="6">
        <v>6.3888888888888884E-3</v>
      </c>
      <c r="J1119" s="2" t="s">
        <v>18</v>
      </c>
      <c r="K1119" s="2" t="s">
        <v>39</v>
      </c>
      <c r="L1119" s="2" t="s">
        <v>25</v>
      </c>
      <c r="M1119" s="2" t="s">
        <v>77</v>
      </c>
      <c r="N1119" s="2" t="s">
        <v>54</v>
      </c>
    </row>
    <row r="1120" spans="1:14" x14ac:dyDescent="0.3">
      <c r="A1120" s="2" t="s">
        <v>14</v>
      </c>
      <c r="B1120" s="3">
        <v>22</v>
      </c>
      <c r="C1120" s="4" t="s">
        <v>44</v>
      </c>
      <c r="D1120" s="2" t="s">
        <v>28</v>
      </c>
      <c r="E1120" s="2" t="s">
        <v>17</v>
      </c>
      <c r="F1120" s="5">
        <v>1</v>
      </c>
      <c r="G1120" s="1">
        <v>7000000</v>
      </c>
      <c r="H1120" s="2">
        <v>1</v>
      </c>
      <c r="I1120" s="6">
        <v>6.3888888888888884E-3</v>
      </c>
      <c r="J1120" s="2" t="s">
        <v>18</v>
      </c>
      <c r="K1120" s="2" t="s">
        <v>29</v>
      </c>
      <c r="L1120" s="2" t="s">
        <v>51</v>
      </c>
      <c r="M1120" s="2" t="s">
        <v>66</v>
      </c>
      <c r="N1120" s="2" t="s">
        <v>67</v>
      </c>
    </row>
    <row r="1121" spans="1:14" x14ac:dyDescent="0.3">
      <c r="A1121" s="2" t="s">
        <v>14</v>
      </c>
      <c r="B1121" s="3">
        <v>25</v>
      </c>
      <c r="C1121" s="4" t="s">
        <v>44</v>
      </c>
      <c r="D1121" s="2" t="s">
        <v>16</v>
      </c>
      <c r="E1121" s="2" t="s">
        <v>42</v>
      </c>
      <c r="F1121" s="5">
        <v>3</v>
      </c>
      <c r="G1121" s="1">
        <v>15000000</v>
      </c>
      <c r="H1121" s="2">
        <v>3</v>
      </c>
      <c r="I1121" s="6">
        <v>6.3888888888888884E-3</v>
      </c>
      <c r="J1121" s="2" t="s">
        <v>18</v>
      </c>
      <c r="K1121" s="2" t="s">
        <v>19</v>
      </c>
      <c r="L1121" s="2" t="s">
        <v>30</v>
      </c>
      <c r="M1121" s="2" t="s">
        <v>78</v>
      </c>
      <c r="N1121" s="2" t="s">
        <v>41</v>
      </c>
    </row>
    <row r="1122" spans="1:14" x14ac:dyDescent="0.3">
      <c r="A1122" s="2" t="s">
        <v>14</v>
      </c>
      <c r="B1122" s="3">
        <v>7</v>
      </c>
      <c r="C1122" s="4" t="s">
        <v>44</v>
      </c>
      <c r="D1122" s="2" t="s">
        <v>16</v>
      </c>
      <c r="E1122" s="2" t="s">
        <v>42</v>
      </c>
      <c r="F1122" s="5">
        <v>5</v>
      </c>
      <c r="G1122" s="1">
        <v>25000000</v>
      </c>
      <c r="H1122" s="2">
        <v>3</v>
      </c>
      <c r="I1122" s="6">
        <v>6.3888888888888884E-3</v>
      </c>
      <c r="J1122" s="2" t="s">
        <v>18</v>
      </c>
      <c r="K1122" s="2" t="s">
        <v>24</v>
      </c>
      <c r="L1122" s="2" t="s">
        <v>20</v>
      </c>
      <c r="M1122" s="2" t="s">
        <v>78</v>
      </c>
      <c r="N1122" s="2" t="s">
        <v>62</v>
      </c>
    </row>
    <row r="1123" spans="1:14" x14ac:dyDescent="0.3">
      <c r="A1123" s="2" t="s">
        <v>14</v>
      </c>
      <c r="B1123" s="3">
        <v>1</v>
      </c>
      <c r="C1123" s="4" t="s">
        <v>69</v>
      </c>
      <c r="D1123" s="2" t="s">
        <v>28</v>
      </c>
      <c r="E1123" s="2" t="s">
        <v>45</v>
      </c>
      <c r="F1123" s="5">
        <v>5</v>
      </c>
      <c r="G1123" s="1">
        <v>25000000</v>
      </c>
      <c r="H1123" s="2">
        <v>3</v>
      </c>
      <c r="I1123" s="6">
        <v>6.3888888888888884E-3</v>
      </c>
      <c r="J1123" s="2" t="s">
        <v>18</v>
      </c>
      <c r="K1123" s="2" t="s">
        <v>39</v>
      </c>
      <c r="L1123" s="2" t="s">
        <v>30</v>
      </c>
      <c r="M1123" s="2" t="s">
        <v>77</v>
      </c>
      <c r="N1123" s="2" t="s">
        <v>65</v>
      </c>
    </row>
    <row r="1124" spans="1:14" x14ac:dyDescent="0.3">
      <c r="A1124" s="2" t="s">
        <v>14</v>
      </c>
      <c r="B1124" s="3">
        <v>17</v>
      </c>
      <c r="C1124" s="4" t="s">
        <v>69</v>
      </c>
      <c r="D1124" s="2" t="s">
        <v>16</v>
      </c>
      <c r="E1124" s="2" t="s">
        <v>42</v>
      </c>
      <c r="F1124" s="5">
        <v>2</v>
      </c>
      <c r="G1124" s="1">
        <v>12000000</v>
      </c>
      <c r="H1124" s="2">
        <v>2</v>
      </c>
      <c r="I1124" s="6">
        <v>6.3888888888888884E-3</v>
      </c>
      <c r="J1124" s="2" t="s">
        <v>18</v>
      </c>
      <c r="K1124" s="2" t="s">
        <v>56</v>
      </c>
      <c r="L1124" s="2" t="s">
        <v>43</v>
      </c>
      <c r="M1124" s="2" t="s">
        <v>76</v>
      </c>
      <c r="N1124" s="2" t="s">
        <v>52</v>
      </c>
    </row>
    <row r="1125" spans="1:14" x14ac:dyDescent="0.3">
      <c r="A1125" s="2" t="s">
        <v>14</v>
      </c>
      <c r="B1125" s="3">
        <v>31</v>
      </c>
      <c r="C1125" s="4" t="s">
        <v>59</v>
      </c>
      <c r="D1125" s="2" t="s">
        <v>49</v>
      </c>
      <c r="E1125" s="2" t="s">
        <v>42</v>
      </c>
      <c r="F1125" s="5">
        <v>2</v>
      </c>
      <c r="G1125" s="1">
        <v>12000000</v>
      </c>
      <c r="H1125" s="2">
        <v>4</v>
      </c>
      <c r="I1125" s="6">
        <v>6.3888888888888884E-3</v>
      </c>
      <c r="J1125" s="2" t="s">
        <v>18</v>
      </c>
      <c r="K1125" s="2" t="s">
        <v>56</v>
      </c>
      <c r="L1125" s="2" t="s">
        <v>30</v>
      </c>
      <c r="M1125" s="2" t="s">
        <v>76</v>
      </c>
      <c r="N1125" s="2" t="s">
        <v>26</v>
      </c>
    </row>
    <row r="1126" spans="1:14" x14ac:dyDescent="0.3">
      <c r="A1126" s="2" t="s">
        <v>70</v>
      </c>
      <c r="B1126" s="3">
        <v>12</v>
      </c>
      <c r="C1126" s="4" t="s">
        <v>22</v>
      </c>
      <c r="D1126" s="2" t="s">
        <v>38</v>
      </c>
      <c r="E1126" s="2" t="s">
        <v>23</v>
      </c>
      <c r="F1126" s="5">
        <v>0</v>
      </c>
      <c r="G1126" s="1">
        <v>0</v>
      </c>
      <c r="H1126" s="2">
        <v>3</v>
      </c>
      <c r="I1126" s="6">
        <v>6.3888888888888884E-3</v>
      </c>
      <c r="J1126" s="2"/>
      <c r="K1126" s="2"/>
      <c r="L1126" s="2" t="s">
        <v>48</v>
      </c>
      <c r="M1126" s="2" t="s">
        <v>66</v>
      </c>
      <c r="N1126" s="2" t="s">
        <v>67</v>
      </c>
    </row>
    <row r="1127" spans="1:14" x14ac:dyDescent="0.3">
      <c r="A1127" s="2" t="s">
        <v>70</v>
      </c>
      <c r="B1127" s="3">
        <v>17</v>
      </c>
      <c r="C1127" s="4" t="s">
        <v>44</v>
      </c>
      <c r="D1127" s="2" t="s">
        <v>28</v>
      </c>
      <c r="E1127" s="2" t="s">
        <v>23</v>
      </c>
      <c r="F1127" s="5">
        <v>0</v>
      </c>
      <c r="G1127" s="1">
        <v>0</v>
      </c>
      <c r="H1127" s="2">
        <v>1</v>
      </c>
      <c r="I1127" s="6">
        <v>6.3888888888888884E-3</v>
      </c>
      <c r="J1127" s="2"/>
      <c r="K1127" s="2"/>
      <c r="L1127" s="2" t="s">
        <v>48</v>
      </c>
      <c r="M1127" s="2" t="s">
        <v>77</v>
      </c>
      <c r="N1127" s="2" t="s">
        <v>54</v>
      </c>
    </row>
    <row r="1128" spans="1:14" x14ac:dyDescent="0.3">
      <c r="A1128" s="2" t="s">
        <v>70</v>
      </c>
      <c r="B1128" s="3">
        <v>14</v>
      </c>
      <c r="C1128" s="4" t="s">
        <v>69</v>
      </c>
      <c r="D1128" s="2" t="s">
        <v>28</v>
      </c>
      <c r="E1128" s="2" t="s">
        <v>42</v>
      </c>
      <c r="F1128" s="5">
        <v>0</v>
      </c>
      <c r="G1128" s="1">
        <v>0</v>
      </c>
      <c r="H1128" s="2">
        <v>4</v>
      </c>
      <c r="I1128" s="6">
        <v>6.3888888888888884E-3</v>
      </c>
      <c r="J1128" s="2"/>
      <c r="K1128" s="2"/>
      <c r="L1128" s="2" t="s">
        <v>51</v>
      </c>
      <c r="M1128" s="2" t="s">
        <v>76</v>
      </c>
      <c r="N1128" s="2" t="s">
        <v>31</v>
      </c>
    </row>
    <row r="1129" spans="1:14" x14ac:dyDescent="0.3">
      <c r="A1129" s="2" t="s">
        <v>14</v>
      </c>
      <c r="B1129" s="3">
        <v>11</v>
      </c>
      <c r="C1129" s="4" t="s">
        <v>55</v>
      </c>
      <c r="D1129" s="2" t="s">
        <v>32</v>
      </c>
      <c r="E1129" s="2" t="s">
        <v>23</v>
      </c>
      <c r="F1129" s="5">
        <v>2</v>
      </c>
      <c r="G1129" s="1">
        <v>38000000</v>
      </c>
      <c r="H1129" s="2">
        <v>1</v>
      </c>
      <c r="I1129" s="6">
        <v>6.4236111111111117E-3</v>
      </c>
      <c r="J1129" s="2" t="s">
        <v>46</v>
      </c>
      <c r="K1129" s="2" t="s">
        <v>29</v>
      </c>
      <c r="L1129" s="2" t="s">
        <v>51</v>
      </c>
      <c r="M1129" s="2" t="s">
        <v>66</v>
      </c>
      <c r="N1129" s="2" t="s">
        <v>67</v>
      </c>
    </row>
    <row r="1130" spans="1:14" x14ac:dyDescent="0.3">
      <c r="A1130" s="2" t="s">
        <v>14</v>
      </c>
      <c r="B1130" s="3">
        <v>11</v>
      </c>
      <c r="C1130" s="4" t="s">
        <v>57</v>
      </c>
      <c r="D1130" s="2" t="s">
        <v>16</v>
      </c>
      <c r="E1130" s="2" t="s">
        <v>42</v>
      </c>
      <c r="F1130" s="5">
        <v>5</v>
      </c>
      <c r="G1130" s="1">
        <v>25000000</v>
      </c>
      <c r="H1130" s="2">
        <v>1</v>
      </c>
      <c r="I1130" s="6">
        <v>6.4236111111111117E-3</v>
      </c>
      <c r="J1130" s="2" t="s">
        <v>18</v>
      </c>
      <c r="K1130" s="2" t="s">
        <v>29</v>
      </c>
      <c r="L1130" s="2" t="s">
        <v>51</v>
      </c>
      <c r="M1130" s="2" t="s">
        <v>78</v>
      </c>
      <c r="N1130" s="2" t="s">
        <v>41</v>
      </c>
    </row>
    <row r="1131" spans="1:14" x14ac:dyDescent="0.3">
      <c r="A1131" s="2" t="s">
        <v>14</v>
      </c>
      <c r="B1131" s="3">
        <v>1</v>
      </c>
      <c r="C1131" s="4" t="s">
        <v>60</v>
      </c>
      <c r="D1131" s="2" t="s">
        <v>49</v>
      </c>
      <c r="E1131" s="2" t="s">
        <v>23</v>
      </c>
      <c r="F1131" s="5">
        <v>2</v>
      </c>
      <c r="G1131" s="1">
        <v>12000000</v>
      </c>
      <c r="H1131" s="2">
        <v>1</v>
      </c>
      <c r="I1131" s="6">
        <v>6.4236111111111117E-3</v>
      </c>
      <c r="J1131" s="2" t="s">
        <v>18</v>
      </c>
      <c r="K1131" s="2" t="s">
        <v>29</v>
      </c>
      <c r="L1131" s="2" t="s">
        <v>43</v>
      </c>
      <c r="M1131" s="2" t="s">
        <v>76</v>
      </c>
      <c r="N1131" s="2" t="s">
        <v>52</v>
      </c>
    </row>
    <row r="1132" spans="1:14" x14ac:dyDescent="0.3">
      <c r="A1132" s="2" t="s">
        <v>14</v>
      </c>
      <c r="B1132" s="3">
        <v>29</v>
      </c>
      <c r="C1132" s="4" t="s">
        <v>22</v>
      </c>
      <c r="D1132" s="2" t="s">
        <v>28</v>
      </c>
      <c r="E1132" s="2" t="s">
        <v>17</v>
      </c>
      <c r="F1132" s="5">
        <v>5</v>
      </c>
      <c r="G1132" s="1">
        <v>21000000</v>
      </c>
      <c r="H1132" s="2">
        <v>5</v>
      </c>
      <c r="I1132" s="6">
        <v>6.4236111111111117E-3</v>
      </c>
      <c r="J1132" s="2" t="s">
        <v>18</v>
      </c>
      <c r="K1132" s="2" t="s">
        <v>19</v>
      </c>
      <c r="L1132" s="2" t="s">
        <v>30</v>
      </c>
      <c r="M1132" s="2" t="s">
        <v>77</v>
      </c>
      <c r="N1132" s="2" t="s">
        <v>54</v>
      </c>
    </row>
    <row r="1133" spans="1:14" x14ac:dyDescent="0.3">
      <c r="A1133" s="2" t="s">
        <v>14</v>
      </c>
      <c r="B1133" s="3">
        <v>30</v>
      </c>
      <c r="C1133" s="4" t="s">
        <v>27</v>
      </c>
      <c r="D1133" s="2" t="s">
        <v>32</v>
      </c>
      <c r="E1133" s="2" t="s">
        <v>23</v>
      </c>
      <c r="F1133" s="5">
        <v>2</v>
      </c>
      <c r="G1133" s="1">
        <v>12000000</v>
      </c>
      <c r="H1133" s="2">
        <v>4</v>
      </c>
      <c r="I1133" s="6">
        <v>6.4236111111111117E-3</v>
      </c>
      <c r="J1133" s="2" t="s">
        <v>18</v>
      </c>
      <c r="K1133" s="2" t="s">
        <v>19</v>
      </c>
      <c r="L1133" s="2" t="s">
        <v>33</v>
      </c>
      <c r="M1133" s="2" t="s">
        <v>78</v>
      </c>
      <c r="N1133" s="2" t="s">
        <v>66</v>
      </c>
    </row>
    <row r="1134" spans="1:14" x14ac:dyDescent="0.3">
      <c r="A1134" s="2" t="s">
        <v>14</v>
      </c>
      <c r="B1134" s="3">
        <v>25</v>
      </c>
      <c r="C1134" s="4" t="s">
        <v>37</v>
      </c>
      <c r="D1134" s="2" t="s">
        <v>16</v>
      </c>
      <c r="E1134" s="2" t="s">
        <v>17</v>
      </c>
      <c r="F1134" s="5">
        <v>1</v>
      </c>
      <c r="G1134" s="1">
        <v>19000000</v>
      </c>
      <c r="H1134" s="2">
        <v>3</v>
      </c>
      <c r="I1134" s="6">
        <v>6.4236111111111117E-3</v>
      </c>
      <c r="J1134" s="2" t="s">
        <v>46</v>
      </c>
      <c r="K1134" s="2" t="s">
        <v>24</v>
      </c>
      <c r="L1134" s="2" t="s">
        <v>30</v>
      </c>
      <c r="M1134" s="2" t="s">
        <v>76</v>
      </c>
      <c r="N1134" s="2" t="s">
        <v>26</v>
      </c>
    </row>
    <row r="1135" spans="1:14" x14ac:dyDescent="0.3">
      <c r="A1135" s="2" t="s">
        <v>14</v>
      </c>
      <c r="B1135" s="3">
        <v>10</v>
      </c>
      <c r="C1135" s="4" t="s">
        <v>37</v>
      </c>
      <c r="D1135" s="2" t="s">
        <v>16</v>
      </c>
      <c r="E1135" s="2" t="s">
        <v>17</v>
      </c>
      <c r="F1135" s="5">
        <v>4</v>
      </c>
      <c r="G1135" s="1">
        <v>11000000</v>
      </c>
      <c r="H1135" s="2">
        <v>5</v>
      </c>
      <c r="I1135" s="6">
        <v>6.4236111111111117E-3</v>
      </c>
      <c r="J1135" s="2" t="s">
        <v>61</v>
      </c>
      <c r="K1135" s="2" t="s">
        <v>29</v>
      </c>
      <c r="L1135" s="2" t="s">
        <v>48</v>
      </c>
      <c r="M1135" s="2" t="s">
        <v>76</v>
      </c>
      <c r="N1135" s="2" t="s">
        <v>26</v>
      </c>
    </row>
    <row r="1136" spans="1:14" x14ac:dyDescent="0.3">
      <c r="A1136" s="2" t="s">
        <v>14</v>
      </c>
      <c r="B1136" s="3">
        <v>28</v>
      </c>
      <c r="C1136" s="4" t="s">
        <v>37</v>
      </c>
      <c r="D1136" s="2" t="s">
        <v>49</v>
      </c>
      <c r="E1136" s="2" t="s">
        <v>42</v>
      </c>
      <c r="F1136" s="5">
        <v>1</v>
      </c>
      <c r="G1136" s="1">
        <v>7000000</v>
      </c>
      <c r="H1136" s="2">
        <v>1</v>
      </c>
      <c r="I1136" s="6">
        <v>6.4236111111111117E-3</v>
      </c>
      <c r="J1136" s="2" t="s">
        <v>18</v>
      </c>
      <c r="K1136" s="2" t="s">
        <v>56</v>
      </c>
      <c r="L1136" s="2" t="s">
        <v>40</v>
      </c>
      <c r="M1136" s="2" t="s">
        <v>78</v>
      </c>
      <c r="N1136" s="2" t="s">
        <v>66</v>
      </c>
    </row>
    <row r="1137" spans="1:14" x14ac:dyDescent="0.3">
      <c r="A1137" s="2" t="s">
        <v>14</v>
      </c>
      <c r="B1137" s="3">
        <v>13</v>
      </c>
      <c r="C1137" s="4" t="s">
        <v>44</v>
      </c>
      <c r="D1137" s="2" t="s">
        <v>38</v>
      </c>
      <c r="E1137" s="2" t="s">
        <v>23</v>
      </c>
      <c r="F1137" s="5">
        <v>4</v>
      </c>
      <c r="G1137" s="1">
        <v>20000000</v>
      </c>
      <c r="H1137" s="2">
        <v>5</v>
      </c>
      <c r="I1137" s="6">
        <v>6.4236111111111117E-3</v>
      </c>
      <c r="J1137" s="2" t="s">
        <v>18</v>
      </c>
      <c r="K1137" s="2" t="s">
        <v>24</v>
      </c>
      <c r="L1137" s="2" t="s">
        <v>30</v>
      </c>
      <c r="M1137" s="2" t="s">
        <v>76</v>
      </c>
      <c r="N1137" s="2" t="s">
        <v>31</v>
      </c>
    </row>
    <row r="1138" spans="1:14" x14ac:dyDescent="0.3">
      <c r="A1138" s="2" t="s">
        <v>14</v>
      </c>
      <c r="B1138" s="3">
        <v>3</v>
      </c>
      <c r="C1138" s="4" t="s">
        <v>44</v>
      </c>
      <c r="D1138" s="2" t="s">
        <v>16</v>
      </c>
      <c r="E1138" s="2" t="s">
        <v>42</v>
      </c>
      <c r="F1138" s="5">
        <v>3</v>
      </c>
      <c r="G1138" s="1">
        <v>15000000</v>
      </c>
      <c r="H1138" s="2">
        <v>2</v>
      </c>
      <c r="I1138" s="6">
        <v>6.4236111111111117E-3</v>
      </c>
      <c r="J1138" s="2" t="s">
        <v>18</v>
      </c>
      <c r="K1138" s="2" t="s">
        <v>56</v>
      </c>
      <c r="L1138" s="2" t="s">
        <v>25</v>
      </c>
      <c r="M1138" s="2" t="s">
        <v>77</v>
      </c>
      <c r="N1138" s="2" t="s">
        <v>54</v>
      </c>
    </row>
    <row r="1139" spans="1:14" x14ac:dyDescent="0.3">
      <c r="A1139" s="2" t="s">
        <v>14</v>
      </c>
      <c r="B1139" s="3">
        <v>11</v>
      </c>
      <c r="C1139" s="4" t="s">
        <v>55</v>
      </c>
      <c r="D1139" s="2" t="s">
        <v>32</v>
      </c>
      <c r="E1139" s="2" t="s">
        <v>23</v>
      </c>
      <c r="F1139" s="5">
        <v>2</v>
      </c>
      <c r="G1139" s="1">
        <v>38000000</v>
      </c>
      <c r="H1139" s="2">
        <v>1</v>
      </c>
      <c r="I1139" s="6">
        <v>6.4236111111111117E-3</v>
      </c>
      <c r="J1139" s="2" t="s">
        <v>46</v>
      </c>
      <c r="K1139" s="2" t="s">
        <v>29</v>
      </c>
      <c r="L1139" s="2" t="s">
        <v>51</v>
      </c>
      <c r="M1139" s="2" t="s">
        <v>66</v>
      </c>
      <c r="N1139" s="2" t="s">
        <v>67</v>
      </c>
    </row>
    <row r="1140" spans="1:14" x14ac:dyDescent="0.3">
      <c r="A1140" s="2" t="s">
        <v>14</v>
      </c>
      <c r="B1140" s="3">
        <v>11</v>
      </c>
      <c r="C1140" s="4" t="s">
        <v>57</v>
      </c>
      <c r="D1140" s="2" t="s">
        <v>16</v>
      </c>
      <c r="E1140" s="2" t="s">
        <v>42</v>
      </c>
      <c r="F1140" s="5">
        <v>5</v>
      </c>
      <c r="G1140" s="1">
        <v>25000000</v>
      </c>
      <c r="H1140" s="2">
        <v>1</v>
      </c>
      <c r="I1140" s="6">
        <v>6.4236111111111117E-3</v>
      </c>
      <c r="J1140" s="2" t="s">
        <v>18</v>
      </c>
      <c r="K1140" s="2" t="s">
        <v>29</v>
      </c>
      <c r="L1140" s="2" t="s">
        <v>51</v>
      </c>
      <c r="M1140" s="2" t="s">
        <v>78</v>
      </c>
      <c r="N1140" s="2" t="s">
        <v>41</v>
      </c>
    </row>
    <row r="1141" spans="1:14" x14ac:dyDescent="0.3">
      <c r="A1141" s="2" t="s">
        <v>14</v>
      </c>
      <c r="B1141" s="3">
        <v>1</v>
      </c>
      <c r="C1141" s="4" t="s">
        <v>60</v>
      </c>
      <c r="D1141" s="2" t="s">
        <v>49</v>
      </c>
      <c r="E1141" s="2" t="s">
        <v>23</v>
      </c>
      <c r="F1141" s="5">
        <v>2</v>
      </c>
      <c r="G1141" s="1">
        <v>12000000</v>
      </c>
      <c r="H1141" s="2">
        <v>1</v>
      </c>
      <c r="I1141" s="6">
        <v>6.4236111111111117E-3</v>
      </c>
      <c r="J1141" s="2" t="s">
        <v>18</v>
      </c>
      <c r="K1141" s="2" t="s">
        <v>29</v>
      </c>
      <c r="L1141" s="2" t="s">
        <v>43</v>
      </c>
      <c r="M1141" s="2" t="s">
        <v>76</v>
      </c>
      <c r="N1141" s="2" t="s">
        <v>52</v>
      </c>
    </row>
    <row r="1142" spans="1:14" x14ac:dyDescent="0.3">
      <c r="A1142" s="2" t="s">
        <v>14</v>
      </c>
      <c r="B1142" s="3">
        <v>29</v>
      </c>
      <c r="C1142" s="4" t="s">
        <v>22</v>
      </c>
      <c r="D1142" s="2" t="s">
        <v>28</v>
      </c>
      <c r="E1142" s="2" t="s">
        <v>17</v>
      </c>
      <c r="F1142" s="5">
        <v>5</v>
      </c>
      <c r="G1142" s="1">
        <v>21000000</v>
      </c>
      <c r="H1142" s="2">
        <v>5</v>
      </c>
      <c r="I1142" s="6">
        <v>6.4236111111111117E-3</v>
      </c>
      <c r="J1142" s="2" t="s">
        <v>18</v>
      </c>
      <c r="K1142" s="2" t="s">
        <v>19</v>
      </c>
      <c r="L1142" s="2" t="s">
        <v>30</v>
      </c>
      <c r="M1142" s="2" t="s">
        <v>77</v>
      </c>
      <c r="N1142" s="2" t="s">
        <v>54</v>
      </c>
    </row>
    <row r="1143" spans="1:14" x14ac:dyDescent="0.3">
      <c r="A1143" s="2" t="s">
        <v>70</v>
      </c>
      <c r="B1143" s="3">
        <v>13</v>
      </c>
      <c r="C1143" s="4" t="s">
        <v>55</v>
      </c>
      <c r="D1143" s="2" t="s">
        <v>16</v>
      </c>
      <c r="E1143" s="2" t="s">
        <v>45</v>
      </c>
      <c r="F1143" s="5">
        <v>0</v>
      </c>
      <c r="G1143" s="1">
        <v>0</v>
      </c>
      <c r="H1143" s="2">
        <v>2</v>
      </c>
      <c r="I1143" s="6">
        <v>6.4236111111111117E-3</v>
      </c>
      <c r="J1143" s="2"/>
      <c r="K1143" s="2"/>
      <c r="L1143" s="2" t="s">
        <v>43</v>
      </c>
      <c r="M1143" s="2" t="s">
        <v>66</v>
      </c>
      <c r="N1143" s="2" t="s">
        <v>67</v>
      </c>
    </row>
    <row r="1144" spans="1:14" x14ac:dyDescent="0.3">
      <c r="A1144" s="2" t="s">
        <v>70</v>
      </c>
      <c r="B1144" s="3">
        <v>29</v>
      </c>
      <c r="C1144" s="4" t="s">
        <v>27</v>
      </c>
      <c r="D1144" s="2" t="s">
        <v>28</v>
      </c>
      <c r="E1144" s="2" t="s">
        <v>23</v>
      </c>
      <c r="F1144" s="5">
        <v>0</v>
      </c>
      <c r="G1144" s="1">
        <v>0</v>
      </c>
      <c r="H1144" s="2">
        <v>2</v>
      </c>
      <c r="I1144" s="6">
        <v>6.4236111111111117E-3</v>
      </c>
      <c r="J1144" s="2"/>
      <c r="K1144" s="2"/>
      <c r="L1144" s="2" t="s">
        <v>43</v>
      </c>
      <c r="M1144" s="2" t="s">
        <v>76</v>
      </c>
      <c r="N1144" s="2" t="s">
        <v>26</v>
      </c>
    </row>
    <row r="1145" spans="1:14" x14ac:dyDescent="0.3">
      <c r="A1145" s="2" t="s">
        <v>70</v>
      </c>
      <c r="B1145" s="3">
        <v>30</v>
      </c>
      <c r="C1145" s="4" t="s">
        <v>69</v>
      </c>
      <c r="D1145" s="2" t="s">
        <v>28</v>
      </c>
      <c r="E1145" s="2" t="s">
        <v>42</v>
      </c>
      <c r="F1145" s="5">
        <v>0</v>
      </c>
      <c r="G1145" s="1">
        <v>0</v>
      </c>
      <c r="H1145" s="2">
        <v>4</v>
      </c>
      <c r="I1145" s="6">
        <v>6.4236111111111117E-3</v>
      </c>
      <c r="J1145" s="2"/>
      <c r="K1145" s="2"/>
      <c r="L1145" s="2" t="s">
        <v>30</v>
      </c>
      <c r="M1145" s="2" t="s">
        <v>77</v>
      </c>
      <c r="N1145" s="2" t="s">
        <v>65</v>
      </c>
    </row>
    <row r="1146" spans="1:14" x14ac:dyDescent="0.3">
      <c r="A1146" s="2" t="s">
        <v>70</v>
      </c>
      <c r="B1146" s="3">
        <v>13</v>
      </c>
      <c r="C1146" s="4" t="s">
        <v>55</v>
      </c>
      <c r="D1146" s="2" t="s">
        <v>16</v>
      </c>
      <c r="E1146" s="2" t="s">
        <v>45</v>
      </c>
      <c r="F1146" s="5">
        <v>0</v>
      </c>
      <c r="G1146" s="1">
        <v>0</v>
      </c>
      <c r="H1146" s="2">
        <v>2</v>
      </c>
      <c r="I1146" s="6">
        <v>6.4236111111111117E-3</v>
      </c>
      <c r="J1146" s="2"/>
      <c r="K1146" s="2"/>
      <c r="L1146" s="2" t="s">
        <v>43</v>
      </c>
      <c r="M1146" s="2" t="s">
        <v>66</v>
      </c>
      <c r="N1146" s="2" t="s">
        <v>67</v>
      </c>
    </row>
    <row r="1147" spans="1:14" x14ac:dyDescent="0.3">
      <c r="A1147" s="2" t="s">
        <v>14</v>
      </c>
      <c r="B1147" s="3">
        <v>12</v>
      </c>
      <c r="C1147" s="4" t="s">
        <v>55</v>
      </c>
      <c r="D1147" s="2" t="s">
        <v>32</v>
      </c>
      <c r="E1147" s="2" t="s">
        <v>42</v>
      </c>
      <c r="F1147" s="5">
        <v>2</v>
      </c>
      <c r="G1147" s="1">
        <v>12000000</v>
      </c>
      <c r="H1147" s="2">
        <v>3</v>
      </c>
      <c r="I1147" s="6">
        <v>6.6666666666666671E-3</v>
      </c>
      <c r="J1147" s="2" t="s">
        <v>18</v>
      </c>
      <c r="K1147" s="2" t="s">
        <v>19</v>
      </c>
      <c r="L1147" s="2" t="s">
        <v>30</v>
      </c>
      <c r="M1147" s="2" t="s">
        <v>77</v>
      </c>
      <c r="N1147" s="2" t="s">
        <v>54</v>
      </c>
    </row>
    <row r="1148" spans="1:14" x14ac:dyDescent="0.3">
      <c r="A1148" s="2" t="s">
        <v>14</v>
      </c>
      <c r="B1148" s="3">
        <v>1</v>
      </c>
      <c r="C1148" s="4" t="s">
        <v>72</v>
      </c>
      <c r="D1148" s="2" t="s">
        <v>28</v>
      </c>
      <c r="E1148" s="2" t="s">
        <v>42</v>
      </c>
      <c r="F1148" s="5">
        <v>5</v>
      </c>
      <c r="G1148" s="1">
        <v>25000000</v>
      </c>
      <c r="H1148" s="2">
        <v>1</v>
      </c>
      <c r="I1148" s="6">
        <v>6.6666666666666671E-3</v>
      </c>
      <c r="J1148" s="2" t="s">
        <v>18</v>
      </c>
      <c r="K1148" s="2" t="s">
        <v>29</v>
      </c>
      <c r="L1148" s="2" t="s">
        <v>43</v>
      </c>
      <c r="M1148" s="2" t="s">
        <v>76</v>
      </c>
      <c r="N1148" s="2" t="s">
        <v>31</v>
      </c>
    </row>
    <row r="1149" spans="1:14" x14ac:dyDescent="0.3">
      <c r="A1149" s="2" t="s">
        <v>14</v>
      </c>
      <c r="B1149" s="3">
        <v>11</v>
      </c>
      <c r="C1149" s="4" t="s">
        <v>27</v>
      </c>
      <c r="D1149" s="2" t="s">
        <v>49</v>
      </c>
      <c r="E1149" s="2" t="s">
        <v>68</v>
      </c>
      <c r="F1149" s="5">
        <v>1</v>
      </c>
      <c r="G1149" s="1">
        <v>7000000</v>
      </c>
      <c r="H1149" s="2">
        <v>2</v>
      </c>
      <c r="I1149" s="6">
        <v>6.6666666666666671E-3</v>
      </c>
      <c r="J1149" s="2" t="s">
        <v>18</v>
      </c>
      <c r="K1149" s="2" t="s">
        <v>56</v>
      </c>
      <c r="L1149" s="2" t="s">
        <v>51</v>
      </c>
      <c r="M1149" s="2" t="s">
        <v>66</v>
      </c>
      <c r="N1149" s="2" t="s">
        <v>67</v>
      </c>
    </row>
    <row r="1150" spans="1:14" x14ac:dyDescent="0.3">
      <c r="A1150" s="2" t="s">
        <v>14</v>
      </c>
      <c r="B1150" s="3">
        <v>12</v>
      </c>
      <c r="C1150" s="4" t="s">
        <v>37</v>
      </c>
      <c r="D1150" s="2" t="s">
        <v>16</v>
      </c>
      <c r="E1150" s="2" t="s">
        <v>42</v>
      </c>
      <c r="F1150" s="5">
        <v>2</v>
      </c>
      <c r="G1150" s="1">
        <v>38000000</v>
      </c>
      <c r="H1150" s="2">
        <v>3</v>
      </c>
      <c r="I1150" s="6">
        <v>6.6666666666666671E-3</v>
      </c>
      <c r="J1150" s="2" t="s">
        <v>46</v>
      </c>
      <c r="K1150" s="2" t="s">
        <v>56</v>
      </c>
      <c r="L1150" s="2" t="s">
        <v>48</v>
      </c>
      <c r="M1150" s="2" t="s">
        <v>76</v>
      </c>
      <c r="N1150" s="2" t="s">
        <v>52</v>
      </c>
    </row>
    <row r="1151" spans="1:14" x14ac:dyDescent="0.3">
      <c r="A1151" s="2" t="s">
        <v>14</v>
      </c>
      <c r="B1151" s="3">
        <v>28</v>
      </c>
      <c r="C1151" s="4" t="s">
        <v>37</v>
      </c>
      <c r="D1151" s="2" t="s">
        <v>49</v>
      </c>
      <c r="E1151" s="2" t="s">
        <v>17</v>
      </c>
      <c r="F1151" s="5">
        <v>3</v>
      </c>
      <c r="G1151" s="1">
        <v>15000000</v>
      </c>
      <c r="H1151" s="2">
        <v>1</v>
      </c>
      <c r="I1151" s="6">
        <v>6.6666666666666671E-3</v>
      </c>
      <c r="J1151" s="2" t="s">
        <v>18</v>
      </c>
      <c r="K1151" s="2" t="s">
        <v>24</v>
      </c>
      <c r="L1151" s="2" t="s">
        <v>33</v>
      </c>
      <c r="M1151" s="2" t="s">
        <v>78</v>
      </c>
      <c r="N1151" s="2" t="s">
        <v>41</v>
      </c>
    </row>
    <row r="1152" spans="1:14" x14ac:dyDescent="0.3">
      <c r="A1152" s="2" t="s">
        <v>14</v>
      </c>
      <c r="B1152" s="3">
        <v>8</v>
      </c>
      <c r="C1152" s="4" t="s">
        <v>37</v>
      </c>
      <c r="D1152" s="2" t="s">
        <v>32</v>
      </c>
      <c r="E1152" s="2" t="s">
        <v>45</v>
      </c>
      <c r="F1152" s="5">
        <v>2</v>
      </c>
      <c r="G1152" s="1">
        <v>12000000</v>
      </c>
      <c r="H1152" s="2">
        <v>4</v>
      </c>
      <c r="I1152" s="6">
        <v>6.6666666666666671E-3</v>
      </c>
      <c r="J1152" s="2" t="s">
        <v>18</v>
      </c>
      <c r="K1152" s="2" t="s">
        <v>29</v>
      </c>
      <c r="L1152" s="2" t="s">
        <v>51</v>
      </c>
      <c r="M1152" s="2" t="s">
        <v>76</v>
      </c>
      <c r="N1152" s="2" t="s">
        <v>31</v>
      </c>
    </row>
    <row r="1153" spans="1:14" x14ac:dyDescent="0.3">
      <c r="A1153" s="2" t="s">
        <v>14</v>
      </c>
      <c r="B1153" s="3">
        <v>11</v>
      </c>
      <c r="C1153" s="4" t="s">
        <v>44</v>
      </c>
      <c r="D1153" s="2" t="s">
        <v>28</v>
      </c>
      <c r="E1153" s="2" t="s">
        <v>17</v>
      </c>
      <c r="F1153" s="5">
        <v>2</v>
      </c>
      <c r="G1153" s="1">
        <v>12000000</v>
      </c>
      <c r="H1153" s="2">
        <v>1</v>
      </c>
      <c r="I1153" s="6">
        <v>6.6666666666666671E-3</v>
      </c>
      <c r="J1153" s="2" t="s">
        <v>18</v>
      </c>
      <c r="K1153" s="2" t="s">
        <v>39</v>
      </c>
      <c r="L1153" s="2" t="s">
        <v>43</v>
      </c>
      <c r="M1153" s="2" t="s">
        <v>76</v>
      </c>
      <c r="N1153" s="2" t="s">
        <v>26</v>
      </c>
    </row>
    <row r="1154" spans="1:14" x14ac:dyDescent="0.3">
      <c r="A1154" s="2" t="s">
        <v>14</v>
      </c>
      <c r="B1154" s="3">
        <v>22</v>
      </c>
      <c r="C1154" s="4" t="s">
        <v>44</v>
      </c>
      <c r="D1154" s="2" t="s">
        <v>32</v>
      </c>
      <c r="E1154" s="2" t="s">
        <v>17</v>
      </c>
      <c r="F1154" s="5">
        <v>4</v>
      </c>
      <c r="G1154" s="1">
        <v>20000000</v>
      </c>
      <c r="H1154" s="2">
        <v>4</v>
      </c>
      <c r="I1154" s="6">
        <v>6.6666666666666671E-3</v>
      </c>
      <c r="J1154" s="2" t="s">
        <v>18</v>
      </c>
      <c r="K1154" s="2" t="s">
        <v>19</v>
      </c>
      <c r="L1154" s="2" t="s">
        <v>40</v>
      </c>
      <c r="M1154" s="2" t="s">
        <v>78</v>
      </c>
      <c r="N1154" s="2" t="s">
        <v>41</v>
      </c>
    </row>
    <row r="1155" spans="1:14" x14ac:dyDescent="0.3">
      <c r="A1155" s="2" t="s">
        <v>14</v>
      </c>
      <c r="B1155" s="3">
        <v>12</v>
      </c>
      <c r="C1155" s="4" t="s">
        <v>55</v>
      </c>
      <c r="D1155" s="2" t="s">
        <v>32</v>
      </c>
      <c r="E1155" s="2" t="s">
        <v>42</v>
      </c>
      <c r="F1155" s="5">
        <v>2</v>
      </c>
      <c r="G1155" s="1">
        <v>12000000</v>
      </c>
      <c r="H1155" s="2">
        <v>3</v>
      </c>
      <c r="I1155" s="6">
        <v>6.6666666666666671E-3</v>
      </c>
      <c r="J1155" s="2" t="s">
        <v>18</v>
      </c>
      <c r="K1155" s="2" t="s">
        <v>19</v>
      </c>
      <c r="L1155" s="2" t="s">
        <v>30</v>
      </c>
      <c r="M1155" s="2" t="s">
        <v>77</v>
      </c>
      <c r="N1155" s="2" t="s">
        <v>54</v>
      </c>
    </row>
    <row r="1156" spans="1:14" x14ac:dyDescent="0.3">
      <c r="A1156" s="2" t="s">
        <v>14</v>
      </c>
      <c r="B1156" s="3">
        <v>1</v>
      </c>
      <c r="C1156" s="4" t="s">
        <v>72</v>
      </c>
      <c r="D1156" s="2" t="s">
        <v>28</v>
      </c>
      <c r="E1156" s="2" t="s">
        <v>42</v>
      </c>
      <c r="F1156" s="5">
        <v>5</v>
      </c>
      <c r="G1156" s="1">
        <v>25000000</v>
      </c>
      <c r="H1156" s="2">
        <v>1</v>
      </c>
      <c r="I1156" s="6">
        <v>6.6666666666666671E-3</v>
      </c>
      <c r="J1156" s="2" t="s">
        <v>18</v>
      </c>
      <c r="K1156" s="2" t="s">
        <v>29</v>
      </c>
      <c r="L1156" s="2" t="s">
        <v>43</v>
      </c>
      <c r="M1156" s="2" t="s">
        <v>76</v>
      </c>
      <c r="N1156" s="2" t="s">
        <v>31</v>
      </c>
    </row>
    <row r="1157" spans="1:14" x14ac:dyDescent="0.3">
      <c r="A1157" s="2" t="s">
        <v>70</v>
      </c>
      <c r="B1157" s="3">
        <v>27</v>
      </c>
      <c r="C1157" s="4" t="s">
        <v>27</v>
      </c>
      <c r="D1157" s="2" t="s">
        <v>16</v>
      </c>
      <c r="E1157" s="2" t="s">
        <v>17</v>
      </c>
      <c r="F1157" s="5">
        <v>0</v>
      </c>
      <c r="G1157" s="1">
        <v>0</v>
      </c>
      <c r="H1157" s="2">
        <v>1</v>
      </c>
      <c r="I1157" s="6">
        <v>6.6666666666666671E-3</v>
      </c>
      <c r="J1157" s="2"/>
      <c r="K1157" s="2"/>
      <c r="L1157" s="2" t="s">
        <v>33</v>
      </c>
      <c r="M1157" s="2" t="s">
        <v>77</v>
      </c>
      <c r="N1157" s="2" t="s">
        <v>65</v>
      </c>
    </row>
    <row r="1158" spans="1:14" x14ac:dyDescent="0.3">
      <c r="A1158" s="2" t="s">
        <v>70</v>
      </c>
      <c r="B1158" s="3">
        <v>3</v>
      </c>
      <c r="C1158" s="4" t="s">
        <v>37</v>
      </c>
      <c r="D1158" s="2" t="s">
        <v>16</v>
      </c>
      <c r="E1158" s="2" t="s">
        <v>42</v>
      </c>
      <c r="F1158" s="5">
        <v>0</v>
      </c>
      <c r="G1158" s="1">
        <v>0</v>
      </c>
      <c r="H1158" s="2">
        <v>1</v>
      </c>
      <c r="I1158" s="6">
        <v>6.6666666666666671E-3</v>
      </c>
      <c r="J1158" s="2"/>
      <c r="K1158" s="2"/>
      <c r="L1158" s="2" t="s">
        <v>30</v>
      </c>
      <c r="M1158" s="2" t="s">
        <v>78</v>
      </c>
      <c r="N1158" s="2" t="s">
        <v>62</v>
      </c>
    </row>
    <row r="1159" spans="1:14" x14ac:dyDescent="0.3">
      <c r="A1159" s="2" t="s">
        <v>70</v>
      </c>
      <c r="B1159" s="3">
        <v>11</v>
      </c>
      <c r="C1159" s="4" t="s">
        <v>44</v>
      </c>
      <c r="D1159" s="2" t="s">
        <v>16</v>
      </c>
      <c r="E1159" s="2" t="s">
        <v>17</v>
      </c>
      <c r="F1159" s="5">
        <v>0</v>
      </c>
      <c r="G1159" s="1">
        <v>0</v>
      </c>
      <c r="H1159" s="2">
        <v>3</v>
      </c>
      <c r="I1159" s="6">
        <v>6.6666666666666671E-3</v>
      </c>
      <c r="J1159" s="2"/>
      <c r="K1159" s="2"/>
      <c r="L1159" s="2" t="s">
        <v>40</v>
      </c>
      <c r="M1159" s="2" t="s">
        <v>78</v>
      </c>
      <c r="N1159" s="2" t="s">
        <v>41</v>
      </c>
    </row>
    <row r="1160" spans="1:14" x14ac:dyDescent="0.3">
      <c r="A1160" s="2" t="s">
        <v>70</v>
      </c>
      <c r="B1160" s="3">
        <v>10</v>
      </c>
      <c r="C1160" s="4" t="s">
        <v>44</v>
      </c>
      <c r="D1160" s="2" t="s">
        <v>32</v>
      </c>
      <c r="E1160" s="2" t="s">
        <v>23</v>
      </c>
      <c r="F1160" s="5">
        <v>0</v>
      </c>
      <c r="G1160" s="1">
        <v>0</v>
      </c>
      <c r="H1160" s="2">
        <v>5</v>
      </c>
      <c r="I1160" s="6">
        <v>6.6666666666666671E-3</v>
      </c>
      <c r="J1160" s="2"/>
      <c r="K1160" s="2"/>
      <c r="L1160" s="2" t="s">
        <v>51</v>
      </c>
      <c r="M1160" s="2" t="s">
        <v>78</v>
      </c>
      <c r="N1160" s="2" t="s">
        <v>63</v>
      </c>
    </row>
    <row r="1161" spans="1:14" x14ac:dyDescent="0.3">
      <c r="A1161" s="2" t="s">
        <v>14</v>
      </c>
      <c r="B1161" s="3">
        <v>12</v>
      </c>
      <c r="C1161" s="4" t="s">
        <v>60</v>
      </c>
      <c r="D1161" s="2" t="s">
        <v>28</v>
      </c>
      <c r="E1161" s="2" t="s">
        <v>42</v>
      </c>
      <c r="F1161" s="5">
        <v>3</v>
      </c>
      <c r="G1161" s="1">
        <v>15000000</v>
      </c>
      <c r="H1161" s="2">
        <v>3</v>
      </c>
      <c r="I1161" s="6">
        <v>7.0601851851851841E-3</v>
      </c>
      <c r="J1161" s="2" t="s">
        <v>18</v>
      </c>
      <c r="K1161" s="2" t="s">
        <v>64</v>
      </c>
      <c r="L1161" s="2" t="s">
        <v>48</v>
      </c>
      <c r="M1161" s="2" t="s">
        <v>77</v>
      </c>
      <c r="N1161" s="2" t="s">
        <v>65</v>
      </c>
    </row>
    <row r="1162" spans="1:14" x14ac:dyDescent="0.3">
      <c r="A1162" s="2" t="s">
        <v>14</v>
      </c>
      <c r="B1162" s="3">
        <v>13</v>
      </c>
      <c r="C1162" s="4" t="s">
        <v>22</v>
      </c>
      <c r="D1162" s="2" t="s">
        <v>16</v>
      </c>
      <c r="E1162" s="2" t="s">
        <v>42</v>
      </c>
      <c r="F1162" s="5">
        <v>3</v>
      </c>
      <c r="G1162" s="1">
        <v>15000000</v>
      </c>
      <c r="H1162" s="2">
        <v>1</v>
      </c>
      <c r="I1162" s="6">
        <v>7.0601851851851841E-3</v>
      </c>
      <c r="J1162" s="2" t="s">
        <v>18</v>
      </c>
      <c r="K1162" s="2" t="s">
        <v>47</v>
      </c>
      <c r="L1162" s="2" t="s">
        <v>33</v>
      </c>
      <c r="M1162" s="2" t="s">
        <v>76</v>
      </c>
      <c r="N1162" s="2" t="s">
        <v>31</v>
      </c>
    </row>
    <row r="1163" spans="1:14" x14ac:dyDescent="0.3">
      <c r="A1163" s="2" t="s">
        <v>14</v>
      </c>
      <c r="B1163" s="3">
        <v>11</v>
      </c>
      <c r="C1163" s="4" t="s">
        <v>22</v>
      </c>
      <c r="D1163" s="2" t="s">
        <v>49</v>
      </c>
      <c r="E1163" s="2" t="s">
        <v>17</v>
      </c>
      <c r="F1163" s="5">
        <v>1</v>
      </c>
      <c r="G1163" s="1">
        <v>7000000</v>
      </c>
      <c r="H1163" s="2">
        <v>3</v>
      </c>
      <c r="I1163" s="6">
        <v>7.0601851851851841E-3</v>
      </c>
      <c r="J1163" s="2" t="s">
        <v>18</v>
      </c>
      <c r="K1163" s="2" t="s">
        <v>56</v>
      </c>
      <c r="L1163" s="2" t="s">
        <v>20</v>
      </c>
      <c r="M1163" s="2" t="s">
        <v>78</v>
      </c>
      <c r="N1163" s="2" t="s">
        <v>41</v>
      </c>
    </row>
    <row r="1164" spans="1:14" x14ac:dyDescent="0.3">
      <c r="A1164" s="2" t="s">
        <v>14</v>
      </c>
      <c r="B1164" s="3">
        <v>7</v>
      </c>
      <c r="C1164" s="4" t="s">
        <v>27</v>
      </c>
      <c r="D1164" s="2" t="s">
        <v>32</v>
      </c>
      <c r="E1164" s="2" t="s">
        <v>42</v>
      </c>
      <c r="F1164" s="5">
        <v>2</v>
      </c>
      <c r="G1164" s="1">
        <v>12000000</v>
      </c>
      <c r="H1164" s="2">
        <v>4</v>
      </c>
      <c r="I1164" s="6">
        <v>7.0601851851851841E-3</v>
      </c>
      <c r="J1164" s="2" t="s">
        <v>18</v>
      </c>
      <c r="K1164" s="2" t="s">
        <v>39</v>
      </c>
      <c r="L1164" s="2" t="s">
        <v>40</v>
      </c>
      <c r="M1164" s="2" t="s">
        <v>78</v>
      </c>
      <c r="N1164" s="2" t="s">
        <v>62</v>
      </c>
    </row>
    <row r="1165" spans="1:14" x14ac:dyDescent="0.3">
      <c r="A1165" s="2" t="s">
        <v>14</v>
      </c>
      <c r="B1165" s="3">
        <v>9</v>
      </c>
      <c r="C1165" s="4" t="s">
        <v>27</v>
      </c>
      <c r="D1165" s="2" t="s">
        <v>28</v>
      </c>
      <c r="E1165" s="2" t="s">
        <v>23</v>
      </c>
      <c r="F1165" s="5">
        <v>3</v>
      </c>
      <c r="G1165" s="1">
        <v>15000000</v>
      </c>
      <c r="H1165" s="2">
        <v>4</v>
      </c>
      <c r="I1165" s="6">
        <v>7.0601851851851841E-3</v>
      </c>
      <c r="J1165" s="2" t="s">
        <v>18</v>
      </c>
      <c r="K1165" s="2" t="s">
        <v>19</v>
      </c>
      <c r="L1165" s="2" t="s">
        <v>33</v>
      </c>
      <c r="M1165" s="2" t="s">
        <v>77</v>
      </c>
      <c r="N1165" s="2" t="s">
        <v>54</v>
      </c>
    </row>
    <row r="1166" spans="1:14" x14ac:dyDescent="0.3">
      <c r="A1166" s="2" t="s">
        <v>14</v>
      </c>
      <c r="B1166" s="3">
        <v>24</v>
      </c>
      <c r="C1166" s="4" t="s">
        <v>27</v>
      </c>
      <c r="D1166" s="2" t="s">
        <v>28</v>
      </c>
      <c r="E1166" s="2" t="s">
        <v>45</v>
      </c>
      <c r="F1166" s="5">
        <v>2</v>
      </c>
      <c r="G1166" s="1">
        <v>12000000</v>
      </c>
      <c r="H1166" s="2">
        <v>2</v>
      </c>
      <c r="I1166" s="6">
        <v>7.0601851851851841E-3</v>
      </c>
      <c r="J1166" s="2" t="s">
        <v>18</v>
      </c>
      <c r="K1166" s="2" t="s">
        <v>39</v>
      </c>
      <c r="L1166" s="2" t="s">
        <v>51</v>
      </c>
      <c r="M1166" s="2" t="s">
        <v>76</v>
      </c>
      <c r="N1166" s="2" t="s">
        <v>52</v>
      </c>
    </row>
    <row r="1167" spans="1:14" x14ac:dyDescent="0.3">
      <c r="A1167" s="2" t="s">
        <v>14</v>
      </c>
      <c r="B1167" s="3">
        <v>28</v>
      </c>
      <c r="C1167" s="4" t="s">
        <v>37</v>
      </c>
      <c r="D1167" s="2" t="s">
        <v>38</v>
      </c>
      <c r="E1167" s="2" t="s">
        <v>42</v>
      </c>
      <c r="F1167" s="5">
        <v>4</v>
      </c>
      <c r="G1167" s="1">
        <v>20000000</v>
      </c>
      <c r="H1167" s="2">
        <v>1</v>
      </c>
      <c r="I1167" s="6">
        <v>7.0601851851851841E-3</v>
      </c>
      <c r="J1167" s="2" t="s">
        <v>18</v>
      </c>
      <c r="K1167" s="2" t="s">
        <v>19</v>
      </c>
      <c r="L1167" s="2" t="s">
        <v>30</v>
      </c>
      <c r="M1167" s="2" t="s">
        <v>78</v>
      </c>
      <c r="N1167" s="2" t="s">
        <v>62</v>
      </c>
    </row>
    <row r="1168" spans="1:14" x14ac:dyDescent="0.3">
      <c r="A1168" s="2" t="s">
        <v>14</v>
      </c>
      <c r="B1168" s="3">
        <v>25</v>
      </c>
      <c r="C1168" s="4" t="s">
        <v>37</v>
      </c>
      <c r="D1168" s="2" t="s">
        <v>28</v>
      </c>
      <c r="E1168" s="2" t="s">
        <v>68</v>
      </c>
      <c r="F1168" s="5">
        <v>5</v>
      </c>
      <c r="G1168" s="1">
        <v>20000000</v>
      </c>
      <c r="H1168" s="2">
        <v>5</v>
      </c>
      <c r="I1168" s="6">
        <v>7.0601851851851841E-3</v>
      </c>
      <c r="J1168" s="2" t="s">
        <v>18</v>
      </c>
      <c r="K1168" s="2" t="s">
        <v>35</v>
      </c>
      <c r="L1168" s="2" t="s">
        <v>43</v>
      </c>
      <c r="M1168" s="2" t="s">
        <v>76</v>
      </c>
      <c r="N1168" s="2" t="s">
        <v>31</v>
      </c>
    </row>
    <row r="1169" spans="1:14" x14ac:dyDescent="0.3">
      <c r="A1169" s="2" t="s">
        <v>14</v>
      </c>
      <c r="B1169" s="3">
        <v>29</v>
      </c>
      <c r="C1169" s="4" t="s">
        <v>37</v>
      </c>
      <c r="D1169" s="2" t="s">
        <v>28</v>
      </c>
      <c r="E1169" s="2" t="s">
        <v>23</v>
      </c>
      <c r="F1169" s="5">
        <v>2</v>
      </c>
      <c r="G1169" s="1">
        <v>12000000</v>
      </c>
      <c r="H1169" s="2">
        <v>2</v>
      </c>
      <c r="I1169" s="6">
        <v>7.0601851851851841E-3</v>
      </c>
      <c r="J1169" s="2" t="s">
        <v>18</v>
      </c>
      <c r="K1169" s="2" t="s">
        <v>47</v>
      </c>
      <c r="L1169" s="2" t="s">
        <v>51</v>
      </c>
      <c r="M1169" s="2" t="s">
        <v>76</v>
      </c>
      <c r="N1169" s="2" t="s">
        <v>26</v>
      </c>
    </row>
    <row r="1170" spans="1:14" x14ac:dyDescent="0.3">
      <c r="A1170" s="2" t="s">
        <v>14</v>
      </c>
      <c r="B1170" s="3">
        <v>25</v>
      </c>
      <c r="C1170" s="4" t="s">
        <v>69</v>
      </c>
      <c r="D1170" s="2" t="s">
        <v>16</v>
      </c>
      <c r="E1170" s="2" t="s">
        <v>23</v>
      </c>
      <c r="F1170" s="5">
        <v>4</v>
      </c>
      <c r="G1170" s="1">
        <v>20000000</v>
      </c>
      <c r="H1170" s="2">
        <v>1</v>
      </c>
      <c r="I1170" s="6">
        <v>7.0601851851851841E-3</v>
      </c>
      <c r="J1170" s="2" t="s">
        <v>61</v>
      </c>
      <c r="K1170" s="2" t="s">
        <v>50</v>
      </c>
      <c r="L1170" s="2" t="s">
        <v>43</v>
      </c>
      <c r="M1170" s="2" t="s">
        <v>66</v>
      </c>
      <c r="N1170" s="2" t="s">
        <v>67</v>
      </c>
    </row>
    <row r="1171" spans="1:14" x14ac:dyDescent="0.3">
      <c r="A1171" s="2" t="s">
        <v>14</v>
      </c>
      <c r="B1171" s="3">
        <v>12</v>
      </c>
      <c r="C1171" s="4" t="s">
        <v>60</v>
      </c>
      <c r="D1171" s="2" t="s">
        <v>28</v>
      </c>
      <c r="E1171" s="2" t="s">
        <v>42</v>
      </c>
      <c r="F1171" s="5">
        <v>3</v>
      </c>
      <c r="G1171" s="1">
        <v>15000000</v>
      </c>
      <c r="H1171" s="2">
        <v>3</v>
      </c>
      <c r="I1171" s="6">
        <v>7.0601851851851841E-3</v>
      </c>
      <c r="J1171" s="2" t="s">
        <v>18</v>
      </c>
      <c r="K1171" s="2" t="s">
        <v>64</v>
      </c>
      <c r="L1171" s="2" t="s">
        <v>48</v>
      </c>
      <c r="M1171" s="2" t="s">
        <v>77</v>
      </c>
      <c r="N1171" s="2" t="s">
        <v>65</v>
      </c>
    </row>
    <row r="1172" spans="1:14" x14ac:dyDescent="0.3">
      <c r="A1172" s="2" t="s">
        <v>14</v>
      </c>
      <c r="B1172" s="3">
        <v>13</v>
      </c>
      <c r="C1172" s="4" t="s">
        <v>22</v>
      </c>
      <c r="D1172" s="2" t="s">
        <v>16</v>
      </c>
      <c r="E1172" s="2" t="s">
        <v>42</v>
      </c>
      <c r="F1172" s="5">
        <v>3</v>
      </c>
      <c r="G1172" s="1">
        <v>15000000</v>
      </c>
      <c r="H1172" s="2">
        <v>1</v>
      </c>
      <c r="I1172" s="6">
        <v>7.0601851851851841E-3</v>
      </c>
      <c r="J1172" s="2" t="s">
        <v>18</v>
      </c>
      <c r="K1172" s="2" t="s">
        <v>47</v>
      </c>
      <c r="L1172" s="2" t="s">
        <v>33</v>
      </c>
      <c r="M1172" s="2" t="s">
        <v>76</v>
      </c>
      <c r="N1172" s="2" t="s">
        <v>31</v>
      </c>
    </row>
    <row r="1173" spans="1:14" x14ac:dyDescent="0.3">
      <c r="A1173" s="2" t="s">
        <v>70</v>
      </c>
      <c r="B1173" s="3">
        <v>21</v>
      </c>
      <c r="C1173" s="4" t="s">
        <v>27</v>
      </c>
      <c r="D1173" s="2" t="s">
        <v>16</v>
      </c>
      <c r="E1173" s="2" t="s">
        <v>42</v>
      </c>
      <c r="F1173" s="5">
        <v>0</v>
      </c>
      <c r="G1173" s="1">
        <v>0</v>
      </c>
      <c r="H1173" s="2">
        <v>2</v>
      </c>
      <c r="I1173" s="6">
        <v>7.0601851851851841E-3</v>
      </c>
      <c r="J1173" s="2"/>
      <c r="K1173" s="2"/>
      <c r="L1173" s="2" t="s">
        <v>33</v>
      </c>
      <c r="M1173" s="2" t="s">
        <v>78</v>
      </c>
      <c r="N1173" s="2" t="s">
        <v>66</v>
      </c>
    </row>
    <row r="1174" spans="1:14" x14ac:dyDescent="0.3">
      <c r="A1174" s="2" t="s">
        <v>70</v>
      </c>
      <c r="B1174" s="3">
        <v>25</v>
      </c>
      <c r="C1174" s="4" t="s">
        <v>44</v>
      </c>
      <c r="D1174" s="2" t="s">
        <v>28</v>
      </c>
      <c r="E1174" s="2" t="s">
        <v>42</v>
      </c>
      <c r="F1174" s="5">
        <v>0</v>
      </c>
      <c r="G1174" s="1">
        <v>0</v>
      </c>
      <c r="H1174" s="2">
        <v>2</v>
      </c>
      <c r="I1174" s="6">
        <v>7.0601851851851841E-3</v>
      </c>
      <c r="J1174" s="2"/>
      <c r="K1174" s="2"/>
      <c r="L1174" s="2" t="s">
        <v>25</v>
      </c>
      <c r="M1174" s="2" t="s">
        <v>76</v>
      </c>
      <c r="N1174" s="2" t="s">
        <v>52</v>
      </c>
    </row>
    <row r="1175" spans="1:14" x14ac:dyDescent="0.3">
      <c r="A1175" s="2" t="s">
        <v>70</v>
      </c>
      <c r="B1175" s="3">
        <v>11</v>
      </c>
      <c r="C1175" s="4" t="s">
        <v>44</v>
      </c>
      <c r="D1175" s="2" t="s">
        <v>32</v>
      </c>
      <c r="E1175" s="2" t="s">
        <v>68</v>
      </c>
      <c r="F1175" s="5">
        <v>0</v>
      </c>
      <c r="G1175" s="1">
        <v>0</v>
      </c>
      <c r="H1175" s="2">
        <v>2</v>
      </c>
      <c r="I1175" s="6">
        <v>7.0601851851851841E-3</v>
      </c>
      <c r="J1175" s="2"/>
      <c r="K1175" s="2"/>
      <c r="L1175" s="2" t="s">
        <v>48</v>
      </c>
      <c r="M1175" s="2" t="s">
        <v>78</v>
      </c>
      <c r="N1175" s="2" t="s">
        <v>41</v>
      </c>
    </row>
    <row r="1176" spans="1:14" x14ac:dyDescent="0.3">
      <c r="A1176" s="2" t="s">
        <v>14</v>
      </c>
      <c r="B1176" s="3">
        <v>1</v>
      </c>
      <c r="C1176" s="4" t="s">
        <v>15</v>
      </c>
      <c r="D1176" s="2" t="s">
        <v>28</v>
      </c>
      <c r="E1176" s="2" t="s">
        <v>23</v>
      </c>
      <c r="F1176" s="5">
        <v>5</v>
      </c>
      <c r="G1176" s="1">
        <v>25000000</v>
      </c>
      <c r="H1176" s="2">
        <v>1</v>
      </c>
      <c r="I1176" s="6">
        <v>7.8703703703703713E-3</v>
      </c>
      <c r="J1176" s="2" t="s">
        <v>18</v>
      </c>
      <c r="K1176" s="2" t="s">
        <v>19</v>
      </c>
      <c r="L1176" s="2" t="s">
        <v>43</v>
      </c>
      <c r="M1176" s="2" t="s">
        <v>66</v>
      </c>
      <c r="N1176" s="2" t="s">
        <v>36</v>
      </c>
    </row>
    <row r="1177" spans="1:14" x14ac:dyDescent="0.3">
      <c r="A1177" s="2" t="s">
        <v>14</v>
      </c>
      <c r="B1177" s="3">
        <v>11</v>
      </c>
      <c r="C1177" s="4" t="s">
        <v>15</v>
      </c>
      <c r="D1177" s="2" t="s">
        <v>49</v>
      </c>
      <c r="E1177" s="2" t="s">
        <v>23</v>
      </c>
      <c r="F1177" s="5">
        <v>3</v>
      </c>
      <c r="G1177" s="1">
        <v>15000000</v>
      </c>
      <c r="H1177" s="2">
        <v>2</v>
      </c>
      <c r="I1177" s="6">
        <v>7.8703703703703713E-3</v>
      </c>
      <c r="J1177" s="2" t="s">
        <v>18</v>
      </c>
      <c r="K1177" s="2" t="s">
        <v>35</v>
      </c>
      <c r="L1177" s="2" t="s">
        <v>48</v>
      </c>
      <c r="M1177" s="2" t="s">
        <v>77</v>
      </c>
      <c r="N1177" s="2" t="s">
        <v>65</v>
      </c>
    </row>
    <row r="1178" spans="1:14" x14ac:dyDescent="0.3">
      <c r="A1178" s="2" t="s">
        <v>14</v>
      </c>
      <c r="B1178" s="3">
        <v>4</v>
      </c>
      <c r="C1178" s="4" t="s">
        <v>59</v>
      </c>
      <c r="D1178" s="2" t="s">
        <v>28</v>
      </c>
      <c r="E1178" s="2" t="s">
        <v>42</v>
      </c>
      <c r="F1178" s="5">
        <v>4</v>
      </c>
      <c r="G1178" s="1">
        <v>20000000</v>
      </c>
      <c r="H1178" s="2">
        <v>1</v>
      </c>
      <c r="I1178" s="6">
        <v>7.8703703703703713E-3</v>
      </c>
      <c r="J1178" s="2" t="s">
        <v>61</v>
      </c>
      <c r="K1178" s="2" t="s">
        <v>56</v>
      </c>
      <c r="L1178" s="2" t="s">
        <v>30</v>
      </c>
      <c r="M1178" s="2" t="s">
        <v>76</v>
      </c>
      <c r="N1178" s="2" t="s">
        <v>71</v>
      </c>
    </row>
    <row r="1179" spans="1:14" x14ac:dyDescent="0.3">
      <c r="A1179" s="2" t="s">
        <v>14</v>
      </c>
      <c r="B1179" s="3">
        <v>30</v>
      </c>
      <c r="C1179" s="4" t="s">
        <v>27</v>
      </c>
      <c r="D1179" s="2" t="s">
        <v>28</v>
      </c>
      <c r="E1179" s="2" t="s">
        <v>42</v>
      </c>
      <c r="F1179" s="5">
        <v>2</v>
      </c>
      <c r="G1179" s="1">
        <v>10000000</v>
      </c>
      <c r="H1179" s="2">
        <v>1</v>
      </c>
      <c r="I1179" s="6">
        <v>7.8703703703703713E-3</v>
      </c>
      <c r="J1179" s="2" t="s">
        <v>18</v>
      </c>
      <c r="K1179" s="2" t="s">
        <v>56</v>
      </c>
      <c r="L1179" s="2" t="s">
        <v>20</v>
      </c>
      <c r="M1179" s="2" t="s">
        <v>78</v>
      </c>
      <c r="N1179" s="2" t="s">
        <v>21</v>
      </c>
    </row>
    <row r="1180" spans="1:14" x14ac:dyDescent="0.3">
      <c r="A1180" s="2" t="s">
        <v>14</v>
      </c>
      <c r="B1180" s="3">
        <v>14</v>
      </c>
      <c r="C1180" s="4" t="s">
        <v>37</v>
      </c>
      <c r="D1180" s="2" t="s">
        <v>16</v>
      </c>
      <c r="E1180" s="2" t="s">
        <v>23</v>
      </c>
      <c r="F1180" s="5">
        <v>1</v>
      </c>
      <c r="G1180" s="1">
        <v>19000000</v>
      </c>
      <c r="H1180" s="2">
        <v>2</v>
      </c>
      <c r="I1180" s="6">
        <v>7.8703703703703713E-3</v>
      </c>
      <c r="J1180" s="2" t="s">
        <v>46</v>
      </c>
      <c r="K1180" s="2" t="s">
        <v>29</v>
      </c>
      <c r="L1180" s="2" t="s">
        <v>48</v>
      </c>
      <c r="M1180" s="2" t="s">
        <v>66</v>
      </c>
      <c r="N1180" s="2" t="s">
        <v>36</v>
      </c>
    </row>
    <row r="1181" spans="1:14" x14ac:dyDescent="0.3">
      <c r="A1181" s="2" t="s">
        <v>14</v>
      </c>
      <c r="B1181" s="3">
        <v>19</v>
      </c>
      <c r="C1181" s="4" t="s">
        <v>37</v>
      </c>
      <c r="D1181" s="2" t="s">
        <v>28</v>
      </c>
      <c r="E1181" s="2" t="s">
        <v>23</v>
      </c>
      <c r="F1181" s="5">
        <v>1</v>
      </c>
      <c r="G1181" s="1">
        <v>7000000</v>
      </c>
      <c r="H1181" s="2">
        <v>4</v>
      </c>
      <c r="I1181" s="6">
        <v>7.8703703703703713E-3</v>
      </c>
      <c r="J1181" s="2" t="s">
        <v>18</v>
      </c>
      <c r="K1181" s="2" t="s">
        <v>24</v>
      </c>
      <c r="L1181" s="2" t="s">
        <v>33</v>
      </c>
      <c r="M1181" s="2" t="s">
        <v>76</v>
      </c>
      <c r="N1181" s="2" t="s">
        <v>71</v>
      </c>
    </row>
    <row r="1182" spans="1:14" x14ac:dyDescent="0.3">
      <c r="A1182" s="2" t="s">
        <v>14</v>
      </c>
      <c r="B1182" s="3">
        <v>3</v>
      </c>
      <c r="C1182" s="4" t="s">
        <v>37</v>
      </c>
      <c r="D1182" s="2" t="s">
        <v>16</v>
      </c>
      <c r="E1182" s="2" t="s">
        <v>45</v>
      </c>
      <c r="F1182" s="5">
        <v>3</v>
      </c>
      <c r="G1182" s="1">
        <v>12000000</v>
      </c>
      <c r="H1182" s="2">
        <v>2</v>
      </c>
      <c r="I1182" s="6">
        <v>7.8703703703703713E-3</v>
      </c>
      <c r="J1182" s="2" t="s">
        <v>18</v>
      </c>
      <c r="K1182" s="2" t="s">
        <v>39</v>
      </c>
      <c r="L1182" s="2" t="s">
        <v>51</v>
      </c>
      <c r="M1182" s="2" t="s">
        <v>76</v>
      </c>
      <c r="N1182" s="2" t="s">
        <v>26</v>
      </c>
    </row>
    <row r="1183" spans="1:14" x14ac:dyDescent="0.3">
      <c r="A1183" s="2" t="s">
        <v>14</v>
      </c>
      <c r="B1183" s="3">
        <v>3</v>
      </c>
      <c r="C1183" s="4" t="s">
        <v>44</v>
      </c>
      <c r="D1183" s="2" t="s">
        <v>32</v>
      </c>
      <c r="E1183" s="2" t="s">
        <v>23</v>
      </c>
      <c r="F1183" s="5">
        <v>2</v>
      </c>
      <c r="G1183" s="1">
        <v>38000000</v>
      </c>
      <c r="H1183" s="2">
        <v>2</v>
      </c>
      <c r="I1183" s="6">
        <v>7.8703703703703713E-3</v>
      </c>
      <c r="J1183" s="2" t="s">
        <v>46</v>
      </c>
      <c r="K1183" s="2" t="s">
        <v>64</v>
      </c>
      <c r="L1183" s="2" t="s">
        <v>33</v>
      </c>
      <c r="M1183" s="2" t="s">
        <v>76</v>
      </c>
      <c r="N1183" s="2" t="s">
        <v>31</v>
      </c>
    </row>
    <row r="1184" spans="1:14" x14ac:dyDescent="0.3">
      <c r="A1184" s="2" t="s">
        <v>14</v>
      </c>
      <c r="B1184" s="3">
        <v>12</v>
      </c>
      <c r="C1184" s="4" t="s">
        <v>44</v>
      </c>
      <c r="D1184" s="2" t="s">
        <v>49</v>
      </c>
      <c r="E1184" s="2" t="s">
        <v>42</v>
      </c>
      <c r="F1184" s="5">
        <v>3</v>
      </c>
      <c r="G1184" s="1">
        <v>15000000</v>
      </c>
      <c r="H1184" s="2">
        <v>1</v>
      </c>
      <c r="I1184" s="6">
        <v>7.8703703703703713E-3</v>
      </c>
      <c r="J1184" s="2" t="s">
        <v>18</v>
      </c>
      <c r="K1184" s="2" t="s">
        <v>29</v>
      </c>
      <c r="L1184" s="2" t="s">
        <v>51</v>
      </c>
      <c r="M1184" s="2" t="s">
        <v>78</v>
      </c>
      <c r="N1184" s="2" t="s">
        <v>53</v>
      </c>
    </row>
    <row r="1185" spans="1:14" x14ac:dyDescent="0.3">
      <c r="A1185" s="2" t="s">
        <v>14</v>
      </c>
      <c r="B1185" s="3">
        <v>22</v>
      </c>
      <c r="C1185" s="4" t="s">
        <v>44</v>
      </c>
      <c r="D1185" s="2" t="s">
        <v>16</v>
      </c>
      <c r="E1185" s="2" t="s">
        <v>68</v>
      </c>
      <c r="F1185" s="5">
        <v>2</v>
      </c>
      <c r="G1185" s="1">
        <v>12000000</v>
      </c>
      <c r="H1185" s="2">
        <v>3</v>
      </c>
      <c r="I1185" s="6">
        <v>7.8703703703703713E-3</v>
      </c>
      <c r="J1185" s="2" t="s">
        <v>18</v>
      </c>
      <c r="K1185" s="2" t="s">
        <v>19</v>
      </c>
      <c r="L1185" s="2" t="s">
        <v>40</v>
      </c>
      <c r="M1185" s="2" t="s">
        <v>78</v>
      </c>
      <c r="N1185" s="2" t="s">
        <v>63</v>
      </c>
    </row>
    <row r="1186" spans="1:14" x14ac:dyDescent="0.3">
      <c r="A1186" s="2" t="s">
        <v>14</v>
      </c>
      <c r="B1186" s="3">
        <v>1</v>
      </c>
      <c r="C1186" s="4" t="s">
        <v>15</v>
      </c>
      <c r="D1186" s="2" t="s">
        <v>28</v>
      </c>
      <c r="E1186" s="2" t="s">
        <v>23</v>
      </c>
      <c r="F1186" s="5">
        <v>5</v>
      </c>
      <c r="G1186" s="1">
        <v>25000000</v>
      </c>
      <c r="H1186" s="2">
        <v>1</v>
      </c>
      <c r="I1186" s="6">
        <v>7.8703703703703713E-3</v>
      </c>
      <c r="J1186" s="2" t="s">
        <v>18</v>
      </c>
      <c r="K1186" s="2" t="s">
        <v>19</v>
      </c>
      <c r="L1186" s="2" t="s">
        <v>43</v>
      </c>
      <c r="M1186" s="2" t="s">
        <v>66</v>
      </c>
      <c r="N1186" s="2" t="s">
        <v>36</v>
      </c>
    </row>
    <row r="1187" spans="1:14" x14ac:dyDescent="0.3">
      <c r="A1187" s="2" t="s">
        <v>14</v>
      </c>
      <c r="B1187" s="3">
        <v>11</v>
      </c>
      <c r="C1187" s="4" t="s">
        <v>15</v>
      </c>
      <c r="D1187" s="2" t="s">
        <v>49</v>
      </c>
      <c r="E1187" s="2" t="s">
        <v>23</v>
      </c>
      <c r="F1187" s="5">
        <v>3</v>
      </c>
      <c r="G1187" s="1">
        <v>15000000</v>
      </c>
      <c r="H1187" s="2">
        <v>2</v>
      </c>
      <c r="I1187" s="6">
        <v>7.8703703703703713E-3</v>
      </c>
      <c r="J1187" s="2" t="s">
        <v>18</v>
      </c>
      <c r="K1187" s="2" t="s">
        <v>35</v>
      </c>
      <c r="L1187" s="2" t="s">
        <v>48</v>
      </c>
      <c r="M1187" s="2" t="s">
        <v>77</v>
      </c>
      <c r="N1187" s="2" t="s">
        <v>65</v>
      </c>
    </row>
    <row r="1188" spans="1:14" x14ac:dyDescent="0.3">
      <c r="A1188" s="2" t="s">
        <v>14</v>
      </c>
      <c r="B1188" s="3">
        <v>4</v>
      </c>
      <c r="C1188" s="4" t="s">
        <v>59</v>
      </c>
      <c r="D1188" s="2" t="s">
        <v>28</v>
      </c>
      <c r="E1188" s="2" t="s">
        <v>42</v>
      </c>
      <c r="F1188" s="5">
        <v>4</v>
      </c>
      <c r="G1188" s="1">
        <v>20000000</v>
      </c>
      <c r="H1188" s="2">
        <v>1</v>
      </c>
      <c r="I1188" s="6">
        <v>7.8703703703703713E-3</v>
      </c>
      <c r="J1188" s="2" t="s">
        <v>61</v>
      </c>
      <c r="K1188" s="2" t="s">
        <v>56</v>
      </c>
      <c r="L1188" s="2" t="s">
        <v>30</v>
      </c>
      <c r="M1188" s="2" t="s">
        <v>76</v>
      </c>
      <c r="N1188" s="2" t="s">
        <v>71</v>
      </c>
    </row>
    <row r="1189" spans="1:14" x14ac:dyDescent="0.3">
      <c r="A1189" s="2" t="s">
        <v>70</v>
      </c>
      <c r="B1189" s="3">
        <v>5</v>
      </c>
      <c r="C1189" s="4" t="s">
        <v>37</v>
      </c>
      <c r="D1189" s="2" t="s">
        <v>16</v>
      </c>
      <c r="E1189" s="2" t="s">
        <v>42</v>
      </c>
      <c r="F1189" s="5">
        <v>0</v>
      </c>
      <c r="G1189" s="1">
        <v>0</v>
      </c>
      <c r="H1189" s="2">
        <v>3</v>
      </c>
      <c r="I1189" s="6">
        <v>7.8703703703703713E-3</v>
      </c>
      <c r="J1189" s="2"/>
      <c r="K1189" s="2"/>
      <c r="L1189" s="2" t="s">
        <v>30</v>
      </c>
      <c r="M1189" s="2" t="s">
        <v>76</v>
      </c>
      <c r="N1189" s="2" t="s">
        <v>31</v>
      </c>
    </row>
    <row r="1190" spans="1:14" x14ac:dyDescent="0.3">
      <c r="A1190" s="2" t="s">
        <v>70</v>
      </c>
      <c r="B1190" s="3">
        <v>10</v>
      </c>
      <c r="C1190" s="4" t="s">
        <v>69</v>
      </c>
      <c r="D1190" s="2" t="s">
        <v>16</v>
      </c>
      <c r="E1190" s="2" t="s">
        <v>23</v>
      </c>
      <c r="F1190" s="5">
        <v>0</v>
      </c>
      <c r="G1190" s="1">
        <v>0</v>
      </c>
      <c r="H1190" s="2">
        <v>2</v>
      </c>
      <c r="I1190" s="6">
        <v>7.8703703703703713E-3</v>
      </c>
      <c r="J1190" s="2"/>
      <c r="K1190" s="2"/>
      <c r="L1190" s="2" t="s">
        <v>40</v>
      </c>
      <c r="M1190" s="2" t="s">
        <v>66</v>
      </c>
      <c r="N1190" s="2" t="s">
        <v>36</v>
      </c>
    </row>
    <row r="1191" spans="1:14" x14ac:dyDescent="0.3">
      <c r="A1191" s="2" t="s">
        <v>70</v>
      </c>
      <c r="B1191" s="3">
        <v>10</v>
      </c>
      <c r="C1191" s="4" t="s">
        <v>69</v>
      </c>
      <c r="D1191" s="2" t="s">
        <v>49</v>
      </c>
      <c r="E1191" s="2" t="s">
        <v>42</v>
      </c>
      <c r="F1191" s="5">
        <v>0</v>
      </c>
      <c r="G1191" s="1">
        <v>0</v>
      </c>
      <c r="H1191" s="2">
        <v>2</v>
      </c>
      <c r="I1191" s="6">
        <v>7.8703703703703713E-3</v>
      </c>
      <c r="J1191" s="2"/>
      <c r="K1191" s="2"/>
      <c r="L1191" s="2" t="s">
        <v>20</v>
      </c>
      <c r="M1191" s="2" t="s">
        <v>78</v>
      </c>
      <c r="N1191" s="2" t="s">
        <v>53</v>
      </c>
    </row>
    <row r="1192" spans="1:14" x14ac:dyDescent="0.3">
      <c r="A1192" s="2" t="s">
        <v>14</v>
      </c>
      <c r="B1192" s="3">
        <v>17</v>
      </c>
      <c r="C1192" s="4" t="s">
        <v>55</v>
      </c>
      <c r="D1192" s="2" t="s">
        <v>28</v>
      </c>
      <c r="E1192" s="2" t="s">
        <v>42</v>
      </c>
      <c r="F1192" s="5">
        <v>2</v>
      </c>
      <c r="G1192" s="1">
        <v>38000000</v>
      </c>
      <c r="H1192" s="2">
        <v>4</v>
      </c>
      <c r="I1192" s="6">
        <v>8.8541666666666664E-3</v>
      </c>
      <c r="J1192" s="2" t="s">
        <v>46</v>
      </c>
      <c r="K1192" s="2" t="s">
        <v>29</v>
      </c>
      <c r="L1192" s="2" t="s">
        <v>33</v>
      </c>
      <c r="M1192" s="2" t="s">
        <v>76</v>
      </c>
      <c r="N1192" s="2" t="s">
        <v>31</v>
      </c>
    </row>
    <row r="1193" spans="1:14" x14ac:dyDescent="0.3">
      <c r="A1193" s="2" t="s">
        <v>14</v>
      </c>
      <c r="B1193" s="3">
        <v>2</v>
      </c>
      <c r="C1193" s="4" t="s">
        <v>59</v>
      </c>
      <c r="D1193" s="2" t="s">
        <v>16</v>
      </c>
      <c r="E1193" s="2" t="s">
        <v>42</v>
      </c>
      <c r="F1193" s="5">
        <v>5</v>
      </c>
      <c r="G1193" s="1">
        <v>25000000</v>
      </c>
      <c r="H1193" s="2">
        <v>1</v>
      </c>
      <c r="I1193" s="6">
        <v>8.8541666666666664E-3</v>
      </c>
      <c r="J1193" s="2" t="s">
        <v>18</v>
      </c>
      <c r="K1193" s="2" t="s">
        <v>19</v>
      </c>
      <c r="L1193" s="2" t="s">
        <v>51</v>
      </c>
      <c r="M1193" s="2" t="s">
        <v>78</v>
      </c>
      <c r="N1193" s="2" t="s">
        <v>21</v>
      </c>
    </row>
    <row r="1194" spans="1:14" x14ac:dyDescent="0.3">
      <c r="A1194" s="2" t="s">
        <v>14</v>
      </c>
      <c r="B1194" s="3">
        <v>5</v>
      </c>
      <c r="C1194" s="4" t="s">
        <v>22</v>
      </c>
      <c r="D1194" s="2" t="s">
        <v>16</v>
      </c>
      <c r="E1194" s="2" t="s">
        <v>17</v>
      </c>
      <c r="F1194" s="5">
        <v>4</v>
      </c>
      <c r="G1194" s="1">
        <v>20000000</v>
      </c>
      <c r="H1194" s="2">
        <v>3</v>
      </c>
      <c r="I1194" s="6">
        <v>8.8541666666666664E-3</v>
      </c>
      <c r="J1194" s="2" t="s">
        <v>61</v>
      </c>
      <c r="K1194" s="2" t="s">
        <v>47</v>
      </c>
      <c r="L1194" s="2" t="s">
        <v>33</v>
      </c>
      <c r="M1194" s="2" t="s">
        <v>78</v>
      </c>
      <c r="N1194" s="2" t="s">
        <v>66</v>
      </c>
    </row>
    <row r="1195" spans="1:14" x14ac:dyDescent="0.3">
      <c r="A1195" s="2" t="s">
        <v>14</v>
      </c>
      <c r="B1195" s="3">
        <v>11</v>
      </c>
      <c r="C1195" s="4" t="s">
        <v>22</v>
      </c>
      <c r="D1195" s="2" t="s">
        <v>28</v>
      </c>
      <c r="E1195" s="2" t="s">
        <v>23</v>
      </c>
      <c r="F1195" s="5">
        <v>1</v>
      </c>
      <c r="G1195" s="1">
        <v>7000000</v>
      </c>
      <c r="H1195" s="2">
        <v>6</v>
      </c>
      <c r="I1195" s="6">
        <v>8.8541666666666664E-3</v>
      </c>
      <c r="J1195" s="2" t="s">
        <v>18</v>
      </c>
      <c r="K1195" s="2" t="s">
        <v>29</v>
      </c>
      <c r="L1195" s="2" t="s">
        <v>25</v>
      </c>
      <c r="M1195" s="2" t="s">
        <v>76</v>
      </c>
      <c r="N1195" s="2" t="s">
        <v>71</v>
      </c>
    </row>
    <row r="1196" spans="1:14" x14ac:dyDescent="0.3">
      <c r="A1196" s="2" t="s">
        <v>14</v>
      </c>
      <c r="B1196" s="3">
        <v>28</v>
      </c>
      <c r="C1196" s="4" t="s">
        <v>27</v>
      </c>
      <c r="D1196" s="2" t="s">
        <v>32</v>
      </c>
      <c r="E1196" s="2" t="s">
        <v>42</v>
      </c>
      <c r="F1196" s="5">
        <v>3</v>
      </c>
      <c r="G1196" s="1">
        <v>11000000</v>
      </c>
      <c r="H1196" s="2">
        <v>2</v>
      </c>
      <c r="I1196" s="6">
        <v>8.8541666666666664E-3</v>
      </c>
      <c r="J1196" s="2" t="s">
        <v>18</v>
      </c>
      <c r="K1196" s="2" t="s">
        <v>29</v>
      </c>
      <c r="L1196" s="2" t="s">
        <v>25</v>
      </c>
      <c r="M1196" s="2" t="s">
        <v>78</v>
      </c>
      <c r="N1196" s="2" t="s">
        <v>21</v>
      </c>
    </row>
    <row r="1197" spans="1:14" x14ac:dyDescent="0.3">
      <c r="A1197" s="2" t="s">
        <v>14</v>
      </c>
      <c r="B1197" s="3">
        <v>16</v>
      </c>
      <c r="C1197" s="4" t="s">
        <v>27</v>
      </c>
      <c r="D1197" s="2" t="s">
        <v>28</v>
      </c>
      <c r="E1197" s="2" t="s">
        <v>23</v>
      </c>
      <c r="F1197" s="5">
        <v>5</v>
      </c>
      <c r="G1197" s="1">
        <v>20000000</v>
      </c>
      <c r="H1197" s="2">
        <v>5</v>
      </c>
      <c r="I1197" s="6">
        <v>8.8541666666666664E-3</v>
      </c>
      <c r="J1197" s="2" t="s">
        <v>18</v>
      </c>
      <c r="K1197" s="2" t="s">
        <v>19</v>
      </c>
      <c r="L1197" s="2" t="s">
        <v>40</v>
      </c>
      <c r="M1197" s="2" t="s">
        <v>77</v>
      </c>
      <c r="N1197" s="2" t="s">
        <v>65</v>
      </c>
    </row>
    <row r="1198" spans="1:14" x14ac:dyDescent="0.3">
      <c r="A1198" s="2" t="s">
        <v>14</v>
      </c>
      <c r="B1198" s="3">
        <v>30</v>
      </c>
      <c r="C1198" s="4" t="s">
        <v>27</v>
      </c>
      <c r="D1198" s="2" t="s">
        <v>49</v>
      </c>
      <c r="E1198" s="2" t="s">
        <v>17</v>
      </c>
      <c r="F1198" s="5">
        <v>2</v>
      </c>
      <c r="G1198" s="1">
        <v>10000000</v>
      </c>
      <c r="H1198" s="2">
        <v>1</v>
      </c>
      <c r="I1198" s="6">
        <v>8.8541666666666664E-3</v>
      </c>
      <c r="J1198" s="2" t="s">
        <v>18</v>
      </c>
      <c r="K1198" s="2" t="s">
        <v>19</v>
      </c>
      <c r="L1198" s="2" t="s">
        <v>48</v>
      </c>
      <c r="M1198" s="2" t="s">
        <v>66</v>
      </c>
      <c r="N1198" s="2" t="s">
        <v>67</v>
      </c>
    </row>
    <row r="1199" spans="1:14" x14ac:dyDescent="0.3">
      <c r="A1199" s="2" t="s">
        <v>14</v>
      </c>
      <c r="B1199" s="3">
        <v>8</v>
      </c>
      <c r="C1199" s="4" t="s">
        <v>37</v>
      </c>
      <c r="D1199" s="2" t="s">
        <v>28</v>
      </c>
      <c r="E1199" s="2" t="s">
        <v>42</v>
      </c>
      <c r="F1199" s="5">
        <v>1</v>
      </c>
      <c r="G1199" s="1">
        <v>19000000</v>
      </c>
      <c r="H1199" s="2">
        <v>4</v>
      </c>
      <c r="I1199" s="6">
        <v>8.8541666666666664E-3</v>
      </c>
      <c r="J1199" s="2" t="s">
        <v>46</v>
      </c>
      <c r="K1199" s="2" t="s">
        <v>19</v>
      </c>
      <c r="L1199" s="2" t="s">
        <v>43</v>
      </c>
      <c r="M1199" s="2" t="s">
        <v>66</v>
      </c>
      <c r="N1199" s="2" t="s">
        <v>67</v>
      </c>
    </row>
    <row r="1200" spans="1:14" x14ac:dyDescent="0.3">
      <c r="A1200" s="2" t="s">
        <v>14</v>
      </c>
      <c r="B1200" s="3">
        <v>17</v>
      </c>
      <c r="C1200" s="4" t="s">
        <v>55</v>
      </c>
      <c r="D1200" s="2" t="s">
        <v>28</v>
      </c>
      <c r="E1200" s="2" t="s">
        <v>42</v>
      </c>
      <c r="F1200" s="5">
        <v>2</v>
      </c>
      <c r="G1200" s="1">
        <v>38000000</v>
      </c>
      <c r="H1200" s="2">
        <v>4</v>
      </c>
      <c r="I1200" s="6">
        <v>8.8541666666666664E-3</v>
      </c>
      <c r="J1200" s="2" t="s">
        <v>46</v>
      </c>
      <c r="K1200" s="2" t="s">
        <v>29</v>
      </c>
      <c r="L1200" s="2" t="s">
        <v>33</v>
      </c>
      <c r="M1200" s="2" t="s">
        <v>76</v>
      </c>
      <c r="N1200" s="2" t="s">
        <v>31</v>
      </c>
    </row>
    <row r="1201" spans="1:14" x14ac:dyDescent="0.3">
      <c r="A1201" s="2" t="s">
        <v>14</v>
      </c>
      <c r="B1201" s="3">
        <v>2</v>
      </c>
      <c r="C1201" s="4" t="s">
        <v>59</v>
      </c>
      <c r="D1201" s="2" t="s">
        <v>16</v>
      </c>
      <c r="E1201" s="2" t="s">
        <v>42</v>
      </c>
      <c r="F1201" s="5">
        <v>5</v>
      </c>
      <c r="G1201" s="1">
        <v>25000000</v>
      </c>
      <c r="H1201" s="2">
        <v>1</v>
      </c>
      <c r="I1201" s="6">
        <v>8.8541666666666664E-3</v>
      </c>
      <c r="J1201" s="2" t="s">
        <v>18</v>
      </c>
      <c r="K1201" s="2" t="s">
        <v>19</v>
      </c>
      <c r="L1201" s="2" t="s">
        <v>51</v>
      </c>
      <c r="M1201" s="2" t="s">
        <v>78</v>
      </c>
      <c r="N1201" s="2" t="s">
        <v>21</v>
      </c>
    </row>
    <row r="1202" spans="1:14" x14ac:dyDescent="0.3">
      <c r="A1202" s="2" t="s">
        <v>14</v>
      </c>
      <c r="B1202" s="3">
        <v>5</v>
      </c>
      <c r="C1202" s="4" t="s">
        <v>22</v>
      </c>
      <c r="D1202" s="2" t="s">
        <v>16</v>
      </c>
      <c r="E1202" s="2" t="s">
        <v>17</v>
      </c>
      <c r="F1202" s="5">
        <v>4</v>
      </c>
      <c r="G1202" s="1">
        <v>20000000</v>
      </c>
      <c r="H1202" s="2">
        <v>3</v>
      </c>
      <c r="I1202" s="6">
        <v>8.8541666666666664E-3</v>
      </c>
      <c r="J1202" s="2" t="s">
        <v>61</v>
      </c>
      <c r="K1202" s="2" t="s">
        <v>47</v>
      </c>
      <c r="L1202" s="2" t="s">
        <v>33</v>
      </c>
      <c r="M1202" s="2" t="s">
        <v>78</v>
      </c>
      <c r="N1202" s="2" t="s">
        <v>66</v>
      </c>
    </row>
    <row r="1203" spans="1:14" x14ac:dyDescent="0.3">
      <c r="A1203" s="2" t="s">
        <v>70</v>
      </c>
      <c r="B1203" s="3">
        <v>22</v>
      </c>
      <c r="C1203" s="4" t="s">
        <v>27</v>
      </c>
      <c r="D1203" s="2" t="s">
        <v>38</v>
      </c>
      <c r="E1203" s="2" t="s">
        <v>23</v>
      </c>
      <c r="F1203" s="5">
        <v>0</v>
      </c>
      <c r="G1203" s="1">
        <v>0</v>
      </c>
      <c r="H1203" s="2">
        <v>3</v>
      </c>
      <c r="I1203" s="6">
        <v>8.8541666666666664E-3</v>
      </c>
      <c r="J1203" s="2"/>
      <c r="K1203" s="2"/>
      <c r="L1203" s="2" t="s">
        <v>30</v>
      </c>
      <c r="M1203" s="2" t="s">
        <v>76</v>
      </c>
      <c r="N1203" s="2" t="s">
        <v>31</v>
      </c>
    </row>
    <row r="1204" spans="1:14" x14ac:dyDescent="0.3">
      <c r="A1204" s="2" t="s">
        <v>70</v>
      </c>
      <c r="B1204" s="3">
        <v>25</v>
      </c>
      <c r="C1204" s="4" t="s">
        <v>37</v>
      </c>
      <c r="D1204" s="2" t="s">
        <v>38</v>
      </c>
      <c r="E1204" s="2" t="s">
        <v>23</v>
      </c>
      <c r="F1204" s="5">
        <v>0</v>
      </c>
      <c r="G1204" s="1">
        <v>0</v>
      </c>
      <c r="H1204" s="2">
        <v>5</v>
      </c>
      <c r="I1204" s="6">
        <v>8.8541666666666664E-3</v>
      </c>
      <c r="J1204" s="2"/>
      <c r="K1204" s="2"/>
      <c r="L1204" s="2" t="s">
        <v>43</v>
      </c>
      <c r="M1204" s="2" t="s">
        <v>78</v>
      </c>
      <c r="N1204" s="2" t="s">
        <v>21</v>
      </c>
    </row>
    <row r="1205" spans="1:14" x14ac:dyDescent="0.3">
      <c r="A1205" s="2" t="s">
        <v>70</v>
      </c>
      <c r="B1205" s="3">
        <v>16</v>
      </c>
      <c r="C1205" s="4" t="s">
        <v>44</v>
      </c>
      <c r="D1205" s="2" t="s">
        <v>16</v>
      </c>
      <c r="E1205" s="2" t="s">
        <v>42</v>
      </c>
      <c r="F1205" s="5">
        <v>0</v>
      </c>
      <c r="G1205" s="1">
        <v>0</v>
      </c>
      <c r="H1205" s="2">
        <v>3</v>
      </c>
      <c r="I1205" s="6">
        <v>8.8541666666666664E-3</v>
      </c>
      <c r="J1205" s="2"/>
      <c r="K1205" s="2"/>
      <c r="L1205" s="2" t="s">
        <v>33</v>
      </c>
      <c r="M1205" s="2" t="s">
        <v>66</v>
      </c>
      <c r="N1205" s="2" t="s">
        <v>67</v>
      </c>
    </row>
    <row r="1206" spans="1:14" x14ac:dyDescent="0.3">
      <c r="A1206" s="2" t="s">
        <v>70</v>
      </c>
      <c r="B1206" s="3">
        <v>30</v>
      </c>
      <c r="C1206" s="4" t="s">
        <v>44</v>
      </c>
      <c r="D1206" s="2" t="s">
        <v>32</v>
      </c>
      <c r="E1206" s="2" t="s">
        <v>42</v>
      </c>
      <c r="F1206" s="5">
        <v>0</v>
      </c>
      <c r="G1206" s="1">
        <v>0</v>
      </c>
      <c r="H1206" s="2">
        <v>5</v>
      </c>
      <c r="I1206" s="6">
        <v>8.8541666666666664E-3</v>
      </c>
      <c r="J1206" s="2"/>
      <c r="K1206" s="2"/>
      <c r="L1206" s="2" t="s">
        <v>48</v>
      </c>
      <c r="M1206" s="2" t="s">
        <v>76</v>
      </c>
      <c r="N1206" s="2" t="s">
        <v>52</v>
      </c>
    </row>
    <row r="1207" spans="1:14" x14ac:dyDescent="0.3">
      <c r="A1207" s="2" t="s">
        <v>70</v>
      </c>
      <c r="B1207" s="3">
        <v>1</v>
      </c>
      <c r="C1207" s="4" t="s">
        <v>69</v>
      </c>
      <c r="D1207" s="2" t="s">
        <v>28</v>
      </c>
      <c r="E1207" s="2" t="s">
        <v>17</v>
      </c>
      <c r="F1207" s="5">
        <v>0</v>
      </c>
      <c r="G1207" s="1">
        <v>0</v>
      </c>
      <c r="H1207" s="2">
        <v>2</v>
      </c>
      <c r="I1207" s="6">
        <v>8.8541666666666664E-3</v>
      </c>
      <c r="J1207" s="2"/>
      <c r="K1207" s="2"/>
      <c r="L1207" s="2" t="s">
        <v>25</v>
      </c>
      <c r="M1207" s="2" t="s">
        <v>76</v>
      </c>
      <c r="N1207" s="2" t="s">
        <v>26</v>
      </c>
    </row>
    <row r="1208" spans="1:14" x14ac:dyDescent="0.3">
      <c r="A1208" s="2" t="s">
        <v>14</v>
      </c>
      <c r="B1208" s="3">
        <v>13</v>
      </c>
      <c r="C1208" s="4" t="s">
        <v>57</v>
      </c>
      <c r="D1208" s="2" t="s">
        <v>32</v>
      </c>
      <c r="E1208" s="2" t="s">
        <v>17</v>
      </c>
      <c r="F1208" s="5">
        <v>1</v>
      </c>
      <c r="G1208" s="1">
        <v>7000000</v>
      </c>
      <c r="H1208" s="2">
        <v>6</v>
      </c>
      <c r="I1208" s="6">
        <v>8.9699074074074073E-3</v>
      </c>
      <c r="J1208" s="2" t="s">
        <v>18</v>
      </c>
      <c r="K1208" s="2" t="s">
        <v>47</v>
      </c>
      <c r="L1208" s="2" t="s">
        <v>33</v>
      </c>
      <c r="M1208" s="2" t="s">
        <v>66</v>
      </c>
      <c r="N1208" s="2" t="s">
        <v>36</v>
      </c>
    </row>
    <row r="1209" spans="1:14" x14ac:dyDescent="0.3">
      <c r="A1209" s="2" t="s">
        <v>14</v>
      </c>
      <c r="B1209" s="3">
        <v>10</v>
      </c>
      <c r="C1209" s="4" t="s">
        <v>15</v>
      </c>
      <c r="D1209" s="2" t="s">
        <v>49</v>
      </c>
      <c r="E1209" s="2" t="s">
        <v>17</v>
      </c>
      <c r="F1209" s="5">
        <v>3</v>
      </c>
      <c r="G1209" s="1">
        <v>15000000</v>
      </c>
      <c r="H1209" s="2">
        <v>1</v>
      </c>
      <c r="I1209" s="6">
        <v>8.9699074074074073E-3</v>
      </c>
      <c r="J1209" s="2" t="s">
        <v>18</v>
      </c>
      <c r="K1209" s="2" t="s">
        <v>56</v>
      </c>
      <c r="L1209" s="2" t="s">
        <v>30</v>
      </c>
      <c r="M1209" s="2" t="s">
        <v>78</v>
      </c>
      <c r="N1209" s="2" t="s">
        <v>62</v>
      </c>
    </row>
    <row r="1210" spans="1:14" x14ac:dyDescent="0.3">
      <c r="A1210" s="2" t="s">
        <v>14</v>
      </c>
      <c r="B1210" s="3">
        <v>9</v>
      </c>
      <c r="C1210" s="4" t="s">
        <v>72</v>
      </c>
      <c r="D1210" s="2" t="s">
        <v>16</v>
      </c>
      <c r="E1210" s="2" t="s">
        <v>42</v>
      </c>
      <c r="F1210" s="5">
        <v>4</v>
      </c>
      <c r="G1210" s="1">
        <v>11000000</v>
      </c>
      <c r="H1210" s="2">
        <v>1</v>
      </c>
      <c r="I1210" s="6">
        <v>8.9699074074074073E-3</v>
      </c>
      <c r="J1210" s="2" t="s">
        <v>61</v>
      </c>
      <c r="K1210" s="2" t="s">
        <v>19</v>
      </c>
      <c r="L1210" s="2" t="s">
        <v>33</v>
      </c>
      <c r="M1210" s="2" t="s">
        <v>78</v>
      </c>
      <c r="N1210" s="2" t="s">
        <v>63</v>
      </c>
    </row>
    <row r="1211" spans="1:14" x14ac:dyDescent="0.3">
      <c r="A1211" s="2" t="s">
        <v>14</v>
      </c>
      <c r="B1211" s="3">
        <v>21</v>
      </c>
      <c r="C1211" s="4" t="s">
        <v>27</v>
      </c>
      <c r="D1211" s="2" t="s">
        <v>16</v>
      </c>
      <c r="E1211" s="2" t="s">
        <v>23</v>
      </c>
      <c r="F1211" s="5">
        <v>2</v>
      </c>
      <c r="G1211" s="1">
        <v>38000000</v>
      </c>
      <c r="H1211" s="2">
        <v>3</v>
      </c>
      <c r="I1211" s="6">
        <v>8.9699074074074073E-3</v>
      </c>
      <c r="J1211" s="2" t="s">
        <v>46</v>
      </c>
      <c r="K1211" s="2" t="s">
        <v>39</v>
      </c>
      <c r="L1211" s="2" t="s">
        <v>25</v>
      </c>
      <c r="M1211" s="2" t="s">
        <v>76</v>
      </c>
      <c r="N1211" s="2" t="s">
        <v>52</v>
      </c>
    </row>
    <row r="1212" spans="1:14" x14ac:dyDescent="0.3">
      <c r="A1212" s="2" t="s">
        <v>14</v>
      </c>
      <c r="B1212" s="3">
        <v>30</v>
      </c>
      <c r="C1212" s="4" t="s">
        <v>27</v>
      </c>
      <c r="D1212" s="2" t="s">
        <v>38</v>
      </c>
      <c r="E1212" s="2" t="s">
        <v>42</v>
      </c>
      <c r="F1212" s="5">
        <v>3</v>
      </c>
      <c r="G1212" s="1">
        <v>15000000</v>
      </c>
      <c r="H1212" s="2">
        <v>5</v>
      </c>
      <c r="I1212" s="6">
        <v>8.9699074074074073E-3</v>
      </c>
      <c r="J1212" s="2" t="s">
        <v>18</v>
      </c>
      <c r="K1212" s="2" t="s">
        <v>19</v>
      </c>
      <c r="L1212" s="2" t="s">
        <v>51</v>
      </c>
      <c r="M1212" s="2" t="s">
        <v>76</v>
      </c>
      <c r="N1212" s="2" t="s">
        <v>75</v>
      </c>
    </row>
    <row r="1213" spans="1:14" x14ac:dyDescent="0.3">
      <c r="A1213" s="2" t="s">
        <v>14</v>
      </c>
      <c r="B1213" s="3">
        <v>13</v>
      </c>
      <c r="C1213" s="4" t="s">
        <v>37</v>
      </c>
      <c r="D1213" s="2" t="s">
        <v>16</v>
      </c>
      <c r="E1213" s="2" t="s">
        <v>42</v>
      </c>
      <c r="F1213" s="5">
        <v>2</v>
      </c>
      <c r="G1213" s="1">
        <v>38000000</v>
      </c>
      <c r="H1213" s="2">
        <v>1</v>
      </c>
      <c r="I1213" s="6">
        <v>8.9699074074074073E-3</v>
      </c>
      <c r="J1213" s="2" t="s">
        <v>46</v>
      </c>
      <c r="K1213" s="2" t="s">
        <v>50</v>
      </c>
      <c r="L1213" s="2" t="s">
        <v>51</v>
      </c>
      <c r="M1213" s="2" t="s">
        <v>66</v>
      </c>
      <c r="N1213" s="2" t="s">
        <v>67</v>
      </c>
    </row>
    <row r="1214" spans="1:14" x14ac:dyDescent="0.3">
      <c r="A1214" s="2" t="s">
        <v>14</v>
      </c>
      <c r="B1214" s="3">
        <v>2</v>
      </c>
      <c r="C1214" s="4" t="s">
        <v>37</v>
      </c>
      <c r="D1214" s="2" t="s">
        <v>16</v>
      </c>
      <c r="E1214" s="2" t="s">
        <v>23</v>
      </c>
      <c r="F1214" s="5">
        <v>2</v>
      </c>
      <c r="G1214" s="1">
        <v>10000000</v>
      </c>
      <c r="H1214" s="2">
        <v>5</v>
      </c>
      <c r="I1214" s="6">
        <v>8.9699074074074073E-3</v>
      </c>
      <c r="J1214" s="2" t="s">
        <v>18</v>
      </c>
      <c r="K1214" s="2" t="s">
        <v>19</v>
      </c>
      <c r="L1214" s="2" t="s">
        <v>30</v>
      </c>
      <c r="M1214" s="2" t="s">
        <v>78</v>
      </c>
      <c r="N1214" s="2" t="s">
        <v>53</v>
      </c>
    </row>
    <row r="1215" spans="1:14" x14ac:dyDescent="0.3">
      <c r="A1215" s="2" t="s">
        <v>14</v>
      </c>
      <c r="B1215" s="3">
        <v>4</v>
      </c>
      <c r="C1215" s="4" t="s">
        <v>37</v>
      </c>
      <c r="D1215" s="2" t="s">
        <v>28</v>
      </c>
      <c r="E1215" s="2" t="s">
        <v>23</v>
      </c>
      <c r="F1215" s="5">
        <v>4</v>
      </c>
      <c r="G1215" s="1">
        <v>20000000</v>
      </c>
      <c r="H1215" s="2">
        <v>2</v>
      </c>
      <c r="I1215" s="6">
        <v>8.9699074074074073E-3</v>
      </c>
      <c r="J1215" s="2" t="s">
        <v>18</v>
      </c>
      <c r="K1215" s="2" t="s">
        <v>29</v>
      </c>
      <c r="L1215" s="2" t="s">
        <v>30</v>
      </c>
      <c r="M1215" s="2" t="s">
        <v>77</v>
      </c>
      <c r="N1215" s="2" t="s">
        <v>54</v>
      </c>
    </row>
    <row r="1216" spans="1:14" x14ac:dyDescent="0.3">
      <c r="A1216" s="2" t="s">
        <v>14</v>
      </c>
      <c r="B1216" s="3">
        <v>6</v>
      </c>
      <c r="C1216" s="4" t="s">
        <v>37</v>
      </c>
      <c r="D1216" s="2" t="s">
        <v>38</v>
      </c>
      <c r="E1216" s="2" t="s">
        <v>45</v>
      </c>
      <c r="F1216" s="5">
        <v>2</v>
      </c>
      <c r="G1216" s="1">
        <v>12000000</v>
      </c>
      <c r="H1216" s="2">
        <v>2</v>
      </c>
      <c r="I1216" s="6">
        <v>8.9699074074074073E-3</v>
      </c>
      <c r="J1216" s="2" t="s">
        <v>18</v>
      </c>
      <c r="K1216" s="2" t="s">
        <v>56</v>
      </c>
      <c r="L1216" s="2" t="s">
        <v>30</v>
      </c>
      <c r="M1216" s="2" t="s">
        <v>76</v>
      </c>
      <c r="N1216" s="2" t="s">
        <v>26</v>
      </c>
    </row>
    <row r="1217" spans="1:14" x14ac:dyDescent="0.3">
      <c r="A1217" s="2" t="s">
        <v>14</v>
      </c>
      <c r="B1217" s="3">
        <v>23</v>
      </c>
      <c r="C1217" s="4" t="s">
        <v>37</v>
      </c>
      <c r="D1217" s="2" t="s">
        <v>73</v>
      </c>
      <c r="E1217" s="2" t="s">
        <v>17</v>
      </c>
      <c r="F1217" s="5">
        <v>3</v>
      </c>
      <c r="G1217" s="1">
        <v>15000000</v>
      </c>
      <c r="H1217" s="2">
        <v>1</v>
      </c>
      <c r="I1217" s="6">
        <v>8.9699074074074073E-3</v>
      </c>
      <c r="J1217" s="2" t="s">
        <v>18</v>
      </c>
      <c r="K1217" s="2" t="s">
        <v>35</v>
      </c>
      <c r="L1217" s="2" t="s">
        <v>51</v>
      </c>
      <c r="M1217" s="2" t="s">
        <v>78</v>
      </c>
      <c r="N1217" s="2" t="s">
        <v>66</v>
      </c>
    </row>
    <row r="1218" spans="1:14" x14ac:dyDescent="0.3">
      <c r="A1218" s="2" t="s">
        <v>14</v>
      </c>
      <c r="B1218" s="3">
        <v>8</v>
      </c>
      <c r="C1218" s="4" t="s">
        <v>37</v>
      </c>
      <c r="D1218" s="2" t="s">
        <v>38</v>
      </c>
      <c r="E1218" s="2" t="s">
        <v>42</v>
      </c>
      <c r="F1218" s="5">
        <v>2</v>
      </c>
      <c r="G1218" s="1">
        <v>12000000</v>
      </c>
      <c r="H1218" s="2">
        <v>2</v>
      </c>
      <c r="I1218" s="6">
        <v>8.9699074074074073E-3</v>
      </c>
      <c r="J1218" s="2" t="s">
        <v>18</v>
      </c>
      <c r="K1218" s="2" t="s">
        <v>39</v>
      </c>
      <c r="L1218" s="2" t="s">
        <v>40</v>
      </c>
      <c r="M1218" s="2" t="s">
        <v>78</v>
      </c>
      <c r="N1218" s="2" t="s">
        <v>21</v>
      </c>
    </row>
    <row r="1219" spans="1:14" x14ac:dyDescent="0.3">
      <c r="A1219" s="2" t="s">
        <v>14</v>
      </c>
      <c r="B1219" s="3">
        <v>1</v>
      </c>
      <c r="C1219" s="4" t="s">
        <v>37</v>
      </c>
      <c r="D1219" s="2" t="s">
        <v>28</v>
      </c>
      <c r="E1219" s="2" t="s">
        <v>23</v>
      </c>
      <c r="F1219" s="5">
        <v>2</v>
      </c>
      <c r="G1219" s="1">
        <v>12000000</v>
      </c>
      <c r="H1219" s="2">
        <v>2</v>
      </c>
      <c r="I1219" s="6">
        <v>8.9699074074074073E-3</v>
      </c>
      <c r="J1219" s="2" t="s">
        <v>18</v>
      </c>
      <c r="K1219" s="2" t="s">
        <v>19</v>
      </c>
      <c r="L1219" s="2" t="s">
        <v>43</v>
      </c>
      <c r="M1219" s="2" t="s">
        <v>76</v>
      </c>
      <c r="N1219" s="2" t="s">
        <v>26</v>
      </c>
    </row>
    <row r="1220" spans="1:14" x14ac:dyDescent="0.3">
      <c r="A1220" s="2" t="s">
        <v>14</v>
      </c>
      <c r="B1220" s="3">
        <v>20</v>
      </c>
      <c r="C1220" s="4" t="s">
        <v>37</v>
      </c>
      <c r="D1220" s="2" t="s">
        <v>38</v>
      </c>
      <c r="E1220" s="2" t="s">
        <v>23</v>
      </c>
      <c r="F1220" s="5">
        <v>5</v>
      </c>
      <c r="G1220" s="1">
        <v>21000000</v>
      </c>
      <c r="H1220" s="2">
        <v>2</v>
      </c>
      <c r="I1220" s="6">
        <v>8.9699074074074073E-3</v>
      </c>
      <c r="J1220" s="2" t="s">
        <v>18</v>
      </c>
      <c r="K1220" s="2" t="s">
        <v>56</v>
      </c>
      <c r="L1220" s="2" t="s">
        <v>43</v>
      </c>
      <c r="M1220" s="2" t="s">
        <v>78</v>
      </c>
      <c r="N1220" s="2" t="s">
        <v>53</v>
      </c>
    </row>
    <row r="1221" spans="1:14" x14ac:dyDescent="0.3">
      <c r="A1221" s="2" t="s">
        <v>14</v>
      </c>
      <c r="B1221" s="3">
        <v>11</v>
      </c>
      <c r="C1221" s="4" t="s">
        <v>44</v>
      </c>
      <c r="D1221" s="2" t="s">
        <v>32</v>
      </c>
      <c r="E1221" s="2" t="s">
        <v>42</v>
      </c>
      <c r="F1221" s="5">
        <v>2</v>
      </c>
      <c r="G1221" s="1">
        <v>12000000</v>
      </c>
      <c r="H1221" s="2">
        <v>1</v>
      </c>
      <c r="I1221" s="6">
        <v>8.9699074074074073E-3</v>
      </c>
      <c r="J1221" s="2" t="s">
        <v>18</v>
      </c>
      <c r="K1221" s="2" t="s">
        <v>29</v>
      </c>
      <c r="L1221" s="2" t="s">
        <v>20</v>
      </c>
      <c r="M1221" s="2" t="s">
        <v>78</v>
      </c>
      <c r="N1221" s="2" t="s">
        <v>21</v>
      </c>
    </row>
    <row r="1222" spans="1:14" x14ac:dyDescent="0.3">
      <c r="A1222" s="2" t="s">
        <v>14</v>
      </c>
      <c r="B1222" s="3">
        <v>3</v>
      </c>
      <c r="C1222" s="4" t="s">
        <v>44</v>
      </c>
      <c r="D1222" s="2" t="s">
        <v>73</v>
      </c>
      <c r="E1222" s="2" t="s">
        <v>42</v>
      </c>
      <c r="F1222" s="5">
        <v>5</v>
      </c>
      <c r="G1222" s="1">
        <v>25000000</v>
      </c>
      <c r="H1222" s="2">
        <v>1</v>
      </c>
      <c r="I1222" s="6">
        <v>8.9699074074074073E-3</v>
      </c>
      <c r="J1222" s="2" t="s">
        <v>18</v>
      </c>
      <c r="K1222" s="2" t="s">
        <v>24</v>
      </c>
      <c r="L1222" s="2" t="s">
        <v>43</v>
      </c>
      <c r="M1222" s="2" t="s">
        <v>76</v>
      </c>
      <c r="N1222" s="2" t="s">
        <v>52</v>
      </c>
    </row>
    <row r="1223" spans="1:14" x14ac:dyDescent="0.3">
      <c r="A1223" s="2" t="s">
        <v>14</v>
      </c>
      <c r="B1223" s="3">
        <v>30</v>
      </c>
      <c r="C1223" s="4" t="s">
        <v>69</v>
      </c>
      <c r="D1223" s="2" t="s">
        <v>38</v>
      </c>
      <c r="E1223" s="2" t="s">
        <v>23</v>
      </c>
      <c r="F1223" s="5">
        <v>1</v>
      </c>
      <c r="G1223" s="1">
        <v>19000000</v>
      </c>
      <c r="H1223" s="2">
        <v>2</v>
      </c>
      <c r="I1223" s="6">
        <v>8.9699074074074073E-3</v>
      </c>
      <c r="J1223" s="2" t="s">
        <v>46</v>
      </c>
      <c r="K1223" s="2" t="s">
        <v>29</v>
      </c>
      <c r="L1223" s="2" t="s">
        <v>48</v>
      </c>
      <c r="M1223" s="2" t="s">
        <v>76</v>
      </c>
      <c r="N1223" s="2" t="s">
        <v>75</v>
      </c>
    </row>
    <row r="1224" spans="1:14" x14ac:dyDescent="0.3">
      <c r="A1224" s="2" t="s">
        <v>14</v>
      </c>
      <c r="B1224" s="3">
        <v>28</v>
      </c>
      <c r="C1224" s="4" t="s">
        <v>69</v>
      </c>
      <c r="D1224" s="2" t="s">
        <v>38</v>
      </c>
      <c r="E1224" s="2" t="s">
        <v>17</v>
      </c>
      <c r="F1224" s="5">
        <v>4</v>
      </c>
      <c r="G1224" s="1">
        <v>20000000</v>
      </c>
      <c r="H1224" s="2">
        <v>1</v>
      </c>
      <c r="I1224" s="6">
        <v>8.9699074074074073E-3</v>
      </c>
      <c r="J1224" s="2" t="s">
        <v>61</v>
      </c>
      <c r="K1224" s="2" t="s">
        <v>29</v>
      </c>
      <c r="L1224" s="2" t="s">
        <v>33</v>
      </c>
      <c r="M1224" s="2" t="s">
        <v>66</v>
      </c>
      <c r="N1224" s="2" t="s">
        <v>36</v>
      </c>
    </row>
    <row r="1225" spans="1:14" x14ac:dyDescent="0.3">
      <c r="A1225" s="2" t="s">
        <v>14</v>
      </c>
      <c r="B1225" s="3">
        <v>1</v>
      </c>
      <c r="C1225" s="4" t="s">
        <v>69</v>
      </c>
      <c r="D1225" s="2" t="s">
        <v>16</v>
      </c>
      <c r="E1225" s="2" t="s">
        <v>42</v>
      </c>
      <c r="F1225" s="5">
        <v>5</v>
      </c>
      <c r="G1225" s="1">
        <v>25000000</v>
      </c>
      <c r="H1225" s="2">
        <v>3</v>
      </c>
      <c r="I1225" s="6">
        <v>8.9699074074074073E-3</v>
      </c>
      <c r="J1225" s="2" t="s">
        <v>18</v>
      </c>
      <c r="K1225" s="2" t="s">
        <v>24</v>
      </c>
      <c r="L1225" s="2" t="s">
        <v>30</v>
      </c>
      <c r="M1225" s="2" t="s">
        <v>66</v>
      </c>
      <c r="N1225" s="2" t="s">
        <v>36</v>
      </c>
    </row>
    <row r="1226" spans="1:14" x14ac:dyDescent="0.3">
      <c r="A1226" s="2" t="s">
        <v>14</v>
      </c>
      <c r="B1226" s="3">
        <v>30</v>
      </c>
      <c r="C1226" s="4" t="s">
        <v>69</v>
      </c>
      <c r="D1226" s="2" t="s">
        <v>28</v>
      </c>
      <c r="E1226" s="2" t="s">
        <v>42</v>
      </c>
      <c r="F1226" s="5">
        <v>1</v>
      </c>
      <c r="G1226" s="1">
        <v>7000000</v>
      </c>
      <c r="H1226" s="2">
        <v>1</v>
      </c>
      <c r="I1226" s="6">
        <v>8.9699074074074073E-3</v>
      </c>
      <c r="J1226" s="2" t="s">
        <v>18</v>
      </c>
      <c r="K1226" s="2" t="s">
        <v>56</v>
      </c>
      <c r="L1226" s="2" t="s">
        <v>30</v>
      </c>
      <c r="M1226" s="2" t="s">
        <v>78</v>
      </c>
      <c r="N1226" s="2" t="s">
        <v>62</v>
      </c>
    </row>
    <row r="1227" spans="1:14" x14ac:dyDescent="0.3">
      <c r="A1227" s="2" t="s">
        <v>14</v>
      </c>
      <c r="B1227" s="3">
        <v>13</v>
      </c>
      <c r="C1227" s="4" t="s">
        <v>57</v>
      </c>
      <c r="D1227" s="2" t="s">
        <v>32</v>
      </c>
      <c r="E1227" s="2" t="s">
        <v>17</v>
      </c>
      <c r="F1227" s="5">
        <v>1</v>
      </c>
      <c r="G1227" s="1">
        <v>7000000</v>
      </c>
      <c r="H1227" s="2">
        <v>6</v>
      </c>
      <c r="I1227" s="6">
        <v>8.9699074074074073E-3</v>
      </c>
      <c r="J1227" s="2" t="s">
        <v>18</v>
      </c>
      <c r="K1227" s="2" t="s">
        <v>47</v>
      </c>
      <c r="L1227" s="2" t="s">
        <v>33</v>
      </c>
      <c r="M1227" s="2" t="s">
        <v>66</v>
      </c>
      <c r="N1227" s="2" t="s">
        <v>36</v>
      </c>
    </row>
    <row r="1228" spans="1:14" x14ac:dyDescent="0.3">
      <c r="A1228" s="2" t="s">
        <v>14</v>
      </c>
      <c r="B1228" s="3">
        <v>10</v>
      </c>
      <c r="C1228" s="4" t="s">
        <v>15</v>
      </c>
      <c r="D1228" s="2" t="s">
        <v>49</v>
      </c>
      <c r="E1228" s="2" t="s">
        <v>17</v>
      </c>
      <c r="F1228" s="5">
        <v>3</v>
      </c>
      <c r="G1228" s="1">
        <v>15000000</v>
      </c>
      <c r="H1228" s="2">
        <v>1</v>
      </c>
      <c r="I1228" s="6">
        <v>8.9699074074074073E-3</v>
      </c>
      <c r="J1228" s="2" t="s">
        <v>18</v>
      </c>
      <c r="K1228" s="2" t="s">
        <v>56</v>
      </c>
      <c r="L1228" s="2" t="s">
        <v>30</v>
      </c>
      <c r="M1228" s="2" t="s">
        <v>78</v>
      </c>
      <c r="N1228" s="2" t="s">
        <v>62</v>
      </c>
    </row>
    <row r="1229" spans="1:14" x14ac:dyDescent="0.3">
      <c r="A1229" s="2" t="s">
        <v>14</v>
      </c>
      <c r="B1229" s="3">
        <v>9</v>
      </c>
      <c r="C1229" s="4" t="s">
        <v>72</v>
      </c>
      <c r="D1229" s="2" t="s">
        <v>16</v>
      </c>
      <c r="E1229" s="2" t="s">
        <v>42</v>
      </c>
      <c r="F1229" s="5">
        <v>4</v>
      </c>
      <c r="G1229" s="1">
        <v>11000000</v>
      </c>
      <c r="H1229" s="2">
        <v>1</v>
      </c>
      <c r="I1229" s="6">
        <v>8.9699074074074073E-3</v>
      </c>
      <c r="J1229" s="2" t="s">
        <v>61</v>
      </c>
      <c r="K1229" s="2" t="s">
        <v>19</v>
      </c>
      <c r="L1229" s="2" t="s">
        <v>33</v>
      </c>
      <c r="M1229" s="2" t="s">
        <v>78</v>
      </c>
      <c r="N1229" s="2" t="s">
        <v>63</v>
      </c>
    </row>
    <row r="1230" spans="1:14" x14ac:dyDescent="0.3">
      <c r="A1230" s="2" t="s">
        <v>70</v>
      </c>
      <c r="B1230" s="3">
        <v>11</v>
      </c>
      <c r="C1230" s="4" t="s">
        <v>57</v>
      </c>
      <c r="D1230" s="2" t="s">
        <v>32</v>
      </c>
      <c r="E1230" s="2" t="s">
        <v>23</v>
      </c>
      <c r="F1230" s="5">
        <v>0</v>
      </c>
      <c r="G1230" s="1">
        <v>0</v>
      </c>
      <c r="H1230" s="2">
        <v>2</v>
      </c>
      <c r="I1230" s="6">
        <v>8.9699074074074073E-3</v>
      </c>
      <c r="J1230" s="2"/>
      <c r="K1230" s="2"/>
      <c r="L1230" s="2" t="s">
        <v>48</v>
      </c>
      <c r="M1230" s="2" t="s">
        <v>76</v>
      </c>
      <c r="N1230" s="2" t="s">
        <v>52</v>
      </c>
    </row>
    <row r="1231" spans="1:14" x14ac:dyDescent="0.3">
      <c r="A1231" s="2" t="s">
        <v>70</v>
      </c>
      <c r="B1231" s="3">
        <v>12</v>
      </c>
      <c r="C1231" s="4" t="s">
        <v>58</v>
      </c>
      <c r="D1231" s="2" t="s">
        <v>16</v>
      </c>
      <c r="E1231" s="2" t="s">
        <v>23</v>
      </c>
      <c r="F1231" s="5">
        <v>0</v>
      </c>
      <c r="G1231" s="1">
        <v>0</v>
      </c>
      <c r="H1231" s="2">
        <v>2</v>
      </c>
      <c r="I1231" s="6">
        <v>8.9699074074074073E-3</v>
      </c>
      <c r="J1231" s="2"/>
      <c r="K1231" s="2"/>
      <c r="L1231" s="2" t="s">
        <v>48</v>
      </c>
      <c r="M1231" s="2" t="s">
        <v>77</v>
      </c>
      <c r="N1231" s="2" t="s">
        <v>54</v>
      </c>
    </row>
    <row r="1232" spans="1:14" x14ac:dyDescent="0.3">
      <c r="A1232" s="2" t="s">
        <v>70</v>
      </c>
      <c r="B1232" s="3">
        <v>30</v>
      </c>
      <c r="C1232" s="4" t="s">
        <v>27</v>
      </c>
      <c r="D1232" s="2" t="s">
        <v>32</v>
      </c>
      <c r="E1232" s="2" t="s">
        <v>68</v>
      </c>
      <c r="F1232" s="5">
        <v>0</v>
      </c>
      <c r="G1232" s="1">
        <v>0</v>
      </c>
      <c r="H1232" s="2">
        <v>2</v>
      </c>
      <c r="I1232" s="6">
        <v>8.9699074074074073E-3</v>
      </c>
      <c r="J1232" s="2"/>
      <c r="K1232" s="2"/>
      <c r="L1232" s="2" t="s">
        <v>51</v>
      </c>
      <c r="M1232" s="2" t="s">
        <v>78</v>
      </c>
      <c r="N1232" s="2" t="s">
        <v>21</v>
      </c>
    </row>
    <row r="1233" spans="1:14" x14ac:dyDescent="0.3">
      <c r="A1233" s="2" t="s">
        <v>70</v>
      </c>
      <c r="B1233" s="3">
        <v>14</v>
      </c>
      <c r="C1233" s="4" t="s">
        <v>37</v>
      </c>
      <c r="D1233" s="2" t="s">
        <v>73</v>
      </c>
      <c r="E1233" s="2" t="s">
        <v>45</v>
      </c>
      <c r="F1233" s="5">
        <v>0</v>
      </c>
      <c r="G1233" s="1">
        <v>0</v>
      </c>
      <c r="H1233" s="2">
        <v>2</v>
      </c>
      <c r="I1233" s="6">
        <v>8.9699074074074073E-3</v>
      </c>
      <c r="J1233" s="2"/>
      <c r="K1233" s="2"/>
      <c r="L1233" s="2" t="s">
        <v>20</v>
      </c>
      <c r="M1233" s="2" t="s">
        <v>77</v>
      </c>
      <c r="N1233" s="2" t="s">
        <v>54</v>
      </c>
    </row>
    <row r="1234" spans="1:14" x14ac:dyDescent="0.3">
      <c r="A1234" s="2" t="s">
        <v>70</v>
      </c>
      <c r="B1234" s="3">
        <v>18</v>
      </c>
      <c r="C1234" s="4" t="s">
        <v>44</v>
      </c>
      <c r="D1234" s="2" t="s">
        <v>32</v>
      </c>
      <c r="E1234" s="2" t="s">
        <v>23</v>
      </c>
      <c r="F1234" s="5">
        <v>0</v>
      </c>
      <c r="G1234" s="1">
        <v>0</v>
      </c>
      <c r="H1234" s="2">
        <v>2</v>
      </c>
      <c r="I1234" s="6">
        <v>8.9699074074074073E-3</v>
      </c>
      <c r="J1234" s="2"/>
      <c r="K1234" s="2"/>
      <c r="L1234" s="2" t="s">
        <v>30</v>
      </c>
      <c r="M1234" s="2" t="s">
        <v>66</v>
      </c>
      <c r="N1234" s="2" t="s">
        <v>36</v>
      </c>
    </row>
    <row r="1235" spans="1:14" x14ac:dyDescent="0.3">
      <c r="A1235" s="2" t="s">
        <v>70</v>
      </c>
      <c r="B1235" s="3">
        <v>24</v>
      </c>
      <c r="C1235" s="4" t="s">
        <v>44</v>
      </c>
      <c r="D1235" s="2" t="s">
        <v>38</v>
      </c>
      <c r="E1235" s="2" t="s">
        <v>42</v>
      </c>
      <c r="F1235" s="5">
        <v>0</v>
      </c>
      <c r="G1235" s="1">
        <v>0</v>
      </c>
      <c r="H1235" s="2">
        <v>2</v>
      </c>
      <c r="I1235" s="6">
        <v>8.9699074074074073E-3</v>
      </c>
      <c r="J1235" s="2"/>
      <c r="K1235" s="2"/>
      <c r="L1235" s="2" t="s">
        <v>20</v>
      </c>
      <c r="M1235" s="2" t="s">
        <v>76</v>
      </c>
      <c r="N1235" s="2" t="s">
        <v>26</v>
      </c>
    </row>
    <row r="1236" spans="1:14" x14ac:dyDescent="0.3">
      <c r="A1236" s="2" t="s">
        <v>70</v>
      </c>
      <c r="B1236" s="3">
        <v>9</v>
      </c>
      <c r="C1236" s="4" t="s">
        <v>69</v>
      </c>
      <c r="D1236" s="2" t="s">
        <v>16</v>
      </c>
      <c r="E1236" s="2" t="s">
        <v>23</v>
      </c>
      <c r="F1236" s="5">
        <v>0</v>
      </c>
      <c r="G1236" s="1">
        <v>0</v>
      </c>
      <c r="H1236" s="2">
        <v>1</v>
      </c>
      <c r="I1236" s="6">
        <v>8.9699074074074073E-3</v>
      </c>
      <c r="J1236" s="2"/>
      <c r="K1236" s="2"/>
      <c r="L1236" s="2" t="s">
        <v>40</v>
      </c>
      <c r="M1236" s="2" t="s">
        <v>76</v>
      </c>
      <c r="N1236" s="2" t="s">
        <v>52</v>
      </c>
    </row>
    <row r="1237" spans="1:14" x14ac:dyDescent="0.3">
      <c r="A1237" s="2" t="s">
        <v>70</v>
      </c>
      <c r="B1237" s="3">
        <v>11</v>
      </c>
      <c r="C1237" s="4" t="s">
        <v>57</v>
      </c>
      <c r="D1237" s="2" t="s">
        <v>32</v>
      </c>
      <c r="E1237" s="2" t="s">
        <v>23</v>
      </c>
      <c r="F1237" s="5">
        <v>0</v>
      </c>
      <c r="G1237" s="1">
        <v>0</v>
      </c>
      <c r="H1237" s="2">
        <v>2</v>
      </c>
      <c r="I1237" s="6">
        <v>8.9699074074074073E-3</v>
      </c>
      <c r="J1237" s="2"/>
      <c r="K1237" s="2"/>
      <c r="L1237" s="2" t="s">
        <v>48</v>
      </c>
      <c r="M1237" s="2" t="s">
        <v>76</v>
      </c>
      <c r="N1237" s="2" t="s">
        <v>52</v>
      </c>
    </row>
    <row r="1238" spans="1:14" x14ac:dyDescent="0.3">
      <c r="A1238" s="2" t="s">
        <v>70</v>
      </c>
      <c r="B1238" s="3">
        <v>12</v>
      </c>
      <c r="C1238" s="4" t="s">
        <v>58</v>
      </c>
      <c r="D1238" s="2" t="s">
        <v>16</v>
      </c>
      <c r="E1238" s="2" t="s">
        <v>23</v>
      </c>
      <c r="F1238" s="5">
        <v>0</v>
      </c>
      <c r="G1238" s="1">
        <v>0</v>
      </c>
      <c r="H1238" s="2">
        <v>2</v>
      </c>
      <c r="I1238" s="6">
        <v>8.9699074074074073E-3</v>
      </c>
      <c r="J1238" s="2"/>
      <c r="K1238" s="2"/>
      <c r="L1238" s="2" t="s">
        <v>48</v>
      </c>
      <c r="M1238" s="2" t="s">
        <v>77</v>
      </c>
      <c r="N1238" s="2"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82E2-1664-436C-9445-FFB0C4C29417}">
  <sheetPr>
    <tabColor rgb="FF00B050"/>
  </sheetPr>
  <dimension ref="A1:O1239"/>
  <sheetViews>
    <sheetView showGridLines="0" showRowColHeaders="0" workbookViewId="0"/>
  </sheetViews>
  <sheetFormatPr defaultColWidth="10.59765625" defaultRowHeight="21" customHeight="1" x14ac:dyDescent="0.3"/>
  <cols>
    <col min="1" max="1" width="6" customWidth="1"/>
    <col min="2" max="14" width="15" customWidth="1"/>
    <col min="15" max="15" width="14.8984375" customWidth="1"/>
  </cols>
  <sheetData>
    <row r="1" spans="1:15" ht="33" customHeight="1" x14ac:dyDescent="0.3">
      <c r="A1" s="17"/>
    </row>
    <row r="2" spans="1:15" s="7" customFormat="1" ht="36.9" customHeight="1" x14ac:dyDescent="0.3">
      <c r="A2" s="18"/>
      <c r="B2" s="10" t="s">
        <v>0</v>
      </c>
      <c r="C2" s="10" t="s">
        <v>1</v>
      </c>
      <c r="D2" s="10" t="s">
        <v>2</v>
      </c>
      <c r="E2" s="11" t="s">
        <v>3</v>
      </c>
      <c r="F2" s="10" t="s">
        <v>4</v>
      </c>
      <c r="G2" s="10" t="s">
        <v>5</v>
      </c>
      <c r="H2" s="10" t="s">
        <v>6</v>
      </c>
      <c r="I2" s="11" t="s">
        <v>7</v>
      </c>
      <c r="J2" s="11" t="s">
        <v>8</v>
      </c>
      <c r="K2" s="10" t="s">
        <v>9</v>
      </c>
      <c r="L2" s="10" t="s">
        <v>10</v>
      </c>
      <c r="M2" s="10" t="s">
        <v>11</v>
      </c>
      <c r="N2" s="10" t="s">
        <v>12</v>
      </c>
      <c r="O2" s="10" t="s">
        <v>13</v>
      </c>
    </row>
    <row r="3" spans="1:15" ht="21" customHeight="1" x14ac:dyDescent="0.3">
      <c r="A3" s="17"/>
      <c r="B3" s="2" t="s">
        <v>14</v>
      </c>
      <c r="C3" s="3">
        <v>1</v>
      </c>
      <c r="D3" s="4" t="s">
        <v>15</v>
      </c>
      <c r="E3" s="2" t="s">
        <v>16</v>
      </c>
      <c r="F3" s="2" t="s">
        <v>17</v>
      </c>
      <c r="G3" s="5">
        <v>1</v>
      </c>
      <c r="H3" s="20">
        <v>7000000</v>
      </c>
      <c r="I3" s="2">
        <v>3</v>
      </c>
      <c r="J3" s="6">
        <v>1.3888888888888889E-3</v>
      </c>
      <c r="K3" s="2" t="s">
        <v>18</v>
      </c>
      <c r="L3" s="2" t="s">
        <v>19</v>
      </c>
      <c r="M3" s="2" t="s">
        <v>20</v>
      </c>
      <c r="N3" s="2" t="s">
        <v>78</v>
      </c>
      <c r="O3" s="2" t="s">
        <v>21</v>
      </c>
    </row>
    <row r="4" spans="1:15" ht="21" customHeight="1" x14ac:dyDescent="0.3">
      <c r="A4" s="17"/>
      <c r="B4" s="12" t="s">
        <v>14</v>
      </c>
      <c r="C4" s="13">
        <v>10</v>
      </c>
      <c r="D4" s="14" t="s">
        <v>22</v>
      </c>
      <c r="E4" s="12" t="s">
        <v>16</v>
      </c>
      <c r="F4" s="12" t="s">
        <v>23</v>
      </c>
      <c r="G4" s="15">
        <v>3</v>
      </c>
      <c r="H4" s="21">
        <v>11000000</v>
      </c>
      <c r="I4" s="12">
        <v>1</v>
      </c>
      <c r="J4" s="16">
        <v>1.3888888888888889E-3</v>
      </c>
      <c r="K4" s="12" t="s">
        <v>18</v>
      </c>
      <c r="L4" s="12" t="s">
        <v>24</v>
      </c>
      <c r="M4" s="12" t="s">
        <v>25</v>
      </c>
      <c r="N4" s="12" t="s">
        <v>76</v>
      </c>
      <c r="O4" s="12" t="s">
        <v>26</v>
      </c>
    </row>
    <row r="5" spans="1:15" ht="21" customHeight="1" x14ac:dyDescent="0.3">
      <c r="A5" s="17"/>
      <c r="B5" s="2" t="s">
        <v>14</v>
      </c>
      <c r="C5" s="3">
        <v>20</v>
      </c>
      <c r="D5" s="4" t="s">
        <v>27</v>
      </c>
      <c r="E5" s="2" t="s">
        <v>28</v>
      </c>
      <c r="F5" s="2" t="s">
        <v>17</v>
      </c>
      <c r="G5" s="5">
        <v>2</v>
      </c>
      <c r="H5" s="20">
        <v>12000000</v>
      </c>
      <c r="I5" s="2">
        <v>3</v>
      </c>
      <c r="J5" s="6">
        <v>1.3888888888888889E-3</v>
      </c>
      <c r="K5" s="2" t="s">
        <v>18</v>
      </c>
      <c r="L5" s="2" t="s">
        <v>29</v>
      </c>
      <c r="M5" s="2" t="s">
        <v>30</v>
      </c>
      <c r="N5" s="2" t="s">
        <v>76</v>
      </c>
      <c r="O5" s="2" t="s">
        <v>31</v>
      </c>
    </row>
    <row r="6" spans="1:15" ht="21" customHeight="1" x14ac:dyDescent="0.3">
      <c r="A6" s="17"/>
      <c r="B6" s="12" t="s">
        <v>14</v>
      </c>
      <c r="C6" s="13">
        <v>23</v>
      </c>
      <c r="D6" s="14" t="s">
        <v>27</v>
      </c>
      <c r="E6" s="12" t="s">
        <v>32</v>
      </c>
      <c r="F6" s="12" t="s">
        <v>17</v>
      </c>
      <c r="G6" s="15">
        <v>4</v>
      </c>
      <c r="H6" s="21">
        <v>15000000</v>
      </c>
      <c r="I6" s="12">
        <v>1</v>
      </c>
      <c r="J6" s="16">
        <v>1.3888888888888889E-3</v>
      </c>
      <c r="K6" s="12" t="s">
        <v>18</v>
      </c>
      <c r="L6" s="12" t="s">
        <v>29</v>
      </c>
      <c r="M6" s="12" t="s">
        <v>33</v>
      </c>
      <c r="N6" s="12" t="s">
        <v>77</v>
      </c>
      <c r="O6" s="12" t="s">
        <v>34</v>
      </c>
    </row>
    <row r="7" spans="1:15" ht="21" customHeight="1" x14ac:dyDescent="0.3">
      <c r="A7" s="17"/>
      <c r="B7" s="2" t="s">
        <v>14</v>
      </c>
      <c r="C7" s="3">
        <v>11</v>
      </c>
      <c r="D7" s="4" t="s">
        <v>27</v>
      </c>
      <c r="E7" s="2" t="s">
        <v>16</v>
      </c>
      <c r="F7" s="2" t="s">
        <v>17</v>
      </c>
      <c r="G7" s="5">
        <v>5</v>
      </c>
      <c r="H7" s="20">
        <v>25000000</v>
      </c>
      <c r="I7" s="2">
        <v>2</v>
      </c>
      <c r="J7" s="6">
        <v>1.3888888888888889E-3</v>
      </c>
      <c r="K7" s="2" t="s">
        <v>18</v>
      </c>
      <c r="L7" s="2" t="s">
        <v>35</v>
      </c>
      <c r="M7" s="2" t="s">
        <v>25</v>
      </c>
      <c r="N7" s="2" t="s">
        <v>66</v>
      </c>
      <c r="O7" s="2" t="s">
        <v>36</v>
      </c>
    </row>
    <row r="8" spans="1:15" ht="21" customHeight="1" x14ac:dyDescent="0.3">
      <c r="A8" s="17"/>
      <c r="B8" s="12" t="s">
        <v>14</v>
      </c>
      <c r="C8" s="13">
        <v>2</v>
      </c>
      <c r="D8" s="14" t="s">
        <v>37</v>
      </c>
      <c r="E8" s="12" t="s">
        <v>38</v>
      </c>
      <c r="F8" s="12" t="s">
        <v>23</v>
      </c>
      <c r="G8" s="15">
        <v>3</v>
      </c>
      <c r="H8" s="21">
        <v>12000000</v>
      </c>
      <c r="I8" s="12">
        <v>1</v>
      </c>
      <c r="J8" s="16">
        <v>1.3888888888888889E-3</v>
      </c>
      <c r="K8" s="12" t="s">
        <v>18</v>
      </c>
      <c r="L8" s="12" t="s">
        <v>39</v>
      </c>
      <c r="M8" s="12" t="s">
        <v>40</v>
      </c>
      <c r="N8" s="12" t="s">
        <v>78</v>
      </c>
      <c r="O8" s="12" t="s">
        <v>41</v>
      </c>
    </row>
    <row r="9" spans="1:15" ht="21" customHeight="1" x14ac:dyDescent="0.3">
      <c r="A9" s="17"/>
      <c r="B9" s="2" t="s">
        <v>14</v>
      </c>
      <c r="C9" s="3">
        <v>6</v>
      </c>
      <c r="D9" s="4" t="s">
        <v>37</v>
      </c>
      <c r="E9" s="2" t="s">
        <v>38</v>
      </c>
      <c r="F9" s="2" t="s">
        <v>42</v>
      </c>
      <c r="G9" s="5">
        <v>5</v>
      </c>
      <c r="H9" s="20">
        <v>20000000</v>
      </c>
      <c r="I9" s="2">
        <v>2</v>
      </c>
      <c r="J9" s="6">
        <v>1.3888888888888889E-3</v>
      </c>
      <c r="K9" s="2" t="s">
        <v>18</v>
      </c>
      <c r="L9" s="2" t="s">
        <v>19</v>
      </c>
      <c r="M9" s="2" t="s">
        <v>43</v>
      </c>
      <c r="N9" s="2" t="s">
        <v>66</v>
      </c>
      <c r="O9" s="2" t="s">
        <v>36</v>
      </c>
    </row>
    <row r="10" spans="1:15" ht="21" customHeight="1" x14ac:dyDescent="0.3">
      <c r="A10" s="17"/>
      <c r="B10" s="12" t="s">
        <v>14</v>
      </c>
      <c r="C10" s="13">
        <v>26</v>
      </c>
      <c r="D10" s="14" t="s">
        <v>44</v>
      </c>
      <c r="E10" s="12" t="s">
        <v>32</v>
      </c>
      <c r="F10" s="12" t="s">
        <v>45</v>
      </c>
      <c r="G10" s="15">
        <v>1</v>
      </c>
      <c r="H10" s="21">
        <v>19000000</v>
      </c>
      <c r="I10" s="12">
        <v>2</v>
      </c>
      <c r="J10" s="16">
        <v>1.3888888888888889E-3</v>
      </c>
      <c r="K10" s="12" t="s">
        <v>46</v>
      </c>
      <c r="L10" s="12" t="s">
        <v>47</v>
      </c>
      <c r="M10" s="12" t="s">
        <v>33</v>
      </c>
      <c r="N10" s="12" t="s">
        <v>78</v>
      </c>
      <c r="O10" s="12" t="s">
        <v>41</v>
      </c>
    </row>
    <row r="11" spans="1:15" ht="21" customHeight="1" x14ac:dyDescent="0.3">
      <c r="A11" s="17"/>
      <c r="B11" s="2" t="s">
        <v>14</v>
      </c>
      <c r="C11" s="3">
        <v>15</v>
      </c>
      <c r="D11" s="4" t="s">
        <v>44</v>
      </c>
      <c r="E11" s="2" t="s">
        <v>38</v>
      </c>
      <c r="F11" s="2" t="s">
        <v>42</v>
      </c>
      <c r="G11" s="5">
        <v>2</v>
      </c>
      <c r="H11" s="20">
        <v>38000000</v>
      </c>
      <c r="I11" s="2">
        <v>2</v>
      </c>
      <c r="J11" s="6">
        <v>1.3888888888888889E-3</v>
      </c>
      <c r="K11" s="2" t="s">
        <v>46</v>
      </c>
      <c r="L11" s="2" t="s">
        <v>39</v>
      </c>
      <c r="M11" s="2" t="s">
        <v>48</v>
      </c>
      <c r="N11" s="2" t="s">
        <v>76</v>
      </c>
      <c r="O11" s="2" t="s">
        <v>26</v>
      </c>
    </row>
    <row r="12" spans="1:15" ht="21" customHeight="1" x14ac:dyDescent="0.3">
      <c r="A12" s="17"/>
      <c r="B12" s="12" t="s">
        <v>14</v>
      </c>
      <c r="C12" s="13">
        <v>17</v>
      </c>
      <c r="D12" s="14" t="s">
        <v>44</v>
      </c>
      <c r="E12" s="12" t="s">
        <v>49</v>
      </c>
      <c r="F12" s="12" t="s">
        <v>23</v>
      </c>
      <c r="G12" s="15">
        <v>2</v>
      </c>
      <c r="H12" s="21">
        <v>12000000</v>
      </c>
      <c r="I12" s="12">
        <v>2</v>
      </c>
      <c r="J12" s="16">
        <v>1.3888888888888889E-3</v>
      </c>
      <c r="K12" s="12" t="s">
        <v>18</v>
      </c>
      <c r="L12" s="12" t="s">
        <v>50</v>
      </c>
      <c r="M12" s="12" t="s">
        <v>51</v>
      </c>
      <c r="N12" s="12" t="s">
        <v>76</v>
      </c>
      <c r="O12" s="12" t="s">
        <v>52</v>
      </c>
    </row>
    <row r="13" spans="1:15" ht="21" customHeight="1" x14ac:dyDescent="0.3">
      <c r="A13" s="17"/>
      <c r="B13" s="2" t="s">
        <v>14</v>
      </c>
      <c r="C13" s="3">
        <v>1</v>
      </c>
      <c r="D13" s="4" t="s">
        <v>15</v>
      </c>
      <c r="E13" s="2" t="s">
        <v>16</v>
      </c>
      <c r="F13" s="2" t="s">
        <v>17</v>
      </c>
      <c r="G13" s="5">
        <v>1</v>
      </c>
      <c r="H13" s="20">
        <v>7000000</v>
      </c>
      <c r="I13" s="2">
        <v>3</v>
      </c>
      <c r="J13" s="6">
        <v>1.3888888888888889E-3</v>
      </c>
      <c r="K13" s="2" t="s">
        <v>18</v>
      </c>
      <c r="L13" s="2" t="s">
        <v>19</v>
      </c>
      <c r="M13" s="2" t="s">
        <v>20</v>
      </c>
      <c r="N13" s="2" t="s">
        <v>78</v>
      </c>
      <c r="O13" s="2" t="s">
        <v>21</v>
      </c>
    </row>
    <row r="14" spans="1:15" ht="21" customHeight="1" x14ac:dyDescent="0.3">
      <c r="A14" s="17"/>
      <c r="B14" s="12" t="s">
        <v>14</v>
      </c>
      <c r="C14" s="13">
        <v>2</v>
      </c>
      <c r="D14" s="14" t="s">
        <v>37</v>
      </c>
      <c r="E14" s="12" t="s">
        <v>38</v>
      </c>
      <c r="F14" s="12" t="s">
        <v>23</v>
      </c>
      <c r="G14" s="15">
        <v>3</v>
      </c>
      <c r="H14" s="21">
        <v>12000000</v>
      </c>
      <c r="I14" s="12">
        <v>1</v>
      </c>
      <c r="J14" s="16">
        <v>1.3888888888888889E-3</v>
      </c>
      <c r="K14" s="12" t="s">
        <v>18</v>
      </c>
      <c r="L14" s="12" t="s">
        <v>39</v>
      </c>
      <c r="M14" s="12" t="s">
        <v>40</v>
      </c>
      <c r="N14" s="12" t="s">
        <v>78</v>
      </c>
      <c r="O14" s="12" t="s">
        <v>26</v>
      </c>
    </row>
    <row r="15" spans="1:15" ht="21" customHeight="1" x14ac:dyDescent="0.3">
      <c r="A15" s="17"/>
      <c r="B15" s="2" t="s">
        <v>14</v>
      </c>
      <c r="C15" s="3">
        <v>6</v>
      </c>
      <c r="D15" s="4" t="s">
        <v>37</v>
      </c>
      <c r="E15" s="2" t="s">
        <v>38</v>
      </c>
      <c r="F15" s="2" t="s">
        <v>42</v>
      </c>
      <c r="G15" s="5">
        <v>5</v>
      </c>
      <c r="H15" s="20">
        <v>20000000</v>
      </c>
      <c r="I15" s="2">
        <v>2</v>
      </c>
      <c r="J15" s="6">
        <v>1.3888888888888889E-3</v>
      </c>
      <c r="K15" s="2" t="s">
        <v>18</v>
      </c>
      <c r="L15" s="2" t="s">
        <v>19</v>
      </c>
      <c r="M15" s="2" t="s">
        <v>43</v>
      </c>
      <c r="N15" s="2" t="s">
        <v>66</v>
      </c>
      <c r="O15" s="2" t="s">
        <v>53</v>
      </c>
    </row>
    <row r="16" spans="1:15" ht="21" customHeight="1" x14ac:dyDescent="0.3">
      <c r="A16" s="17"/>
      <c r="B16" s="12" t="s">
        <v>14</v>
      </c>
      <c r="C16" s="13">
        <v>26</v>
      </c>
      <c r="D16" s="14" t="s">
        <v>44</v>
      </c>
      <c r="E16" s="12" t="s">
        <v>32</v>
      </c>
      <c r="F16" s="12" t="s">
        <v>45</v>
      </c>
      <c r="G16" s="15">
        <v>1</v>
      </c>
      <c r="H16" s="21">
        <v>19000000</v>
      </c>
      <c r="I16" s="12">
        <v>2</v>
      </c>
      <c r="J16" s="16">
        <v>1.3888888888888889E-3</v>
      </c>
      <c r="K16" s="12" t="s">
        <v>46</v>
      </c>
      <c r="L16" s="12" t="s">
        <v>47</v>
      </c>
      <c r="M16" s="12" t="s">
        <v>33</v>
      </c>
      <c r="N16" s="12" t="s">
        <v>78</v>
      </c>
      <c r="O16" s="12" t="s">
        <v>54</v>
      </c>
    </row>
    <row r="17" spans="1:15" ht="21" customHeight="1" x14ac:dyDescent="0.3">
      <c r="A17" s="17"/>
      <c r="B17" s="2" t="s">
        <v>14</v>
      </c>
      <c r="C17" s="3">
        <v>2</v>
      </c>
      <c r="D17" s="4" t="s">
        <v>37</v>
      </c>
      <c r="E17" s="2" t="s">
        <v>38</v>
      </c>
      <c r="F17" s="2" t="s">
        <v>23</v>
      </c>
      <c r="G17" s="5">
        <v>3</v>
      </c>
      <c r="H17" s="20">
        <v>12000000</v>
      </c>
      <c r="I17" s="2">
        <v>1</v>
      </c>
      <c r="J17" s="6">
        <v>1.3888888888888889E-3</v>
      </c>
      <c r="K17" s="2" t="s">
        <v>18</v>
      </c>
      <c r="L17" s="2" t="s">
        <v>39</v>
      </c>
      <c r="M17" s="2" t="s">
        <v>40</v>
      </c>
      <c r="N17" s="2" t="s">
        <v>78</v>
      </c>
      <c r="O17" s="2" t="s">
        <v>31</v>
      </c>
    </row>
    <row r="18" spans="1:15" ht="21" customHeight="1" x14ac:dyDescent="0.3">
      <c r="A18" s="17"/>
      <c r="B18" s="12" t="s">
        <v>14</v>
      </c>
      <c r="C18" s="13">
        <v>6</v>
      </c>
      <c r="D18" s="14" t="s">
        <v>37</v>
      </c>
      <c r="E18" s="12" t="s">
        <v>38</v>
      </c>
      <c r="F18" s="12" t="s">
        <v>42</v>
      </c>
      <c r="G18" s="15">
        <v>5</v>
      </c>
      <c r="H18" s="21">
        <v>20000000</v>
      </c>
      <c r="I18" s="12">
        <v>2</v>
      </c>
      <c r="J18" s="16">
        <v>1.3888888888888889E-3</v>
      </c>
      <c r="K18" s="12" t="s">
        <v>18</v>
      </c>
      <c r="L18" s="12" t="s">
        <v>19</v>
      </c>
      <c r="M18" s="12" t="s">
        <v>43</v>
      </c>
      <c r="N18" s="12" t="s">
        <v>66</v>
      </c>
      <c r="O18" s="12" t="s">
        <v>53</v>
      </c>
    </row>
    <row r="19" spans="1:15" ht="21" customHeight="1" x14ac:dyDescent="0.3">
      <c r="A19" s="17"/>
      <c r="B19" s="2" t="s">
        <v>14</v>
      </c>
      <c r="C19" s="3">
        <v>26</v>
      </c>
      <c r="D19" s="4" t="s">
        <v>44</v>
      </c>
      <c r="E19" s="2" t="s">
        <v>32</v>
      </c>
      <c r="F19" s="2" t="s">
        <v>45</v>
      </c>
      <c r="G19" s="5">
        <v>1</v>
      </c>
      <c r="H19" s="20">
        <v>19000000</v>
      </c>
      <c r="I19" s="2">
        <v>2</v>
      </c>
      <c r="J19" s="6">
        <v>1.3888888888888889E-3</v>
      </c>
      <c r="K19" s="2" t="s">
        <v>46</v>
      </c>
      <c r="L19" s="2" t="s">
        <v>47</v>
      </c>
      <c r="M19" s="2" t="s">
        <v>33</v>
      </c>
      <c r="N19" s="2" t="s">
        <v>78</v>
      </c>
      <c r="O19" s="2" t="s">
        <v>54</v>
      </c>
    </row>
    <row r="20" spans="1:15" ht="21" customHeight="1" x14ac:dyDescent="0.3">
      <c r="A20" s="17"/>
      <c r="B20" s="12" t="s">
        <v>14</v>
      </c>
      <c r="C20" s="13">
        <v>12</v>
      </c>
      <c r="D20" s="14" t="s">
        <v>55</v>
      </c>
      <c r="E20" s="12" t="s">
        <v>16</v>
      </c>
      <c r="F20" s="12" t="s">
        <v>42</v>
      </c>
      <c r="G20" s="15">
        <v>3</v>
      </c>
      <c r="H20" s="21">
        <v>11000000</v>
      </c>
      <c r="I20" s="12">
        <v>1</v>
      </c>
      <c r="J20" s="16">
        <v>1.3888888888888889E-3</v>
      </c>
      <c r="K20" s="12" t="s">
        <v>18</v>
      </c>
      <c r="L20" s="12" t="s">
        <v>56</v>
      </c>
      <c r="M20" s="12" t="s">
        <v>51</v>
      </c>
      <c r="N20" s="12" t="s">
        <v>76</v>
      </c>
      <c r="O20" s="12" t="s">
        <v>52</v>
      </c>
    </row>
    <row r="21" spans="1:15" ht="21" customHeight="1" x14ac:dyDescent="0.3">
      <c r="A21" s="17"/>
      <c r="B21" s="2" t="s">
        <v>14</v>
      </c>
      <c r="C21" s="3">
        <v>11</v>
      </c>
      <c r="D21" s="4" t="s">
        <v>57</v>
      </c>
      <c r="E21" s="2" t="s">
        <v>28</v>
      </c>
      <c r="F21" s="2" t="s">
        <v>23</v>
      </c>
      <c r="G21" s="5">
        <v>5</v>
      </c>
      <c r="H21" s="20">
        <v>25000000</v>
      </c>
      <c r="I21" s="2">
        <v>1</v>
      </c>
      <c r="J21" s="6">
        <v>1.3888888888888889E-3</v>
      </c>
      <c r="K21" s="2" t="s">
        <v>18</v>
      </c>
      <c r="L21" s="2" t="s">
        <v>29</v>
      </c>
      <c r="M21" s="2" t="s">
        <v>43</v>
      </c>
      <c r="N21" s="2" t="s">
        <v>76</v>
      </c>
      <c r="O21" s="2" t="s">
        <v>31</v>
      </c>
    </row>
    <row r="22" spans="1:15" ht="21" customHeight="1" x14ac:dyDescent="0.3">
      <c r="A22" s="17"/>
      <c r="B22" s="12" t="s">
        <v>14</v>
      </c>
      <c r="C22" s="13">
        <v>11</v>
      </c>
      <c r="D22" s="14" t="s">
        <v>58</v>
      </c>
      <c r="E22" s="12" t="s">
        <v>32</v>
      </c>
      <c r="F22" s="12" t="s">
        <v>42</v>
      </c>
      <c r="G22" s="15">
        <v>2</v>
      </c>
      <c r="H22" s="21">
        <v>38000000</v>
      </c>
      <c r="I22" s="12">
        <v>2</v>
      </c>
      <c r="J22" s="16">
        <v>1.3888888888888889E-3</v>
      </c>
      <c r="K22" s="12" t="s">
        <v>46</v>
      </c>
      <c r="L22" s="12" t="s">
        <v>56</v>
      </c>
      <c r="M22" s="12" t="s">
        <v>43</v>
      </c>
      <c r="N22" s="12" t="s">
        <v>78</v>
      </c>
      <c r="O22" s="12" t="s">
        <v>53</v>
      </c>
    </row>
    <row r="23" spans="1:15" ht="21" customHeight="1" x14ac:dyDescent="0.3">
      <c r="A23" s="17"/>
      <c r="B23" s="2" t="s">
        <v>14</v>
      </c>
      <c r="C23" s="3">
        <v>3</v>
      </c>
      <c r="D23" s="4" t="s">
        <v>15</v>
      </c>
      <c r="E23" s="2" t="s">
        <v>38</v>
      </c>
      <c r="F23" s="2" t="s">
        <v>42</v>
      </c>
      <c r="G23" s="5">
        <v>4</v>
      </c>
      <c r="H23" s="20">
        <v>15000000</v>
      </c>
      <c r="I23" s="2">
        <v>1</v>
      </c>
      <c r="J23" s="6">
        <v>1.3888888888888889E-3</v>
      </c>
      <c r="K23" s="2" t="s">
        <v>18</v>
      </c>
      <c r="L23" s="2" t="s">
        <v>56</v>
      </c>
      <c r="M23" s="2" t="s">
        <v>20</v>
      </c>
      <c r="N23" s="2" t="s">
        <v>78</v>
      </c>
      <c r="O23" s="2" t="s">
        <v>41</v>
      </c>
    </row>
    <row r="24" spans="1:15" ht="21" customHeight="1" x14ac:dyDescent="0.3">
      <c r="A24" s="17"/>
      <c r="B24" s="12" t="s">
        <v>14</v>
      </c>
      <c r="C24" s="13">
        <v>11</v>
      </c>
      <c r="D24" s="14" t="s">
        <v>59</v>
      </c>
      <c r="E24" s="12" t="s">
        <v>16</v>
      </c>
      <c r="F24" s="12" t="s">
        <v>23</v>
      </c>
      <c r="G24" s="15">
        <v>1</v>
      </c>
      <c r="H24" s="21">
        <v>19000000</v>
      </c>
      <c r="I24" s="12">
        <v>1</v>
      </c>
      <c r="J24" s="16">
        <v>1.3888888888888889E-3</v>
      </c>
      <c r="K24" s="12" t="s">
        <v>46</v>
      </c>
      <c r="L24" s="12" t="s">
        <v>19</v>
      </c>
      <c r="M24" s="12" t="s">
        <v>25</v>
      </c>
      <c r="N24" s="12" t="s">
        <v>77</v>
      </c>
      <c r="O24" s="12" t="s">
        <v>54</v>
      </c>
    </row>
    <row r="25" spans="1:15" ht="21" customHeight="1" x14ac:dyDescent="0.3">
      <c r="A25" s="17"/>
      <c r="B25" s="2" t="s">
        <v>14</v>
      </c>
      <c r="C25" s="3">
        <v>10</v>
      </c>
      <c r="D25" s="4" t="s">
        <v>59</v>
      </c>
      <c r="E25" s="2" t="s">
        <v>38</v>
      </c>
      <c r="F25" s="2" t="s">
        <v>17</v>
      </c>
      <c r="G25" s="5">
        <v>4</v>
      </c>
      <c r="H25" s="20">
        <v>20000000</v>
      </c>
      <c r="I25" s="2">
        <v>3</v>
      </c>
      <c r="J25" s="6">
        <v>1.3888888888888889E-3</v>
      </c>
      <c r="K25" s="2" t="s">
        <v>18</v>
      </c>
      <c r="L25" s="2" t="s">
        <v>47</v>
      </c>
      <c r="M25" s="2" t="s">
        <v>33</v>
      </c>
      <c r="N25" s="2" t="s">
        <v>77</v>
      </c>
      <c r="O25" s="2" t="s">
        <v>54</v>
      </c>
    </row>
    <row r="26" spans="1:15" ht="21" customHeight="1" x14ac:dyDescent="0.3">
      <c r="A26" s="17"/>
      <c r="B26" s="12" t="s">
        <v>14</v>
      </c>
      <c r="C26" s="13">
        <v>5</v>
      </c>
      <c r="D26" s="14" t="s">
        <v>59</v>
      </c>
      <c r="E26" s="12" t="s">
        <v>38</v>
      </c>
      <c r="F26" s="12" t="s">
        <v>23</v>
      </c>
      <c r="G26" s="15">
        <v>1</v>
      </c>
      <c r="H26" s="21">
        <v>7000000</v>
      </c>
      <c r="I26" s="12">
        <v>2</v>
      </c>
      <c r="J26" s="16">
        <v>1.3888888888888889E-3</v>
      </c>
      <c r="K26" s="12" t="s">
        <v>18</v>
      </c>
      <c r="L26" s="12" t="s">
        <v>56</v>
      </c>
      <c r="M26" s="12" t="s">
        <v>48</v>
      </c>
      <c r="N26" s="12" t="s">
        <v>76</v>
      </c>
      <c r="O26" s="12" t="s">
        <v>52</v>
      </c>
    </row>
    <row r="27" spans="1:15" ht="21" customHeight="1" x14ac:dyDescent="0.3">
      <c r="A27" s="17"/>
      <c r="B27" s="2" t="s">
        <v>14</v>
      </c>
      <c r="C27" s="3">
        <v>12</v>
      </c>
      <c r="D27" s="4" t="s">
        <v>60</v>
      </c>
      <c r="E27" s="2" t="s">
        <v>28</v>
      </c>
      <c r="F27" s="2" t="s">
        <v>23</v>
      </c>
      <c r="G27" s="5">
        <v>2</v>
      </c>
      <c r="H27" s="20">
        <v>38000000</v>
      </c>
      <c r="I27" s="2">
        <v>3</v>
      </c>
      <c r="J27" s="6">
        <v>1.3888888888888889E-3</v>
      </c>
      <c r="K27" s="2" t="s">
        <v>46</v>
      </c>
      <c r="L27" s="2" t="s">
        <v>39</v>
      </c>
      <c r="M27" s="2" t="s">
        <v>40</v>
      </c>
      <c r="N27" s="2" t="s">
        <v>78</v>
      </c>
      <c r="O27" s="2" t="s">
        <v>53</v>
      </c>
    </row>
    <row r="28" spans="1:15" ht="21" customHeight="1" x14ac:dyDescent="0.3">
      <c r="A28" s="17"/>
      <c r="B28" s="12" t="s">
        <v>14</v>
      </c>
      <c r="C28" s="13">
        <v>26</v>
      </c>
      <c r="D28" s="14" t="s">
        <v>22</v>
      </c>
      <c r="E28" s="12" t="s">
        <v>16</v>
      </c>
      <c r="F28" s="12" t="s">
        <v>42</v>
      </c>
      <c r="G28" s="15">
        <v>4</v>
      </c>
      <c r="H28" s="21">
        <v>20000000</v>
      </c>
      <c r="I28" s="12">
        <v>3</v>
      </c>
      <c r="J28" s="16">
        <v>1.3888888888888889E-3</v>
      </c>
      <c r="K28" s="12" t="s">
        <v>61</v>
      </c>
      <c r="L28" s="12" t="s">
        <v>19</v>
      </c>
      <c r="M28" s="12" t="s">
        <v>20</v>
      </c>
      <c r="N28" s="12" t="s">
        <v>66</v>
      </c>
      <c r="O28" s="12" t="s">
        <v>36</v>
      </c>
    </row>
    <row r="29" spans="1:15" ht="21" customHeight="1" x14ac:dyDescent="0.3">
      <c r="A29" s="17"/>
      <c r="B29" s="2" t="s">
        <v>14</v>
      </c>
      <c r="C29" s="3">
        <v>25</v>
      </c>
      <c r="D29" s="4" t="s">
        <v>27</v>
      </c>
      <c r="E29" s="2" t="s">
        <v>16</v>
      </c>
      <c r="F29" s="2" t="s">
        <v>17</v>
      </c>
      <c r="G29" s="5">
        <v>3</v>
      </c>
      <c r="H29" s="20">
        <v>15000000</v>
      </c>
      <c r="I29" s="2">
        <v>3</v>
      </c>
      <c r="J29" s="6">
        <v>1.3888888888888889E-3</v>
      </c>
      <c r="K29" s="2" t="s">
        <v>18</v>
      </c>
      <c r="L29" s="2" t="s">
        <v>56</v>
      </c>
      <c r="M29" s="2" t="s">
        <v>30</v>
      </c>
      <c r="N29" s="2" t="s">
        <v>76</v>
      </c>
      <c r="O29" s="2" t="s">
        <v>52</v>
      </c>
    </row>
    <row r="30" spans="1:15" ht="21" customHeight="1" x14ac:dyDescent="0.3">
      <c r="A30" s="17"/>
      <c r="B30" s="12" t="s">
        <v>14</v>
      </c>
      <c r="C30" s="13">
        <v>11</v>
      </c>
      <c r="D30" s="14" t="s">
        <v>27</v>
      </c>
      <c r="E30" s="12" t="s">
        <v>16</v>
      </c>
      <c r="F30" s="12" t="s">
        <v>42</v>
      </c>
      <c r="G30" s="15">
        <v>3</v>
      </c>
      <c r="H30" s="21">
        <v>12000000</v>
      </c>
      <c r="I30" s="12">
        <v>4</v>
      </c>
      <c r="J30" s="16">
        <v>1.3888888888888889E-3</v>
      </c>
      <c r="K30" s="12" t="s">
        <v>18</v>
      </c>
      <c r="L30" s="12" t="s">
        <v>24</v>
      </c>
      <c r="M30" s="12" t="s">
        <v>20</v>
      </c>
      <c r="N30" s="12" t="s">
        <v>66</v>
      </c>
      <c r="O30" s="12" t="s">
        <v>36</v>
      </c>
    </row>
    <row r="31" spans="1:15" ht="21" customHeight="1" x14ac:dyDescent="0.3">
      <c r="A31" s="17"/>
      <c r="B31" s="2" t="s">
        <v>14</v>
      </c>
      <c r="C31" s="3">
        <v>18</v>
      </c>
      <c r="D31" s="4" t="s">
        <v>27</v>
      </c>
      <c r="E31" s="2" t="s">
        <v>16</v>
      </c>
      <c r="F31" s="2" t="s">
        <v>23</v>
      </c>
      <c r="G31" s="5">
        <v>4</v>
      </c>
      <c r="H31" s="20">
        <v>15000000</v>
      </c>
      <c r="I31" s="2">
        <v>2</v>
      </c>
      <c r="J31" s="6">
        <v>1.3888888888888889E-3</v>
      </c>
      <c r="K31" s="2" t="s">
        <v>18</v>
      </c>
      <c r="L31" s="2" t="s">
        <v>39</v>
      </c>
      <c r="M31" s="2" t="s">
        <v>48</v>
      </c>
      <c r="N31" s="2" t="s">
        <v>78</v>
      </c>
      <c r="O31" s="2" t="s">
        <v>62</v>
      </c>
    </row>
    <row r="32" spans="1:15" ht="21" customHeight="1" x14ac:dyDescent="0.3">
      <c r="A32" s="17"/>
      <c r="B32" s="12" t="s">
        <v>14</v>
      </c>
      <c r="C32" s="13">
        <v>1</v>
      </c>
      <c r="D32" s="14" t="s">
        <v>37</v>
      </c>
      <c r="E32" s="12" t="s">
        <v>32</v>
      </c>
      <c r="F32" s="12" t="s">
        <v>42</v>
      </c>
      <c r="G32" s="15">
        <v>3</v>
      </c>
      <c r="H32" s="21">
        <v>15000000</v>
      </c>
      <c r="I32" s="12">
        <v>3</v>
      </c>
      <c r="J32" s="16">
        <v>1.3888888888888889E-3</v>
      </c>
      <c r="K32" s="12" t="s">
        <v>18</v>
      </c>
      <c r="L32" s="12" t="s">
        <v>39</v>
      </c>
      <c r="M32" s="12" t="s">
        <v>30</v>
      </c>
      <c r="N32" s="12" t="s">
        <v>76</v>
      </c>
      <c r="O32" s="12" t="s">
        <v>52</v>
      </c>
    </row>
    <row r="33" spans="1:15" ht="21" customHeight="1" x14ac:dyDescent="0.3">
      <c r="A33" s="17"/>
      <c r="B33" s="2" t="s">
        <v>14</v>
      </c>
      <c r="C33" s="3">
        <v>1</v>
      </c>
      <c r="D33" s="4" t="s">
        <v>37</v>
      </c>
      <c r="E33" s="2" t="s">
        <v>16</v>
      </c>
      <c r="F33" s="2" t="s">
        <v>42</v>
      </c>
      <c r="G33" s="5">
        <v>2</v>
      </c>
      <c r="H33" s="20">
        <v>12000000</v>
      </c>
      <c r="I33" s="2">
        <v>6</v>
      </c>
      <c r="J33" s="6">
        <v>1.3888888888888889E-3</v>
      </c>
      <c r="K33" s="2" t="s">
        <v>18</v>
      </c>
      <c r="L33" s="2" t="s">
        <v>39</v>
      </c>
      <c r="M33" s="2" t="s">
        <v>30</v>
      </c>
      <c r="N33" s="2" t="s">
        <v>78</v>
      </c>
      <c r="O33" s="2" t="s">
        <v>41</v>
      </c>
    </row>
    <row r="34" spans="1:15" ht="21" customHeight="1" x14ac:dyDescent="0.3">
      <c r="A34" s="17"/>
      <c r="B34" s="12" t="s">
        <v>14</v>
      </c>
      <c r="C34" s="13">
        <v>8</v>
      </c>
      <c r="D34" s="14" t="s">
        <v>37</v>
      </c>
      <c r="E34" s="12" t="s">
        <v>16</v>
      </c>
      <c r="F34" s="12" t="s">
        <v>42</v>
      </c>
      <c r="G34" s="15">
        <v>3</v>
      </c>
      <c r="H34" s="21">
        <v>15000000</v>
      </c>
      <c r="I34" s="12">
        <v>3</v>
      </c>
      <c r="J34" s="16">
        <v>1.3888888888888889E-3</v>
      </c>
      <c r="K34" s="12" t="s">
        <v>18</v>
      </c>
      <c r="L34" s="12" t="s">
        <v>35</v>
      </c>
      <c r="M34" s="12" t="s">
        <v>20</v>
      </c>
      <c r="N34" s="12" t="s">
        <v>78</v>
      </c>
      <c r="O34" s="12" t="s">
        <v>62</v>
      </c>
    </row>
    <row r="35" spans="1:15" ht="21" customHeight="1" x14ac:dyDescent="0.3">
      <c r="A35" s="17"/>
      <c r="B35" s="2" t="s">
        <v>14</v>
      </c>
      <c r="C35" s="3">
        <v>20</v>
      </c>
      <c r="D35" s="4" t="s">
        <v>37</v>
      </c>
      <c r="E35" s="2" t="s">
        <v>28</v>
      </c>
      <c r="F35" s="2" t="s">
        <v>23</v>
      </c>
      <c r="G35" s="5">
        <v>5</v>
      </c>
      <c r="H35" s="20">
        <v>25000000</v>
      </c>
      <c r="I35" s="2">
        <v>4</v>
      </c>
      <c r="J35" s="6">
        <v>1.3888888888888889E-3</v>
      </c>
      <c r="K35" s="2" t="s">
        <v>18</v>
      </c>
      <c r="L35" s="2" t="s">
        <v>35</v>
      </c>
      <c r="M35" s="2" t="s">
        <v>30</v>
      </c>
      <c r="N35" s="2" t="s">
        <v>78</v>
      </c>
      <c r="O35" s="2" t="s">
        <v>63</v>
      </c>
    </row>
    <row r="36" spans="1:15" ht="21" customHeight="1" x14ac:dyDescent="0.3">
      <c r="A36" s="17"/>
      <c r="B36" s="12" t="s">
        <v>14</v>
      </c>
      <c r="C36" s="13">
        <v>20</v>
      </c>
      <c r="D36" s="14" t="s">
        <v>37</v>
      </c>
      <c r="E36" s="12" t="s">
        <v>49</v>
      </c>
      <c r="F36" s="12" t="s">
        <v>17</v>
      </c>
      <c r="G36" s="15">
        <v>2</v>
      </c>
      <c r="H36" s="21">
        <v>12000000</v>
      </c>
      <c r="I36" s="12">
        <v>4</v>
      </c>
      <c r="J36" s="16">
        <v>1.3888888888888889E-3</v>
      </c>
      <c r="K36" s="12" t="s">
        <v>18</v>
      </c>
      <c r="L36" s="12" t="s">
        <v>64</v>
      </c>
      <c r="M36" s="12" t="s">
        <v>33</v>
      </c>
      <c r="N36" s="12" t="s">
        <v>77</v>
      </c>
      <c r="O36" s="12" t="s">
        <v>65</v>
      </c>
    </row>
    <row r="37" spans="1:15" ht="21" customHeight="1" x14ac:dyDescent="0.3">
      <c r="A37" s="17"/>
      <c r="B37" s="2" t="s">
        <v>14</v>
      </c>
      <c r="C37" s="3">
        <v>1</v>
      </c>
      <c r="D37" s="4" t="s">
        <v>37</v>
      </c>
      <c r="E37" s="2" t="s">
        <v>28</v>
      </c>
      <c r="F37" s="2" t="s">
        <v>23</v>
      </c>
      <c r="G37" s="5">
        <v>3</v>
      </c>
      <c r="H37" s="20">
        <v>15000000</v>
      </c>
      <c r="I37" s="2">
        <v>5</v>
      </c>
      <c r="J37" s="6">
        <v>1.3888888888888889E-3</v>
      </c>
      <c r="K37" s="2" t="s">
        <v>18</v>
      </c>
      <c r="L37" s="2" t="s">
        <v>29</v>
      </c>
      <c r="M37" s="2" t="s">
        <v>40</v>
      </c>
      <c r="N37" s="2" t="s">
        <v>77</v>
      </c>
      <c r="O37" s="2" t="s">
        <v>54</v>
      </c>
    </row>
    <row r="38" spans="1:15" ht="21" customHeight="1" x14ac:dyDescent="0.3">
      <c r="A38" s="17"/>
      <c r="B38" s="12" t="s">
        <v>14</v>
      </c>
      <c r="C38" s="13">
        <v>20</v>
      </c>
      <c r="D38" s="14" t="s">
        <v>37</v>
      </c>
      <c r="E38" s="12" t="s">
        <v>28</v>
      </c>
      <c r="F38" s="12" t="s">
        <v>42</v>
      </c>
      <c r="G38" s="15">
        <v>2</v>
      </c>
      <c r="H38" s="21">
        <v>10000000</v>
      </c>
      <c r="I38" s="12">
        <v>1</v>
      </c>
      <c r="J38" s="16">
        <v>1.3888888888888889E-3</v>
      </c>
      <c r="K38" s="12" t="s">
        <v>18</v>
      </c>
      <c r="L38" s="12" t="s">
        <v>64</v>
      </c>
      <c r="M38" s="12" t="s">
        <v>43</v>
      </c>
      <c r="N38" s="12" t="s">
        <v>78</v>
      </c>
      <c r="O38" s="12" t="s">
        <v>66</v>
      </c>
    </row>
    <row r="39" spans="1:15" ht="21" customHeight="1" x14ac:dyDescent="0.3">
      <c r="A39" s="17"/>
      <c r="B39" s="2" t="s">
        <v>14</v>
      </c>
      <c r="C39" s="3">
        <v>1</v>
      </c>
      <c r="D39" s="4" t="s">
        <v>37</v>
      </c>
      <c r="E39" s="2" t="s">
        <v>28</v>
      </c>
      <c r="F39" s="2" t="s">
        <v>17</v>
      </c>
      <c r="G39" s="5">
        <v>3</v>
      </c>
      <c r="H39" s="20">
        <v>12000000</v>
      </c>
      <c r="I39" s="2">
        <v>2</v>
      </c>
      <c r="J39" s="6">
        <v>1.3888888888888889E-3</v>
      </c>
      <c r="K39" s="2" t="s">
        <v>18</v>
      </c>
      <c r="L39" s="2" t="s">
        <v>35</v>
      </c>
      <c r="M39" s="2" t="s">
        <v>25</v>
      </c>
      <c r="N39" s="2" t="s">
        <v>78</v>
      </c>
      <c r="O39" s="2" t="s">
        <v>53</v>
      </c>
    </row>
    <row r="40" spans="1:15" ht="21" customHeight="1" x14ac:dyDescent="0.3">
      <c r="A40" s="17"/>
      <c r="B40" s="12" t="s">
        <v>14</v>
      </c>
      <c r="C40" s="13">
        <v>4</v>
      </c>
      <c r="D40" s="14" t="s">
        <v>37</v>
      </c>
      <c r="E40" s="12" t="s">
        <v>16</v>
      </c>
      <c r="F40" s="12" t="s">
        <v>23</v>
      </c>
      <c r="G40" s="15">
        <v>3</v>
      </c>
      <c r="H40" s="21">
        <v>11000000</v>
      </c>
      <c r="I40" s="12">
        <v>6</v>
      </c>
      <c r="J40" s="16">
        <v>1.3888888888888889E-3</v>
      </c>
      <c r="K40" s="12" t="s">
        <v>18</v>
      </c>
      <c r="L40" s="12" t="s">
        <v>39</v>
      </c>
      <c r="M40" s="12" t="s">
        <v>48</v>
      </c>
      <c r="N40" s="12" t="s">
        <v>76</v>
      </c>
      <c r="O40" s="12" t="s">
        <v>31</v>
      </c>
    </row>
    <row r="41" spans="1:15" ht="21" customHeight="1" x14ac:dyDescent="0.3">
      <c r="A41" s="17"/>
      <c r="B41" s="2" t="s">
        <v>14</v>
      </c>
      <c r="C41" s="3">
        <v>3</v>
      </c>
      <c r="D41" s="4" t="s">
        <v>44</v>
      </c>
      <c r="E41" s="2" t="s">
        <v>32</v>
      </c>
      <c r="F41" s="2" t="s">
        <v>17</v>
      </c>
      <c r="G41" s="5">
        <v>1</v>
      </c>
      <c r="H41" s="20">
        <v>19000000</v>
      </c>
      <c r="I41" s="2">
        <v>3</v>
      </c>
      <c r="J41" s="6">
        <v>1.3888888888888889E-3</v>
      </c>
      <c r="K41" s="2" t="s">
        <v>46</v>
      </c>
      <c r="L41" s="2" t="s">
        <v>64</v>
      </c>
      <c r="M41" s="2" t="s">
        <v>48</v>
      </c>
      <c r="N41" s="2" t="s">
        <v>78</v>
      </c>
      <c r="O41" s="2" t="s">
        <v>53</v>
      </c>
    </row>
    <row r="42" spans="1:15" ht="21" customHeight="1" x14ac:dyDescent="0.3">
      <c r="A42" s="17"/>
      <c r="B42" s="12" t="s">
        <v>14</v>
      </c>
      <c r="C42" s="13">
        <v>22</v>
      </c>
      <c r="D42" s="14" t="s">
        <v>44</v>
      </c>
      <c r="E42" s="12" t="s">
        <v>32</v>
      </c>
      <c r="F42" s="12" t="s">
        <v>17</v>
      </c>
      <c r="G42" s="15">
        <v>1</v>
      </c>
      <c r="H42" s="21">
        <v>19000000</v>
      </c>
      <c r="I42" s="12">
        <v>1</v>
      </c>
      <c r="J42" s="16">
        <v>1.3888888888888889E-3</v>
      </c>
      <c r="K42" s="12" t="s">
        <v>46</v>
      </c>
      <c r="L42" s="12" t="s">
        <v>24</v>
      </c>
      <c r="M42" s="12" t="s">
        <v>51</v>
      </c>
      <c r="N42" s="12" t="s">
        <v>66</v>
      </c>
      <c r="O42" s="12" t="s">
        <v>67</v>
      </c>
    </row>
    <row r="43" spans="1:15" ht="21" customHeight="1" x14ac:dyDescent="0.3">
      <c r="A43" s="17"/>
      <c r="B43" s="2" t="s">
        <v>14</v>
      </c>
      <c r="C43" s="3">
        <v>13</v>
      </c>
      <c r="D43" s="4" t="s">
        <v>44</v>
      </c>
      <c r="E43" s="2" t="s">
        <v>49</v>
      </c>
      <c r="F43" s="2" t="s">
        <v>68</v>
      </c>
      <c r="G43" s="5">
        <v>4</v>
      </c>
      <c r="H43" s="20">
        <v>20000000</v>
      </c>
      <c r="I43" s="2">
        <v>3</v>
      </c>
      <c r="J43" s="6">
        <v>1.3888888888888889E-3</v>
      </c>
      <c r="K43" s="2" t="s">
        <v>61</v>
      </c>
      <c r="L43" s="2" t="s">
        <v>19</v>
      </c>
      <c r="M43" s="2" t="s">
        <v>30</v>
      </c>
      <c r="N43" s="2" t="s">
        <v>77</v>
      </c>
      <c r="O43" s="2" t="s">
        <v>54</v>
      </c>
    </row>
    <row r="44" spans="1:15" ht="21" customHeight="1" x14ac:dyDescent="0.3">
      <c r="A44" s="17"/>
      <c r="B44" s="12" t="s">
        <v>14</v>
      </c>
      <c r="C44" s="13">
        <v>17</v>
      </c>
      <c r="D44" s="14" t="s">
        <v>44</v>
      </c>
      <c r="E44" s="12" t="s">
        <v>49</v>
      </c>
      <c r="F44" s="12" t="s">
        <v>42</v>
      </c>
      <c r="G44" s="15">
        <v>1</v>
      </c>
      <c r="H44" s="21">
        <v>7000000</v>
      </c>
      <c r="I44" s="12">
        <v>1</v>
      </c>
      <c r="J44" s="16">
        <v>1.3888888888888889E-3</v>
      </c>
      <c r="K44" s="12" t="s">
        <v>18</v>
      </c>
      <c r="L44" s="12" t="s">
        <v>19</v>
      </c>
      <c r="M44" s="12" t="s">
        <v>33</v>
      </c>
      <c r="N44" s="12" t="s">
        <v>78</v>
      </c>
      <c r="O44" s="12" t="s">
        <v>53</v>
      </c>
    </row>
    <row r="45" spans="1:15" ht="21" customHeight="1" x14ac:dyDescent="0.3">
      <c r="A45" s="17"/>
      <c r="B45" s="2" t="s">
        <v>14</v>
      </c>
      <c r="C45" s="3">
        <v>30</v>
      </c>
      <c r="D45" s="4" t="s">
        <v>44</v>
      </c>
      <c r="E45" s="2" t="s">
        <v>49</v>
      </c>
      <c r="F45" s="2" t="s">
        <v>23</v>
      </c>
      <c r="G45" s="5">
        <v>2</v>
      </c>
      <c r="H45" s="20">
        <v>10000000</v>
      </c>
      <c r="I45" s="2">
        <v>1</v>
      </c>
      <c r="J45" s="6">
        <v>1.3888888888888889E-3</v>
      </c>
      <c r="K45" s="2" t="s">
        <v>18</v>
      </c>
      <c r="L45" s="2" t="s">
        <v>29</v>
      </c>
      <c r="M45" s="2" t="s">
        <v>33</v>
      </c>
      <c r="N45" s="2" t="s">
        <v>77</v>
      </c>
      <c r="O45" s="2" t="s">
        <v>65</v>
      </c>
    </row>
    <row r="46" spans="1:15" ht="21" customHeight="1" x14ac:dyDescent="0.3">
      <c r="A46" s="17"/>
      <c r="B46" s="12" t="s">
        <v>14</v>
      </c>
      <c r="C46" s="13">
        <v>29</v>
      </c>
      <c r="D46" s="14" t="s">
        <v>44</v>
      </c>
      <c r="E46" s="12" t="s">
        <v>32</v>
      </c>
      <c r="F46" s="12" t="s">
        <v>42</v>
      </c>
      <c r="G46" s="15">
        <v>3</v>
      </c>
      <c r="H46" s="21">
        <v>15000000</v>
      </c>
      <c r="I46" s="12">
        <v>1</v>
      </c>
      <c r="J46" s="16">
        <v>1.3888888888888889E-3</v>
      </c>
      <c r="K46" s="12" t="s">
        <v>18</v>
      </c>
      <c r="L46" s="12" t="s">
        <v>19</v>
      </c>
      <c r="M46" s="12" t="s">
        <v>25</v>
      </c>
      <c r="N46" s="12" t="s">
        <v>76</v>
      </c>
      <c r="O46" s="12" t="s">
        <v>26</v>
      </c>
    </row>
    <row r="47" spans="1:15" ht="21" customHeight="1" x14ac:dyDescent="0.3">
      <c r="A47" s="17"/>
      <c r="B47" s="2" t="s">
        <v>14</v>
      </c>
      <c r="C47" s="3">
        <v>6</v>
      </c>
      <c r="D47" s="4" t="s">
        <v>44</v>
      </c>
      <c r="E47" s="2" t="s">
        <v>49</v>
      </c>
      <c r="F47" s="2" t="s">
        <v>68</v>
      </c>
      <c r="G47" s="5">
        <v>1</v>
      </c>
      <c r="H47" s="20">
        <v>7000000</v>
      </c>
      <c r="I47" s="2">
        <v>3</v>
      </c>
      <c r="J47" s="6">
        <v>1.3888888888888889E-3</v>
      </c>
      <c r="K47" s="2" t="s">
        <v>18</v>
      </c>
      <c r="L47" s="2" t="s">
        <v>64</v>
      </c>
      <c r="M47" s="2" t="s">
        <v>51</v>
      </c>
      <c r="N47" s="2" t="s">
        <v>66</v>
      </c>
      <c r="O47" s="2" t="s">
        <v>67</v>
      </c>
    </row>
    <row r="48" spans="1:15" ht="21" customHeight="1" x14ac:dyDescent="0.3">
      <c r="A48" s="17"/>
      <c r="B48" s="12" t="s">
        <v>14</v>
      </c>
      <c r="C48" s="13">
        <v>22</v>
      </c>
      <c r="D48" s="14" t="s">
        <v>69</v>
      </c>
      <c r="E48" s="12" t="s">
        <v>28</v>
      </c>
      <c r="F48" s="12" t="s">
        <v>17</v>
      </c>
      <c r="G48" s="15">
        <v>5</v>
      </c>
      <c r="H48" s="21">
        <v>25000000</v>
      </c>
      <c r="I48" s="12">
        <v>6</v>
      </c>
      <c r="J48" s="16">
        <v>1.3888888888888889E-3</v>
      </c>
      <c r="K48" s="12" t="s">
        <v>18</v>
      </c>
      <c r="L48" s="12" t="s">
        <v>56</v>
      </c>
      <c r="M48" s="12" t="s">
        <v>43</v>
      </c>
      <c r="N48" s="12" t="s">
        <v>66</v>
      </c>
      <c r="O48" s="12" t="s">
        <v>36</v>
      </c>
    </row>
    <row r="49" spans="1:15" ht="21" customHeight="1" x14ac:dyDescent="0.3">
      <c r="A49" s="17"/>
      <c r="B49" s="2" t="s">
        <v>14</v>
      </c>
      <c r="C49" s="3">
        <v>3</v>
      </c>
      <c r="D49" s="4" t="s">
        <v>69</v>
      </c>
      <c r="E49" s="2" t="s">
        <v>32</v>
      </c>
      <c r="F49" s="2" t="s">
        <v>23</v>
      </c>
      <c r="G49" s="5">
        <v>5</v>
      </c>
      <c r="H49" s="20">
        <v>20000000</v>
      </c>
      <c r="I49" s="2">
        <v>4</v>
      </c>
      <c r="J49" s="6">
        <v>1.3888888888888889E-3</v>
      </c>
      <c r="K49" s="2" t="s">
        <v>18</v>
      </c>
      <c r="L49" s="2" t="s">
        <v>39</v>
      </c>
      <c r="M49" s="2" t="s">
        <v>51</v>
      </c>
      <c r="N49" s="2" t="s">
        <v>76</v>
      </c>
      <c r="O49" s="2" t="s">
        <v>52</v>
      </c>
    </row>
    <row r="50" spans="1:15" ht="21" customHeight="1" x14ac:dyDescent="0.3">
      <c r="A50" s="17"/>
      <c r="B50" s="12" t="s">
        <v>14</v>
      </c>
      <c r="C50" s="13">
        <v>12</v>
      </c>
      <c r="D50" s="14" t="s">
        <v>55</v>
      </c>
      <c r="E50" s="12" t="s">
        <v>16</v>
      </c>
      <c r="F50" s="12" t="s">
        <v>42</v>
      </c>
      <c r="G50" s="15">
        <v>3</v>
      </c>
      <c r="H50" s="21">
        <v>11000000</v>
      </c>
      <c r="I50" s="12">
        <v>1</v>
      </c>
      <c r="J50" s="16">
        <v>1.3888888888888889E-3</v>
      </c>
      <c r="K50" s="12" t="s">
        <v>18</v>
      </c>
      <c r="L50" s="12" t="s">
        <v>56</v>
      </c>
      <c r="M50" s="12" t="s">
        <v>51</v>
      </c>
      <c r="N50" s="12" t="s">
        <v>76</v>
      </c>
      <c r="O50" s="12" t="s">
        <v>52</v>
      </c>
    </row>
    <row r="51" spans="1:15" ht="21" customHeight="1" x14ac:dyDescent="0.3">
      <c r="A51" s="17"/>
      <c r="B51" s="2" t="s">
        <v>14</v>
      </c>
      <c r="C51" s="3">
        <v>11</v>
      </c>
      <c r="D51" s="4" t="s">
        <v>57</v>
      </c>
      <c r="E51" s="2" t="s">
        <v>28</v>
      </c>
      <c r="F51" s="2" t="s">
        <v>23</v>
      </c>
      <c r="G51" s="5">
        <v>5</v>
      </c>
      <c r="H51" s="20">
        <v>25000000</v>
      </c>
      <c r="I51" s="2">
        <v>1</v>
      </c>
      <c r="J51" s="6">
        <v>1.3888888888888889E-3</v>
      </c>
      <c r="K51" s="2" t="s">
        <v>18</v>
      </c>
      <c r="L51" s="2" t="s">
        <v>29</v>
      </c>
      <c r="M51" s="2" t="s">
        <v>43</v>
      </c>
      <c r="N51" s="2" t="s">
        <v>76</v>
      </c>
      <c r="O51" s="2" t="s">
        <v>31</v>
      </c>
    </row>
    <row r="52" spans="1:15" ht="21" customHeight="1" x14ac:dyDescent="0.3">
      <c r="A52" s="17"/>
      <c r="B52" s="12" t="s">
        <v>14</v>
      </c>
      <c r="C52" s="13">
        <v>11</v>
      </c>
      <c r="D52" s="14" t="s">
        <v>58</v>
      </c>
      <c r="E52" s="12" t="s">
        <v>32</v>
      </c>
      <c r="F52" s="12" t="s">
        <v>42</v>
      </c>
      <c r="G52" s="15">
        <v>2</v>
      </c>
      <c r="H52" s="21">
        <v>38000000</v>
      </c>
      <c r="I52" s="12">
        <v>2</v>
      </c>
      <c r="J52" s="16">
        <v>1.3888888888888889E-3</v>
      </c>
      <c r="K52" s="12" t="s">
        <v>46</v>
      </c>
      <c r="L52" s="12" t="s">
        <v>56</v>
      </c>
      <c r="M52" s="12" t="s">
        <v>43</v>
      </c>
      <c r="N52" s="12" t="s">
        <v>78</v>
      </c>
      <c r="O52" s="12" t="s">
        <v>53</v>
      </c>
    </row>
    <row r="53" spans="1:15" ht="21" customHeight="1" x14ac:dyDescent="0.3">
      <c r="A53" s="17"/>
      <c r="B53" s="2" t="s">
        <v>14</v>
      </c>
      <c r="C53" s="3">
        <v>3</v>
      </c>
      <c r="D53" s="4" t="s">
        <v>15</v>
      </c>
      <c r="E53" s="2" t="s">
        <v>38</v>
      </c>
      <c r="F53" s="2" t="s">
        <v>42</v>
      </c>
      <c r="G53" s="5">
        <v>4</v>
      </c>
      <c r="H53" s="20">
        <v>15000000</v>
      </c>
      <c r="I53" s="2">
        <v>1</v>
      </c>
      <c r="J53" s="6">
        <v>1.3888888888888889E-3</v>
      </c>
      <c r="K53" s="2" t="s">
        <v>18</v>
      </c>
      <c r="L53" s="2" t="s">
        <v>56</v>
      </c>
      <c r="M53" s="2" t="s">
        <v>20</v>
      </c>
      <c r="N53" s="2" t="s">
        <v>78</v>
      </c>
      <c r="O53" s="2" t="s">
        <v>41</v>
      </c>
    </row>
    <row r="54" spans="1:15" ht="21" customHeight="1" x14ac:dyDescent="0.3">
      <c r="A54" s="17"/>
      <c r="B54" s="12" t="s">
        <v>14</v>
      </c>
      <c r="C54" s="13">
        <v>11</v>
      </c>
      <c r="D54" s="14" t="s">
        <v>59</v>
      </c>
      <c r="E54" s="12" t="s">
        <v>16</v>
      </c>
      <c r="F54" s="12" t="s">
        <v>23</v>
      </c>
      <c r="G54" s="15">
        <v>1</v>
      </c>
      <c r="H54" s="21">
        <v>19000000</v>
      </c>
      <c r="I54" s="12">
        <v>1</v>
      </c>
      <c r="J54" s="16">
        <v>1.3888888888888889E-3</v>
      </c>
      <c r="K54" s="12" t="s">
        <v>46</v>
      </c>
      <c r="L54" s="12" t="s">
        <v>19</v>
      </c>
      <c r="M54" s="12" t="s">
        <v>25</v>
      </c>
      <c r="N54" s="12" t="s">
        <v>77</v>
      </c>
      <c r="O54" s="12" t="s">
        <v>54</v>
      </c>
    </row>
    <row r="55" spans="1:15" ht="21" customHeight="1" x14ac:dyDescent="0.3">
      <c r="A55" s="17"/>
      <c r="B55" s="2" t="s">
        <v>14</v>
      </c>
      <c r="C55" s="3">
        <v>10</v>
      </c>
      <c r="D55" s="4" t="s">
        <v>59</v>
      </c>
      <c r="E55" s="2" t="s">
        <v>38</v>
      </c>
      <c r="F55" s="2" t="s">
        <v>17</v>
      </c>
      <c r="G55" s="5">
        <v>4</v>
      </c>
      <c r="H55" s="20">
        <v>20000000</v>
      </c>
      <c r="I55" s="2">
        <v>3</v>
      </c>
      <c r="J55" s="6">
        <v>1.3888888888888889E-3</v>
      </c>
      <c r="K55" s="2" t="s">
        <v>18</v>
      </c>
      <c r="L55" s="2" t="s">
        <v>47</v>
      </c>
      <c r="M55" s="2" t="s">
        <v>33</v>
      </c>
      <c r="N55" s="2" t="s">
        <v>77</v>
      </c>
      <c r="O55" s="2" t="s">
        <v>54</v>
      </c>
    </row>
    <row r="56" spans="1:15" ht="21" customHeight="1" x14ac:dyDescent="0.3">
      <c r="A56" s="17"/>
      <c r="B56" s="12" t="s">
        <v>14</v>
      </c>
      <c r="C56" s="13">
        <v>5</v>
      </c>
      <c r="D56" s="14" t="s">
        <v>59</v>
      </c>
      <c r="E56" s="12" t="s">
        <v>38</v>
      </c>
      <c r="F56" s="12" t="s">
        <v>23</v>
      </c>
      <c r="G56" s="15">
        <v>1</v>
      </c>
      <c r="H56" s="21">
        <v>7000000</v>
      </c>
      <c r="I56" s="12">
        <v>2</v>
      </c>
      <c r="J56" s="16">
        <v>1.3888888888888889E-3</v>
      </c>
      <c r="K56" s="12" t="s">
        <v>18</v>
      </c>
      <c r="L56" s="12" t="s">
        <v>56</v>
      </c>
      <c r="M56" s="12" t="s">
        <v>48</v>
      </c>
      <c r="N56" s="12" t="s">
        <v>76</v>
      </c>
      <c r="O56" s="12" t="s">
        <v>52</v>
      </c>
    </row>
    <row r="57" spans="1:15" ht="21" customHeight="1" x14ac:dyDescent="0.3">
      <c r="A57" s="17"/>
      <c r="B57" s="2" t="s">
        <v>14</v>
      </c>
      <c r="C57" s="3">
        <v>12</v>
      </c>
      <c r="D57" s="4" t="s">
        <v>60</v>
      </c>
      <c r="E57" s="2" t="s">
        <v>28</v>
      </c>
      <c r="F57" s="2" t="s">
        <v>23</v>
      </c>
      <c r="G57" s="5">
        <v>2</v>
      </c>
      <c r="H57" s="20">
        <v>38000000</v>
      </c>
      <c r="I57" s="2">
        <v>3</v>
      </c>
      <c r="J57" s="6">
        <v>1.3888888888888889E-3</v>
      </c>
      <c r="K57" s="2" t="s">
        <v>46</v>
      </c>
      <c r="L57" s="2" t="s">
        <v>39</v>
      </c>
      <c r="M57" s="2" t="s">
        <v>40</v>
      </c>
      <c r="N57" s="2" t="s">
        <v>78</v>
      </c>
      <c r="O57" s="2" t="s">
        <v>53</v>
      </c>
    </row>
    <row r="58" spans="1:15" ht="21" customHeight="1" x14ac:dyDescent="0.3">
      <c r="A58" s="17"/>
      <c r="B58" s="12" t="s">
        <v>14</v>
      </c>
      <c r="C58" s="13">
        <v>26</v>
      </c>
      <c r="D58" s="14" t="s">
        <v>22</v>
      </c>
      <c r="E58" s="12" t="s">
        <v>16</v>
      </c>
      <c r="F58" s="12" t="s">
        <v>42</v>
      </c>
      <c r="G58" s="15">
        <v>4</v>
      </c>
      <c r="H58" s="21">
        <v>20000000</v>
      </c>
      <c r="I58" s="12">
        <v>3</v>
      </c>
      <c r="J58" s="16">
        <v>1.3888888888888889E-3</v>
      </c>
      <c r="K58" s="12" t="s">
        <v>61</v>
      </c>
      <c r="L58" s="12" t="s">
        <v>19</v>
      </c>
      <c r="M58" s="12" t="s">
        <v>20</v>
      </c>
      <c r="N58" s="12" t="s">
        <v>66</v>
      </c>
      <c r="O58" s="12" t="s">
        <v>36</v>
      </c>
    </row>
    <row r="59" spans="1:15" ht="21" customHeight="1" x14ac:dyDescent="0.3">
      <c r="A59" s="17"/>
      <c r="B59" s="2" t="s">
        <v>70</v>
      </c>
      <c r="C59" s="3">
        <v>11</v>
      </c>
      <c r="D59" s="4" t="s">
        <v>58</v>
      </c>
      <c r="E59" s="2" t="s">
        <v>32</v>
      </c>
      <c r="F59" s="2" t="s">
        <v>17</v>
      </c>
      <c r="G59" s="5">
        <v>0</v>
      </c>
      <c r="H59" s="20">
        <v>0</v>
      </c>
      <c r="I59" s="2">
        <v>1</v>
      </c>
      <c r="J59" s="6">
        <v>1.3888888888888889E-3</v>
      </c>
      <c r="K59" s="2"/>
      <c r="L59" s="2"/>
      <c r="M59" s="2" t="s">
        <v>30</v>
      </c>
      <c r="N59" s="2" t="s">
        <v>78</v>
      </c>
      <c r="O59" s="2" t="s">
        <v>62</v>
      </c>
    </row>
    <row r="60" spans="1:15" ht="21" customHeight="1" x14ac:dyDescent="0.3">
      <c r="A60" s="17"/>
      <c r="B60" s="12" t="s">
        <v>70</v>
      </c>
      <c r="C60" s="13">
        <v>14</v>
      </c>
      <c r="D60" s="14" t="s">
        <v>15</v>
      </c>
      <c r="E60" s="12" t="s">
        <v>16</v>
      </c>
      <c r="F60" s="12" t="s">
        <v>23</v>
      </c>
      <c r="G60" s="15">
        <v>0</v>
      </c>
      <c r="H60" s="21">
        <v>0</v>
      </c>
      <c r="I60" s="12">
        <v>5</v>
      </c>
      <c r="J60" s="16">
        <v>1.3888888888888889E-3</v>
      </c>
      <c r="K60" s="12"/>
      <c r="L60" s="12"/>
      <c r="M60" s="12" t="s">
        <v>33</v>
      </c>
      <c r="N60" s="12" t="s">
        <v>76</v>
      </c>
      <c r="O60" s="12" t="s">
        <v>52</v>
      </c>
    </row>
    <row r="61" spans="1:15" ht="21" customHeight="1" x14ac:dyDescent="0.3">
      <c r="A61" s="17"/>
      <c r="B61" s="2" t="s">
        <v>70</v>
      </c>
      <c r="C61" s="3">
        <v>1</v>
      </c>
      <c r="D61" s="4" t="s">
        <v>59</v>
      </c>
      <c r="E61" s="2" t="s">
        <v>16</v>
      </c>
      <c r="F61" s="2" t="s">
        <v>23</v>
      </c>
      <c r="G61" s="5">
        <v>0</v>
      </c>
      <c r="H61" s="20">
        <v>0</v>
      </c>
      <c r="I61" s="2">
        <v>1</v>
      </c>
      <c r="J61" s="6">
        <v>1.3888888888888889E-3</v>
      </c>
      <c r="K61" s="2"/>
      <c r="L61" s="2"/>
      <c r="M61" s="2" t="s">
        <v>20</v>
      </c>
      <c r="N61" s="2" t="s">
        <v>77</v>
      </c>
      <c r="O61" s="2" t="s">
        <v>54</v>
      </c>
    </row>
    <row r="62" spans="1:15" ht="21" customHeight="1" x14ac:dyDescent="0.3">
      <c r="A62" s="17"/>
      <c r="B62" s="12" t="s">
        <v>70</v>
      </c>
      <c r="C62" s="13">
        <v>12</v>
      </c>
      <c r="D62" s="14" t="s">
        <v>60</v>
      </c>
      <c r="E62" s="12" t="s">
        <v>28</v>
      </c>
      <c r="F62" s="12" t="s">
        <v>17</v>
      </c>
      <c r="G62" s="15">
        <v>0</v>
      </c>
      <c r="H62" s="21">
        <v>0</v>
      </c>
      <c r="I62" s="12">
        <v>2</v>
      </c>
      <c r="J62" s="16">
        <v>1.3888888888888889E-3</v>
      </c>
      <c r="K62" s="12"/>
      <c r="L62" s="12"/>
      <c r="M62" s="12" t="s">
        <v>33</v>
      </c>
      <c r="N62" s="12" t="s">
        <v>76</v>
      </c>
      <c r="O62" s="12" t="s">
        <v>26</v>
      </c>
    </row>
    <row r="63" spans="1:15" ht="21" customHeight="1" x14ac:dyDescent="0.3">
      <c r="A63" s="17"/>
      <c r="B63" s="2" t="s">
        <v>70</v>
      </c>
      <c r="C63" s="3">
        <v>7</v>
      </c>
      <c r="D63" s="4" t="s">
        <v>37</v>
      </c>
      <c r="E63" s="2" t="s">
        <v>49</v>
      </c>
      <c r="F63" s="2" t="s">
        <v>23</v>
      </c>
      <c r="G63" s="5">
        <v>0</v>
      </c>
      <c r="H63" s="20">
        <v>0</v>
      </c>
      <c r="I63" s="2">
        <v>6</v>
      </c>
      <c r="J63" s="6">
        <v>1.3888888888888889E-3</v>
      </c>
      <c r="K63" s="2"/>
      <c r="L63" s="2"/>
      <c r="M63" s="2" t="s">
        <v>43</v>
      </c>
      <c r="N63" s="2" t="s">
        <v>66</v>
      </c>
      <c r="O63" s="2" t="s">
        <v>67</v>
      </c>
    </row>
    <row r="64" spans="1:15" ht="21" customHeight="1" x14ac:dyDescent="0.3">
      <c r="A64" s="17"/>
      <c r="B64" s="12" t="s">
        <v>70</v>
      </c>
      <c r="C64" s="13">
        <v>5</v>
      </c>
      <c r="D64" s="14" t="s">
        <v>37</v>
      </c>
      <c r="E64" s="12" t="s">
        <v>32</v>
      </c>
      <c r="F64" s="12" t="s">
        <v>42</v>
      </c>
      <c r="G64" s="15">
        <v>0</v>
      </c>
      <c r="H64" s="21">
        <v>0</v>
      </c>
      <c r="I64" s="12">
        <v>4</v>
      </c>
      <c r="J64" s="16">
        <v>1.3888888888888889E-3</v>
      </c>
      <c r="K64" s="12"/>
      <c r="L64" s="12"/>
      <c r="M64" s="12" t="s">
        <v>51</v>
      </c>
      <c r="N64" s="12" t="s">
        <v>76</v>
      </c>
      <c r="O64" s="12" t="s">
        <v>26</v>
      </c>
    </row>
    <row r="65" spans="1:15" ht="21" customHeight="1" x14ac:dyDescent="0.3">
      <c r="A65" s="17"/>
      <c r="B65" s="2" t="s">
        <v>70</v>
      </c>
      <c r="C65" s="3">
        <v>23</v>
      </c>
      <c r="D65" s="4" t="s">
        <v>44</v>
      </c>
      <c r="E65" s="2" t="s">
        <v>16</v>
      </c>
      <c r="F65" s="2" t="s">
        <v>23</v>
      </c>
      <c r="G65" s="5">
        <v>0</v>
      </c>
      <c r="H65" s="20">
        <v>0</v>
      </c>
      <c r="I65" s="2">
        <v>3</v>
      </c>
      <c r="J65" s="6">
        <v>1.3888888888888889E-3</v>
      </c>
      <c r="K65" s="2"/>
      <c r="L65" s="2"/>
      <c r="M65" s="2" t="s">
        <v>20</v>
      </c>
      <c r="N65" s="2" t="s">
        <v>66</v>
      </c>
      <c r="O65" s="2" t="s">
        <v>36</v>
      </c>
    </row>
    <row r="66" spans="1:15" ht="21" customHeight="1" x14ac:dyDescent="0.3">
      <c r="A66" s="17"/>
      <c r="B66" s="12" t="s">
        <v>70</v>
      </c>
      <c r="C66" s="13">
        <v>19</v>
      </c>
      <c r="D66" s="14" t="s">
        <v>44</v>
      </c>
      <c r="E66" s="12" t="s">
        <v>32</v>
      </c>
      <c r="F66" s="12" t="s">
        <v>23</v>
      </c>
      <c r="G66" s="15">
        <v>0</v>
      </c>
      <c r="H66" s="21">
        <v>0</v>
      </c>
      <c r="I66" s="12">
        <v>1</v>
      </c>
      <c r="J66" s="16">
        <v>1.3888888888888889E-3</v>
      </c>
      <c r="K66" s="12"/>
      <c r="L66" s="12"/>
      <c r="M66" s="12" t="s">
        <v>48</v>
      </c>
      <c r="N66" s="12" t="s">
        <v>78</v>
      </c>
      <c r="O66" s="12" t="s">
        <v>63</v>
      </c>
    </row>
    <row r="67" spans="1:15" ht="21" customHeight="1" x14ac:dyDescent="0.3">
      <c r="A67" s="17"/>
      <c r="B67" s="2" t="s">
        <v>70</v>
      </c>
      <c r="C67" s="3">
        <v>10</v>
      </c>
      <c r="D67" s="4" t="s">
        <v>69</v>
      </c>
      <c r="E67" s="2" t="s">
        <v>49</v>
      </c>
      <c r="F67" s="2" t="s">
        <v>17</v>
      </c>
      <c r="G67" s="5">
        <v>0</v>
      </c>
      <c r="H67" s="20">
        <v>0</v>
      </c>
      <c r="I67" s="2">
        <v>1</v>
      </c>
      <c r="J67" s="6">
        <v>1.3888888888888889E-3</v>
      </c>
      <c r="K67" s="2"/>
      <c r="L67" s="2"/>
      <c r="M67" s="2" t="s">
        <v>48</v>
      </c>
      <c r="N67" s="2" t="s">
        <v>78</v>
      </c>
      <c r="O67" s="2" t="s">
        <v>41</v>
      </c>
    </row>
    <row r="68" spans="1:15" ht="21" customHeight="1" x14ac:dyDescent="0.3">
      <c r="A68" s="17"/>
      <c r="B68" s="12" t="s">
        <v>70</v>
      </c>
      <c r="C68" s="13">
        <v>11</v>
      </c>
      <c r="D68" s="14" t="s">
        <v>58</v>
      </c>
      <c r="E68" s="12" t="s">
        <v>32</v>
      </c>
      <c r="F68" s="12" t="s">
        <v>17</v>
      </c>
      <c r="G68" s="15">
        <v>0</v>
      </c>
      <c r="H68" s="21">
        <v>0</v>
      </c>
      <c r="I68" s="12">
        <v>1</v>
      </c>
      <c r="J68" s="16">
        <v>1.3888888888888889E-3</v>
      </c>
      <c r="K68" s="12"/>
      <c r="L68" s="12"/>
      <c r="M68" s="12" t="s">
        <v>30</v>
      </c>
      <c r="N68" s="12" t="s">
        <v>78</v>
      </c>
      <c r="O68" s="12" t="s">
        <v>62</v>
      </c>
    </row>
    <row r="69" spans="1:15" ht="21" customHeight="1" x14ac:dyDescent="0.3">
      <c r="A69" s="17"/>
      <c r="B69" s="2" t="s">
        <v>70</v>
      </c>
      <c r="C69" s="3">
        <v>14</v>
      </c>
      <c r="D69" s="4" t="s">
        <v>15</v>
      </c>
      <c r="E69" s="2" t="s">
        <v>16</v>
      </c>
      <c r="F69" s="2" t="s">
        <v>23</v>
      </c>
      <c r="G69" s="5">
        <v>0</v>
      </c>
      <c r="H69" s="20">
        <v>0</v>
      </c>
      <c r="I69" s="2">
        <v>5</v>
      </c>
      <c r="J69" s="6">
        <v>1.3888888888888889E-3</v>
      </c>
      <c r="K69" s="2"/>
      <c r="L69" s="2"/>
      <c r="M69" s="2" t="s">
        <v>33</v>
      </c>
      <c r="N69" s="2" t="s">
        <v>76</v>
      </c>
      <c r="O69" s="2" t="s">
        <v>52</v>
      </c>
    </row>
    <row r="70" spans="1:15" ht="21" customHeight="1" x14ac:dyDescent="0.3">
      <c r="A70" s="17"/>
      <c r="B70" s="12" t="s">
        <v>70</v>
      </c>
      <c r="C70" s="13">
        <v>1</v>
      </c>
      <c r="D70" s="14" t="s">
        <v>59</v>
      </c>
      <c r="E70" s="12" t="s">
        <v>16</v>
      </c>
      <c r="F70" s="12" t="s">
        <v>23</v>
      </c>
      <c r="G70" s="15">
        <v>0</v>
      </c>
      <c r="H70" s="21">
        <v>0</v>
      </c>
      <c r="I70" s="12">
        <v>1</v>
      </c>
      <c r="J70" s="16">
        <v>1.3888888888888889E-3</v>
      </c>
      <c r="K70" s="12"/>
      <c r="L70" s="12"/>
      <c r="M70" s="12" t="s">
        <v>20</v>
      </c>
      <c r="N70" s="12" t="s">
        <v>77</v>
      </c>
      <c r="O70" s="12" t="s">
        <v>54</v>
      </c>
    </row>
    <row r="71" spans="1:15" ht="21" customHeight="1" x14ac:dyDescent="0.3">
      <c r="A71" s="17"/>
      <c r="B71" s="2" t="s">
        <v>70</v>
      </c>
      <c r="C71" s="3">
        <v>12</v>
      </c>
      <c r="D71" s="4" t="s">
        <v>60</v>
      </c>
      <c r="E71" s="2" t="s">
        <v>28</v>
      </c>
      <c r="F71" s="2" t="s">
        <v>17</v>
      </c>
      <c r="G71" s="5">
        <v>0</v>
      </c>
      <c r="H71" s="20">
        <v>0</v>
      </c>
      <c r="I71" s="2">
        <v>2</v>
      </c>
      <c r="J71" s="6">
        <v>1.3888888888888889E-3</v>
      </c>
      <c r="K71" s="2"/>
      <c r="L71" s="2"/>
      <c r="M71" s="2" t="s">
        <v>33</v>
      </c>
      <c r="N71" s="2" t="s">
        <v>76</v>
      </c>
      <c r="O71" s="2" t="s">
        <v>26</v>
      </c>
    </row>
    <row r="72" spans="1:15" ht="21" customHeight="1" x14ac:dyDescent="0.3">
      <c r="A72" s="17"/>
      <c r="B72" s="12" t="s">
        <v>14</v>
      </c>
      <c r="C72" s="13">
        <v>1</v>
      </c>
      <c r="D72" s="14" t="s">
        <v>59</v>
      </c>
      <c r="E72" s="12" t="s">
        <v>32</v>
      </c>
      <c r="F72" s="12" t="s">
        <v>23</v>
      </c>
      <c r="G72" s="15">
        <v>5</v>
      </c>
      <c r="H72" s="21">
        <v>25000000</v>
      </c>
      <c r="I72" s="12">
        <v>1</v>
      </c>
      <c r="J72" s="16">
        <v>1.3888888888888889E-3</v>
      </c>
      <c r="K72" s="12" t="s">
        <v>18</v>
      </c>
      <c r="L72" s="12" t="s">
        <v>47</v>
      </c>
      <c r="M72" s="12" t="s">
        <v>30</v>
      </c>
      <c r="N72" s="12" t="s">
        <v>66</v>
      </c>
      <c r="O72" s="12" t="s">
        <v>67</v>
      </c>
    </row>
    <row r="73" spans="1:15" ht="21" customHeight="1" x14ac:dyDescent="0.3">
      <c r="A73" s="17"/>
      <c r="B73" s="2" t="s">
        <v>14</v>
      </c>
      <c r="C73" s="3">
        <v>12</v>
      </c>
      <c r="D73" s="4" t="s">
        <v>60</v>
      </c>
      <c r="E73" s="2" t="s">
        <v>16</v>
      </c>
      <c r="F73" s="2" t="s">
        <v>42</v>
      </c>
      <c r="G73" s="5">
        <v>2</v>
      </c>
      <c r="H73" s="20">
        <v>12000000</v>
      </c>
      <c r="I73" s="2">
        <v>2</v>
      </c>
      <c r="J73" s="6">
        <v>1.3888888888888889E-3</v>
      </c>
      <c r="K73" s="2" t="s">
        <v>18</v>
      </c>
      <c r="L73" s="2" t="s">
        <v>19</v>
      </c>
      <c r="M73" s="2" t="s">
        <v>30</v>
      </c>
      <c r="N73" s="2" t="s">
        <v>76</v>
      </c>
      <c r="O73" s="2" t="s">
        <v>26</v>
      </c>
    </row>
    <row r="74" spans="1:15" ht="21" customHeight="1" x14ac:dyDescent="0.3">
      <c r="A74" s="17"/>
      <c r="B74" s="12" t="s">
        <v>14</v>
      </c>
      <c r="C74" s="13">
        <v>12</v>
      </c>
      <c r="D74" s="14" t="s">
        <v>60</v>
      </c>
      <c r="E74" s="12" t="s">
        <v>16</v>
      </c>
      <c r="F74" s="12" t="s">
        <v>42</v>
      </c>
      <c r="G74" s="15">
        <v>3</v>
      </c>
      <c r="H74" s="21">
        <v>15000000</v>
      </c>
      <c r="I74" s="12">
        <v>5</v>
      </c>
      <c r="J74" s="16">
        <v>1.3888888888888889E-3</v>
      </c>
      <c r="K74" s="12" t="s">
        <v>18</v>
      </c>
      <c r="L74" s="12" t="s">
        <v>39</v>
      </c>
      <c r="M74" s="12" t="s">
        <v>48</v>
      </c>
      <c r="N74" s="12" t="s">
        <v>78</v>
      </c>
      <c r="O74" s="12" t="s">
        <v>63</v>
      </c>
    </row>
    <row r="75" spans="1:15" ht="21" customHeight="1" x14ac:dyDescent="0.3">
      <c r="A75" s="17"/>
      <c r="B75" s="2" t="s">
        <v>14</v>
      </c>
      <c r="C75" s="3">
        <v>10</v>
      </c>
      <c r="D75" s="4" t="s">
        <v>22</v>
      </c>
      <c r="E75" s="2" t="s">
        <v>16</v>
      </c>
      <c r="F75" s="2" t="s">
        <v>68</v>
      </c>
      <c r="G75" s="5">
        <v>2</v>
      </c>
      <c r="H75" s="20">
        <v>12000000</v>
      </c>
      <c r="I75" s="2">
        <v>4</v>
      </c>
      <c r="J75" s="6">
        <v>1.3888888888888889E-3</v>
      </c>
      <c r="K75" s="2" t="s">
        <v>18</v>
      </c>
      <c r="L75" s="2" t="s">
        <v>50</v>
      </c>
      <c r="M75" s="2" t="s">
        <v>33</v>
      </c>
      <c r="N75" s="2" t="s">
        <v>76</v>
      </c>
      <c r="O75" s="2" t="s">
        <v>31</v>
      </c>
    </row>
    <row r="76" spans="1:15" ht="21" customHeight="1" x14ac:dyDescent="0.3">
      <c r="A76" s="17"/>
      <c r="B76" s="12" t="s">
        <v>14</v>
      </c>
      <c r="C76" s="13">
        <v>23</v>
      </c>
      <c r="D76" s="14" t="s">
        <v>27</v>
      </c>
      <c r="E76" s="12" t="s">
        <v>16</v>
      </c>
      <c r="F76" s="12" t="s">
        <v>42</v>
      </c>
      <c r="G76" s="15">
        <v>5</v>
      </c>
      <c r="H76" s="21">
        <v>20000000</v>
      </c>
      <c r="I76" s="12">
        <v>1</v>
      </c>
      <c r="J76" s="16">
        <v>1.3888888888888889E-3</v>
      </c>
      <c r="K76" s="12" t="s">
        <v>18</v>
      </c>
      <c r="L76" s="12" t="s">
        <v>47</v>
      </c>
      <c r="M76" s="12" t="s">
        <v>30</v>
      </c>
      <c r="N76" s="12" t="s">
        <v>77</v>
      </c>
      <c r="O76" s="12" t="s">
        <v>65</v>
      </c>
    </row>
    <row r="77" spans="1:15" ht="21" customHeight="1" x14ac:dyDescent="0.3">
      <c r="A77" s="17"/>
      <c r="B77" s="2" t="s">
        <v>14</v>
      </c>
      <c r="C77" s="3">
        <v>8</v>
      </c>
      <c r="D77" s="4" t="s">
        <v>27</v>
      </c>
      <c r="E77" s="2" t="s">
        <v>32</v>
      </c>
      <c r="F77" s="2" t="s">
        <v>17</v>
      </c>
      <c r="G77" s="5">
        <v>5</v>
      </c>
      <c r="H77" s="20">
        <v>21000000</v>
      </c>
      <c r="I77" s="2">
        <v>4</v>
      </c>
      <c r="J77" s="6">
        <v>1.3888888888888889E-3</v>
      </c>
      <c r="K77" s="2" t="s">
        <v>18</v>
      </c>
      <c r="L77" s="2" t="s">
        <v>19</v>
      </c>
      <c r="M77" s="2" t="s">
        <v>43</v>
      </c>
      <c r="N77" s="2" t="s">
        <v>78</v>
      </c>
      <c r="O77" s="2" t="s">
        <v>66</v>
      </c>
    </row>
    <row r="78" spans="1:15" ht="21" customHeight="1" x14ac:dyDescent="0.3">
      <c r="A78" s="17"/>
      <c r="B78" s="12" t="s">
        <v>14</v>
      </c>
      <c r="C78" s="13">
        <v>22</v>
      </c>
      <c r="D78" s="14" t="s">
        <v>27</v>
      </c>
      <c r="E78" s="12" t="s">
        <v>16</v>
      </c>
      <c r="F78" s="12" t="s">
        <v>42</v>
      </c>
      <c r="G78" s="15">
        <v>4</v>
      </c>
      <c r="H78" s="21">
        <v>15000000</v>
      </c>
      <c r="I78" s="12">
        <v>3</v>
      </c>
      <c r="J78" s="16">
        <v>1.3888888888888889E-3</v>
      </c>
      <c r="K78" s="12" t="s">
        <v>18</v>
      </c>
      <c r="L78" s="12" t="s">
        <v>39</v>
      </c>
      <c r="M78" s="12" t="s">
        <v>43</v>
      </c>
      <c r="N78" s="12" t="s">
        <v>76</v>
      </c>
      <c r="O78" s="12" t="s">
        <v>31</v>
      </c>
    </row>
    <row r="79" spans="1:15" ht="21" customHeight="1" x14ac:dyDescent="0.3">
      <c r="A79" s="17"/>
      <c r="B79" s="2" t="s">
        <v>14</v>
      </c>
      <c r="C79" s="3">
        <v>30</v>
      </c>
      <c r="D79" s="4" t="s">
        <v>27</v>
      </c>
      <c r="E79" s="2" t="s">
        <v>16</v>
      </c>
      <c r="F79" s="2" t="s">
        <v>45</v>
      </c>
      <c r="G79" s="5">
        <v>2</v>
      </c>
      <c r="H79" s="20">
        <v>12000000</v>
      </c>
      <c r="I79" s="2">
        <v>3</v>
      </c>
      <c r="J79" s="6">
        <v>1.3888888888888889E-3</v>
      </c>
      <c r="K79" s="2" t="s">
        <v>18</v>
      </c>
      <c r="L79" s="2" t="s">
        <v>47</v>
      </c>
      <c r="M79" s="2" t="s">
        <v>48</v>
      </c>
      <c r="N79" s="2" t="s">
        <v>78</v>
      </c>
      <c r="O79" s="2" t="s">
        <v>63</v>
      </c>
    </row>
    <row r="80" spans="1:15" ht="21" customHeight="1" x14ac:dyDescent="0.3">
      <c r="A80" s="17"/>
      <c r="B80" s="12" t="s">
        <v>14</v>
      </c>
      <c r="C80" s="13">
        <v>8</v>
      </c>
      <c r="D80" s="14" t="s">
        <v>37</v>
      </c>
      <c r="E80" s="12" t="s">
        <v>16</v>
      </c>
      <c r="F80" s="12" t="s">
        <v>23</v>
      </c>
      <c r="G80" s="15">
        <v>4</v>
      </c>
      <c r="H80" s="21">
        <v>20000000</v>
      </c>
      <c r="I80" s="12">
        <v>3</v>
      </c>
      <c r="J80" s="16">
        <v>1.3888888888888889E-3</v>
      </c>
      <c r="K80" s="12" t="s">
        <v>18</v>
      </c>
      <c r="L80" s="12" t="s">
        <v>64</v>
      </c>
      <c r="M80" s="12" t="s">
        <v>43</v>
      </c>
      <c r="N80" s="12" t="s">
        <v>77</v>
      </c>
      <c r="O80" s="12" t="s">
        <v>54</v>
      </c>
    </row>
    <row r="81" spans="1:15" ht="21" customHeight="1" x14ac:dyDescent="0.3">
      <c r="A81" s="17"/>
      <c r="B81" s="2" t="s">
        <v>14</v>
      </c>
      <c r="C81" s="3">
        <v>30</v>
      </c>
      <c r="D81" s="4" t="s">
        <v>37</v>
      </c>
      <c r="E81" s="2" t="s">
        <v>38</v>
      </c>
      <c r="F81" s="2" t="s">
        <v>42</v>
      </c>
      <c r="G81" s="5">
        <v>3</v>
      </c>
      <c r="H81" s="20">
        <v>15000000</v>
      </c>
      <c r="I81" s="2">
        <v>1</v>
      </c>
      <c r="J81" s="6">
        <v>1.3888888888888889E-3</v>
      </c>
      <c r="K81" s="2" t="s">
        <v>18</v>
      </c>
      <c r="L81" s="2" t="s">
        <v>19</v>
      </c>
      <c r="M81" s="2" t="s">
        <v>25</v>
      </c>
      <c r="N81" s="2" t="s">
        <v>76</v>
      </c>
      <c r="O81" s="2" t="s">
        <v>26</v>
      </c>
    </row>
    <row r="82" spans="1:15" ht="21" customHeight="1" x14ac:dyDescent="0.3">
      <c r="A82" s="17"/>
      <c r="B82" s="12" t="s">
        <v>14</v>
      </c>
      <c r="C82" s="13">
        <v>9</v>
      </c>
      <c r="D82" s="14" t="s">
        <v>37</v>
      </c>
      <c r="E82" s="12" t="s">
        <v>28</v>
      </c>
      <c r="F82" s="12" t="s">
        <v>42</v>
      </c>
      <c r="G82" s="15">
        <v>3</v>
      </c>
      <c r="H82" s="21">
        <v>15000000</v>
      </c>
      <c r="I82" s="12">
        <v>3</v>
      </c>
      <c r="J82" s="16">
        <v>1.3888888888888889E-3</v>
      </c>
      <c r="K82" s="12" t="s">
        <v>18</v>
      </c>
      <c r="L82" s="12" t="s">
        <v>39</v>
      </c>
      <c r="M82" s="12" t="s">
        <v>51</v>
      </c>
      <c r="N82" s="12" t="s">
        <v>76</v>
      </c>
      <c r="O82" s="12" t="s">
        <v>71</v>
      </c>
    </row>
    <row r="83" spans="1:15" ht="21" customHeight="1" x14ac:dyDescent="0.3">
      <c r="A83" s="17"/>
      <c r="B83" s="2" t="s">
        <v>14</v>
      </c>
      <c r="C83" s="3">
        <v>11</v>
      </c>
      <c r="D83" s="4" t="s">
        <v>37</v>
      </c>
      <c r="E83" s="2" t="s">
        <v>38</v>
      </c>
      <c r="F83" s="2" t="s">
        <v>42</v>
      </c>
      <c r="G83" s="5">
        <v>3</v>
      </c>
      <c r="H83" s="20">
        <v>15000000</v>
      </c>
      <c r="I83" s="2">
        <v>2</v>
      </c>
      <c r="J83" s="6">
        <v>1.3888888888888889E-3</v>
      </c>
      <c r="K83" s="2" t="s">
        <v>18</v>
      </c>
      <c r="L83" s="2" t="s">
        <v>56</v>
      </c>
      <c r="M83" s="2" t="s">
        <v>51</v>
      </c>
      <c r="N83" s="2" t="s">
        <v>76</v>
      </c>
      <c r="O83" s="2" t="s">
        <v>52</v>
      </c>
    </row>
    <row r="84" spans="1:15" ht="21" customHeight="1" x14ac:dyDescent="0.3">
      <c r="A84" s="17"/>
      <c r="B84" s="12" t="s">
        <v>14</v>
      </c>
      <c r="C84" s="13">
        <v>26</v>
      </c>
      <c r="D84" s="14" t="s">
        <v>37</v>
      </c>
      <c r="E84" s="12" t="s">
        <v>16</v>
      </c>
      <c r="F84" s="12" t="s">
        <v>23</v>
      </c>
      <c r="G84" s="15">
        <v>1</v>
      </c>
      <c r="H84" s="21">
        <v>7000000</v>
      </c>
      <c r="I84" s="12">
        <v>2</v>
      </c>
      <c r="J84" s="16">
        <v>1.3888888888888889E-3</v>
      </c>
      <c r="K84" s="12" t="s">
        <v>18</v>
      </c>
      <c r="L84" s="12" t="s">
        <v>64</v>
      </c>
      <c r="M84" s="12" t="s">
        <v>51</v>
      </c>
      <c r="N84" s="12" t="s">
        <v>78</v>
      </c>
      <c r="O84" s="12" t="s">
        <v>62</v>
      </c>
    </row>
    <row r="85" spans="1:15" ht="21" customHeight="1" x14ac:dyDescent="0.3">
      <c r="A85" s="17"/>
      <c r="B85" s="2" t="s">
        <v>14</v>
      </c>
      <c r="C85" s="3">
        <v>22</v>
      </c>
      <c r="D85" s="4" t="s">
        <v>44</v>
      </c>
      <c r="E85" s="2" t="s">
        <v>32</v>
      </c>
      <c r="F85" s="2" t="s">
        <v>23</v>
      </c>
      <c r="G85" s="5">
        <v>2</v>
      </c>
      <c r="H85" s="20">
        <v>38000000</v>
      </c>
      <c r="I85" s="2">
        <v>4</v>
      </c>
      <c r="J85" s="6">
        <v>1.3888888888888889E-3</v>
      </c>
      <c r="K85" s="2" t="s">
        <v>46</v>
      </c>
      <c r="L85" s="2" t="s">
        <v>56</v>
      </c>
      <c r="M85" s="2" t="s">
        <v>33</v>
      </c>
      <c r="N85" s="2" t="s">
        <v>66</v>
      </c>
      <c r="O85" s="2" t="s">
        <v>67</v>
      </c>
    </row>
    <row r="86" spans="1:15" ht="21" customHeight="1" x14ac:dyDescent="0.3">
      <c r="A86" s="17"/>
      <c r="B86" s="12" t="s">
        <v>14</v>
      </c>
      <c r="C86" s="13">
        <v>3</v>
      </c>
      <c r="D86" s="14" t="s">
        <v>44</v>
      </c>
      <c r="E86" s="12" t="s">
        <v>49</v>
      </c>
      <c r="F86" s="12" t="s">
        <v>23</v>
      </c>
      <c r="G86" s="15">
        <v>1</v>
      </c>
      <c r="H86" s="21">
        <v>19000000</v>
      </c>
      <c r="I86" s="12">
        <v>1</v>
      </c>
      <c r="J86" s="16">
        <v>1.3888888888888889E-3</v>
      </c>
      <c r="K86" s="12" t="s">
        <v>46</v>
      </c>
      <c r="L86" s="12" t="s">
        <v>39</v>
      </c>
      <c r="M86" s="12" t="s">
        <v>20</v>
      </c>
      <c r="N86" s="12" t="s">
        <v>76</v>
      </c>
      <c r="O86" s="12" t="s">
        <v>31</v>
      </c>
    </row>
    <row r="87" spans="1:15" ht="21" customHeight="1" x14ac:dyDescent="0.3">
      <c r="A87" s="17"/>
      <c r="B87" s="2" t="s">
        <v>14</v>
      </c>
      <c r="C87" s="3">
        <v>8</v>
      </c>
      <c r="D87" s="4" t="s">
        <v>44</v>
      </c>
      <c r="E87" s="2" t="s">
        <v>49</v>
      </c>
      <c r="F87" s="2" t="s">
        <v>17</v>
      </c>
      <c r="G87" s="5">
        <v>2</v>
      </c>
      <c r="H87" s="20">
        <v>38000000</v>
      </c>
      <c r="I87" s="2">
        <v>1</v>
      </c>
      <c r="J87" s="6">
        <v>1.3888888888888889E-3</v>
      </c>
      <c r="K87" s="2" t="s">
        <v>46</v>
      </c>
      <c r="L87" s="2" t="s">
        <v>50</v>
      </c>
      <c r="M87" s="2" t="s">
        <v>25</v>
      </c>
      <c r="N87" s="2" t="s">
        <v>78</v>
      </c>
      <c r="O87" s="2" t="s">
        <v>21</v>
      </c>
    </row>
    <row r="88" spans="1:15" ht="21" customHeight="1" x14ac:dyDescent="0.3">
      <c r="A88" s="17"/>
      <c r="B88" s="12" t="s">
        <v>14</v>
      </c>
      <c r="C88" s="13">
        <v>19</v>
      </c>
      <c r="D88" s="14" t="s">
        <v>44</v>
      </c>
      <c r="E88" s="12" t="s">
        <v>28</v>
      </c>
      <c r="F88" s="12" t="s">
        <v>23</v>
      </c>
      <c r="G88" s="15">
        <v>2</v>
      </c>
      <c r="H88" s="21">
        <v>12000000</v>
      </c>
      <c r="I88" s="12">
        <v>1</v>
      </c>
      <c r="J88" s="16">
        <v>1.3888888888888889E-3</v>
      </c>
      <c r="K88" s="12" t="s">
        <v>18</v>
      </c>
      <c r="L88" s="12" t="s">
        <v>19</v>
      </c>
      <c r="M88" s="12" t="s">
        <v>20</v>
      </c>
      <c r="N88" s="12" t="s">
        <v>66</v>
      </c>
      <c r="O88" s="12" t="s">
        <v>67</v>
      </c>
    </row>
    <row r="89" spans="1:15" ht="21" customHeight="1" x14ac:dyDescent="0.3">
      <c r="A89" s="17"/>
      <c r="B89" s="2" t="s">
        <v>14</v>
      </c>
      <c r="C89" s="3">
        <v>1</v>
      </c>
      <c r="D89" s="4" t="s">
        <v>59</v>
      </c>
      <c r="E89" s="2" t="s">
        <v>32</v>
      </c>
      <c r="F89" s="2" t="s">
        <v>23</v>
      </c>
      <c r="G89" s="5">
        <v>5</v>
      </c>
      <c r="H89" s="20">
        <v>25000000</v>
      </c>
      <c r="I89" s="2">
        <v>1</v>
      </c>
      <c r="J89" s="6">
        <v>1.3888888888888889E-3</v>
      </c>
      <c r="K89" s="2" t="s">
        <v>18</v>
      </c>
      <c r="L89" s="2" t="s">
        <v>47</v>
      </c>
      <c r="M89" s="2" t="s">
        <v>30</v>
      </c>
      <c r="N89" s="2" t="s">
        <v>66</v>
      </c>
      <c r="O89" s="2" t="s">
        <v>67</v>
      </c>
    </row>
    <row r="90" spans="1:15" ht="21" customHeight="1" x14ac:dyDescent="0.3">
      <c r="A90" s="17"/>
      <c r="B90" s="12" t="s">
        <v>14</v>
      </c>
      <c r="C90" s="13">
        <v>12</v>
      </c>
      <c r="D90" s="14" t="s">
        <v>60</v>
      </c>
      <c r="E90" s="12" t="s">
        <v>16</v>
      </c>
      <c r="F90" s="12" t="s">
        <v>42</v>
      </c>
      <c r="G90" s="15">
        <v>2</v>
      </c>
      <c r="H90" s="21">
        <v>12000000</v>
      </c>
      <c r="I90" s="12">
        <v>2</v>
      </c>
      <c r="J90" s="16">
        <v>1.3888888888888889E-3</v>
      </c>
      <c r="K90" s="12" t="s">
        <v>18</v>
      </c>
      <c r="L90" s="12" t="s">
        <v>19</v>
      </c>
      <c r="M90" s="12" t="s">
        <v>30</v>
      </c>
      <c r="N90" s="12" t="s">
        <v>76</v>
      </c>
      <c r="O90" s="12" t="s">
        <v>26</v>
      </c>
    </row>
    <row r="91" spans="1:15" ht="21" customHeight="1" x14ac:dyDescent="0.3">
      <c r="A91" s="17"/>
      <c r="B91" s="2" t="s">
        <v>14</v>
      </c>
      <c r="C91" s="3">
        <v>12</v>
      </c>
      <c r="D91" s="4" t="s">
        <v>60</v>
      </c>
      <c r="E91" s="2" t="s">
        <v>16</v>
      </c>
      <c r="F91" s="2" t="s">
        <v>42</v>
      </c>
      <c r="G91" s="5">
        <v>3</v>
      </c>
      <c r="H91" s="20">
        <v>15000000</v>
      </c>
      <c r="I91" s="2">
        <v>5</v>
      </c>
      <c r="J91" s="6">
        <v>1.3888888888888889E-3</v>
      </c>
      <c r="K91" s="2" t="s">
        <v>18</v>
      </c>
      <c r="L91" s="2" t="s">
        <v>39</v>
      </c>
      <c r="M91" s="2" t="s">
        <v>48</v>
      </c>
      <c r="N91" s="2" t="s">
        <v>78</v>
      </c>
      <c r="O91" s="2" t="s">
        <v>63</v>
      </c>
    </row>
    <row r="92" spans="1:15" ht="21" customHeight="1" x14ac:dyDescent="0.3">
      <c r="A92" s="17"/>
      <c r="B92" s="12" t="s">
        <v>14</v>
      </c>
      <c r="C92" s="13">
        <v>10</v>
      </c>
      <c r="D92" s="14" t="s">
        <v>22</v>
      </c>
      <c r="E92" s="12" t="s">
        <v>16</v>
      </c>
      <c r="F92" s="12" t="s">
        <v>68</v>
      </c>
      <c r="G92" s="15">
        <v>2</v>
      </c>
      <c r="H92" s="21">
        <v>12000000</v>
      </c>
      <c r="I92" s="12">
        <v>4</v>
      </c>
      <c r="J92" s="16">
        <v>1.3888888888888889E-3</v>
      </c>
      <c r="K92" s="12" t="s">
        <v>18</v>
      </c>
      <c r="L92" s="12" t="s">
        <v>50</v>
      </c>
      <c r="M92" s="12" t="s">
        <v>33</v>
      </c>
      <c r="N92" s="12" t="s">
        <v>76</v>
      </c>
      <c r="O92" s="12" t="s">
        <v>31</v>
      </c>
    </row>
    <row r="93" spans="1:15" ht="21" customHeight="1" x14ac:dyDescent="0.3">
      <c r="A93" s="17"/>
      <c r="B93" s="2" t="s">
        <v>70</v>
      </c>
      <c r="C93" s="3">
        <v>3</v>
      </c>
      <c r="D93" s="4" t="s">
        <v>60</v>
      </c>
      <c r="E93" s="2" t="s">
        <v>28</v>
      </c>
      <c r="F93" s="2" t="s">
        <v>23</v>
      </c>
      <c r="G93" s="5">
        <v>0</v>
      </c>
      <c r="H93" s="20">
        <v>0</v>
      </c>
      <c r="I93" s="2">
        <v>2</v>
      </c>
      <c r="J93" s="6">
        <v>1.3888888888888889E-3</v>
      </c>
      <c r="K93" s="2"/>
      <c r="L93" s="2"/>
      <c r="M93" s="2" t="s">
        <v>48</v>
      </c>
      <c r="N93" s="2" t="s">
        <v>76</v>
      </c>
      <c r="O93" s="2" t="s">
        <v>26</v>
      </c>
    </row>
    <row r="94" spans="1:15" ht="21" customHeight="1" x14ac:dyDescent="0.3">
      <c r="A94" s="17"/>
      <c r="B94" s="12" t="s">
        <v>70</v>
      </c>
      <c r="C94" s="13">
        <v>13</v>
      </c>
      <c r="D94" s="14" t="s">
        <v>22</v>
      </c>
      <c r="E94" s="12" t="s">
        <v>28</v>
      </c>
      <c r="F94" s="12" t="s">
        <v>17</v>
      </c>
      <c r="G94" s="15">
        <v>0</v>
      </c>
      <c r="H94" s="21">
        <v>0</v>
      </c>
      <c r="I94" s="12">
        <v>1</v>
      </c>
      <c r="J94" s="16">
        <v>1.3888888888888889E-3</v>
      </c>
      <c r="K94" s="12"/>
      <c r="L94" s="12"/>
      <c r="M94" s="12" t="s">
        <v>33</v>
      </c>
      <c r="N94" s="12" t="s">
        <v>78</v>
      </c>
      <c r="O94" s="12" t="s">
        <v>21</v>
      </c>
    </row>
    <row r="95" spans="1:15" ht="21" customHeight="1" x14ac:dyDescent="0.3">
      <c r="A95" s="17"/>
      <c r="B95" s="2" t="s">
        <v>70</v>
      </c>
      <c r="C95" s="3">
        <v>29</v>
      </c>
      <c r="D95" s="4" t="s">
        <v>37</v>
      </c>
      <c r="E95" s="2" t="s">
        <v>28</v>
      </c>
      <c r="F95" s="2" t="s">
        <v>17</v>
      </c>
      <c r="G95" s="5">
        <v>0</v>
      </c>
      <c r="H95" s="20">
        <v>0</v>
      </c>
      <c r="I95" s="2">
        <v>4</v>
      </c>
      <c r="J95" s="6">
        <v>1.3888888888888889E-3</v>
      </c>
      <c r="K95" s="2"/>
      <c r="L95" s="2"/>
      <c r="M95" s="2" t="s">
        <v>33</v>
      </c>
      <c r="N95" s="2" t="s">
        <v>77</v>
      </c>
      <c r="O95" s="2" t="s">
        <v>65</v>
      </c>
    </row>
    <row r="96" spans="1:15" ht="21" customHeight="1" x14ac:dyDescent="0.3">
      <c r="A96" s="17"/>
      <c r="B96" s="12" t="s">
        <v>70</v>
      </c>
      <c r="C96" s="13">
        <v>5</v>
      </c>
      <c r="D96" s="14" t="s">
        <v>37</v>
      </c>
      <c r="E96" s="12" t="s">
        <v>28</v>
      </c>
      <c r="F96" s="12" t="s">
        <v>23</v>
      </c>
      <c r="G96" s="15">
        <v>0</v>
      </c>
      <c r="H96" s="21">
        <v>0</v>
      </c>
      <c r="I96" s="12">
        <v>5</v>
      </c>
      <c r="J96" s="16">
        <v>1.3888888888888889E-3</v>
      </c>
      <c r="K96" s="12"/>
      <c r="L96" s="12"/>
      <c r="M96" s="12" t="s">
        <v>25</v>
      </c>
      <c r="N96" s="12" t="s">
        <v>76</v>
      </c>
      <c r="O96" s="12" t="s">
        <v>52</v>
      </c>
    </row>
    <row r="97" spans="1:15" ht="21" customHeight="1" x14ac:dyDescent="0.3">
      <c r="A97" s="17"/>
      <c r="B97" s="2" t="s">
        <v>70</v>
      </c>
      <c r="C97" s="3">
        <v>19</v>
      </c>
      <c r="D97" s="4" t="s">
        <v>44</v>
      </c>
      <c r="E97" s="2" t="s">
        <v>49</v>
      </c>
      <c r="F97" s="2" t="s">
        <v>42</v>
      </c>
      <c r="G97" s="5">
        <v>0</v>
      </c>
      <c r="H97" s="20">
        <v>0</v>
      </c>
      <c r="I97" s="2">
        <v>2</v>
      </c>
      <c r="J97" s="6">
        <v>1.3888888888888889E-3</v>
      </c>
      <c r="K97" s="2"/>
      <c r="L97" s="2"/>
      <c r="M97" s="2" t="s">
        <v>51</v>
      </c>
      <c r="N97" s="2" t="s">
        <v>66</v>
      </c>
      <c r="O97" s="2" t="s">
        <v>67</v>
      </c>
    </row>
    <row r="98" spans="1:15" ht="21" customHeight="1" x14ac:dyDescent="0.3">
      <c r="A98" s="17"/>
      <c r="B98" s="12" t="s">
        <v>70</v>
      </c>
      <c r="C98" s="13">
        <v>18</v>
      </c>
      <c r="D98" s="14" t="s">
        <v>69</v>
      </c>
      <c r="E98" s="12" t="s">
        <v>16</v>
      </c>
      <c r="F98" s="12" t="s">
        <v>42</v>
      </c>
      <c r="G98" s="15">
        <v>0</v>
      </c>
      <c r="H98" s="21">
        <v>0</v>
      </c>
      <c r="I98" s="12">
        <v>1</v>
      </c>
      <c r="J98" s="16">
        <v>1.3888888888888889E-3</v>
      </c>
      <c r="K98" s="12"/>
      <c r="L98" s="12"/>
      <c r="M98" s="12" t="s">
        <v>30</v>
      </c>
      <c r="N98" s="12" t="s">
        <v>66</v>
      </c>
      <c r="O98" s="12" t="s">
        <v>36</v>
      </c>
    </row>
    <row r="99" spans="1:15" ht="21" customHeight="1" x14ac:dyDescent="0.3">
      <c r="A99" s="17"/>
      <c r="B99" s="2" t="s">
        <v>70</v>
      </c>
      <c r="C99" s="3">
        <v>29</v>
      </c>
      <c r="D99" s="4" t="s">
        <v>69</v>
      </c>
      <c r="E99" s="2" t="s">
        <v>49</v>
      </c>
      <c r="F99" s="2" t="s">
        <v>17</v>
      </c>
      <c r="G99" s="5">
        <v>0</v>
      </c>
      <c r="H99" s="20">
        <v>0</v>
      </c>
      <c r="I99" s="2">
        <v>1</v>
      </c>
      <c r="J99" s="6">
        <v>1.3888888888888889E-3</v>
      </c>
      <c r="K99" s="2"/>
      <c r="L99" s="2"/>
      <c r="M99" s="2" t="s">
        <v>30</v>
      </c>
      <c r="N99" s="2" t="s">
        <v>78</v>
      </c>
      <c r="O99" s="2" t="s">
        <v>62</v>
      </c>
    </row>
    <row r="100" spans="1:15" ht="21" customHeight="1" x14ac:dyDescent="0.3">
      <c r="A100" s="17"/>
      <c r="B100" s="12" t="s">
        <v>70</v>
      </c>
      <c r="C100" s="13">
        <v>1</v>
      </c>
      <c r="D100" s="14" t="s">
        <v>69</v>
      </c>
      <c r="E100" s="12" t="s">
        <v>49</v>
      </c>
      <c r="F100" s="12" t="s">
        <v>23</v>
      </c>
      <c r="G100" s="15">
        <v>0</v>
      </c>
      <c r="H100" s="21">
        <v>0</v>
      </c>
      <c r="I100" s="12">
        <v>2</v>
      </c>
      <c r="J100" s="16">
        <v>1.3888888888888889E-3</v>
      </c>
      <c r="K100" s="12"/>
      <c r="L100" s="12"/>
      <c r="M100" s="12" t="s">
        <v>43</v>
      </c>
      <c r="N100" s="12" t="s">
        <v>78</v>
      </c>
      <c r="O100" s="12" t="s">
        <v>21</v>
      </c>
    </row>
    <row r="101" spans="1:15" ht="21" customHeight="1" x14ac:dyDescent="0.3">
      <c r="A101" s="17"/>
      <c r="B101" s="2" t="s">
        <v>70</v>
      </c>
      <c r="C101" s="3">
        <v>30</v>
      </c>
      <c r="D101" s="4" t="s">
        <v>69</v>
      </c>
      <c r="E101" s="2" t="s">
        <v>28</v>
      </c>
      <c r="F101" s="2" t="s">
        <v>23</v>
      </c>
      <c r="G101" s="5">
        <v>0</v>
      </c>
      <c r="H101" s="20">
        <v>0</v>
      </c>
      <c r="I101" s="2">
        <v>1</v>
      </c>
      <c r="J101" s="6">
        <v>1.3888888888888889E-3</v>
      </c>
      <c r="K101" s="2"/>
      <c r="L101" s="2"/>
      <c r="M101" s="2" t="s">
        <v>48</v>
      </c>
      <c r="N101" s="2" t="s">
        <v>77</v>
      </c>
      <c r="O101" s="2" t="s">
        <v>54</v>
      </c>
    </row>
    <row r="102" spans="1:15" ht="21" customHeight="1" x14ac:dyDescent="0.3">
      <c r="A102" s="17"/>
      <c r="B102" s="12" t="s">
        <v>70</v>
      </c>
      <c r="C102" s="13">
        <v>3</v>
      </c>
      <c r="D102" s="14" t="s">
        <v>60</v>
      </c>
      <c r="E102" s="12" t="s">
        <v>28</v>
      </c>
      <c r="F102" s="12" t="s">
        <v>23</v>
      </c>
      <c r="G102" s="15">
        <v>0</v>
      </c>
      <c r="H102" s="21">
        <v>0</v>
      </c>
      <c r="I102" s="12">
        <v>2</v>
      </c>
      <c r="J102" s="16">
        <v>1.3888888888888889E-3</v>
      </c>
      <c r="K102" s="12"/>
      <c r="L102" s="12"/>
      <c r="M102" s="12" t="s">
        <v>48</v>
      </c>
      <c r="N102" s="12" t="s">
        <v>76</v>
      </c>
      <c r="O102" s="12" t="s">
        <v>26</v>
      </c>
    </row>
    <row r="103" spans="1:15" ht="21" customHeight="1" x14ac:dyDescent="0.3">
      <c r="A103" s="17"/>
      <c r="B103" s="2" t="s">
        <v>14</v>
      </c>
      <c r="C103" s="3">
        <v>11</v>
      </c>
      <c r="D103" s="4" t="s">
        <v>55</v>
      </c>
      <c r="E103" s="2" t="s">
        <v>49</v>
      </c>
      <c r="F103" s="2" t="s">
        <v>17</v>
      </c>
      <c r="G103" s="5">
        <v>4</v>
      </c>
      <c r="H103" s="20">
        <v>20000000</v>
      </c>
      <c r="I103" s="2">
        <v>2</v>
      </c>
      <c r="J103" s="6">
        <v>1.3888888888888889E-3</v>
      </c>
      <c r="K103" s="2" t="s">
        <v>61</v>
      </c>
      <c r="L103" s="2" t="s">
        <v>35</v>
      </c>
      <c r="M103" s="2" t="s">
        <v>30</v>
      </c>
      <c r="N103" s="2" t="s">
        <v>66</v>
      </c>
      <c r="O103" s="2" t="s">
        <v>67</v>
      </c>
    </row>
    <row r="104" spans="1:15" ht="21" customHeight="1" x14ac:dyDescent="0.3">
      <c r="A104" s="17"/>
      <c r="B104" s="12" t="s">
        <v>14</v>
      </c>
      <c r="C104" s="13">
        <v>14</v>
      </c>
      <c r="D104" s="14" t="s">
        <v>55</v>
      </c>
      <c r="E104" s="12" t="s">
        <v>49</v>
      </c>
      <c r="F104" s="12" t="s">
        <v>17</v>
      </c>
      <c r="G104" s="15">
        <v>3</v>
      </c>
      <c r="H104" s="21">
        <v>15000000</v>
      </c>
      <c r="I104" s="12">
        <v>2</v>
      </c>
      <c r="J104" s="16">
        <v>1.3888888888888889E-3</v>
      </c>
      <c r="K104" s="12" t="s">
        <v>18</v>
      </c>
      <c r="L104" s="12" t="s">
        <v>56</v>
      </c>
      <c r="M104" s="12" t="s">
        <v>30</v>
      </c>
      <c r="N104" s="12" t="s">
        <v>76</v>
      </c>
      <c r="O104" s="12" t="s">
        <v>52</v>
      </c>
    </row>
    <row r="105" spans="1:15" ht="21" customHeight="1" x14ac:dyDescent="0.3">
      <c r="A105" s="17"/>
      <c r="B105" s="2" t="s">
        <v>14</v>
      </c>
      <c r="C105" s="3">
        <v>11</v>
      </c>
      <c r="D105" s="4" t="s">
        <v>57</v>
      </c>
      <c r="E105" s="2" t="s">
        <v>49</v>
      </c>
      <c r="F105" s="2" t="s">
        <v>42</v>
      </c>
      <c r="G105" s="5">
        <v>2</v>
      </c>
      <c r="H105" s="20">
        <v>10000000</v>
      </c>
      <c r="I105" s="2">
        <v>1</v>
      </c>
      <c r="J105" s="6">
        <v>1.3888888888888889E-3</v>
      </c>
      <c r="K105" s="2" t="s">
        <v>18</v>
      </c>
      <c r="L105" s="2" t="s">
        <v>39</v>
      </c>
      <c r="M105" s="2" t="s">
        <v>33</v>
      </c>
      <c r="N105" s="2" t="s">
        <v>78</v>
      </c>
      <c r="O105" s="2" t="s">
        <v>63</v>
      </c>
    </row>
    <row r="106" spans="1:15" ht="21" customHeight="1" x14ac:dyDescent="0.3">
      <c r="A106" s="17"/>
      <c r="B106" s="12" t="s">
        <v>14</v>
      </c>
      <c r="C106" s="13">
        <v>1</v>
      </c>
      <c r="D106" s="14" t="s">
        <v>15</v>
      </c>
      <c r="E106" s="12" t="s">
        <v>28</v>
      </c>
      <c r="F106" s="12" t="s">
        <v>42</v>
      </c>
      <c r="G106" s="15">
        <v>5</v>
      </c>
      <c r="H106" s="21">
        <v>25000000</v>
      </c>
      <c r="I106" s="12">
        <v>1</v>
      </c>
      <c r="J106" s="16">
        <v>1.3888888888888889E-3</v>
      </c>
      <c r="K106" s="12" t="s">
        <v>18</v>
      </c>
      <c r="L106" s="12" t="s">
        <v>39</v>
      </c>
      <c r="M106" s="12" t="s">
        <v>40</v>
      </c>
      <c r="N106" s="12" t="s">
        <v>78</v>
      </c>
      <c r="O106" s="12" t="s">
        <v>41</v>
      </c>
    </row>
    <row r="107" spans="1:15" ht="21" customHeight="1" x14ac:dyDescent="0.3">
      <c r="A107" s="17"/>
      <c r="B107" s="2" t="s">
        <v>14</v>
      </c>
      <c r="C107" s="3">
        <v>1</v>
      </c>
      <c r="D107" s="4" t="s">
        <v>72</v>
      </c>
      <c r="E107" s="2" t="s">
        <v>73</v>
      </c>
      <c r="F107" s="2" t="s">
        <v>23</v>
      </c>
      <c r="G107" s="5">
        <v>2</v>
      </c>
      <c r="H107" s="20">
        <v>12000000</v>
      </c>
      <c r="I107" s="2">
        <v>5</v>
      </c>
      <c r="J107" s="6">
        <v>1.3888888888888889E-3</v>
      </c>
      <c r="K107" s="2" t="s">
        <v>18</v>
      </c>
      <c r="L107" s="2" t="s">
        <v>56</v>
      </c>
      <c r="M107" s="2" t="s">
        <v>48</v>
      </c>
      <c r="N107" s="2" t="s">
        <v>77</v>
      </c>
      <c r="O107" s="2" t="s">
        <v>54</v>
      </c>
    </row>
    <row r="108" spans="1:15" ht="21" customHeight="1" x14ac:dyDescent="0.3">
      <c r="A108" s="17"/>
      <c r="B108" s="12" t="s">
        <v>14</v>
      </c>
      <c r="C108" s="13">
        <v>30</v>
      </c>
      <c r="D108" s="14" t="s">
        <v>27</v>
      </c>
      <c r="E108" s="12" t="s">
        <v>16</v>
      </c>
      <c r="F108" s="12" t="s">
        <v>42</v>
      </c>
      <c r="G108" s="15">
        <v>2</v>
      </c>
      <c r="H108" s="21">
        <v>12000000</v>
      </c>
      <c r="I108" s="12">
        <v>1</v>
      </c>
      <c r="J108" s="16">
        <v>1.3888888888888889E-3</v>
      </c>
      <c r="K108" s="12" t="s">
        <v>18</v>
      </c>
      <c r="L108" s="12" t="s">
        <v>19</v>
      </c>
      <c r="M108" s="12" t="s">
        <v>30</v>
      </c>
      <c r="N108" s="12" t="s">
        <v>66</v>
      </c>
      <c r="O108" s="12" t="s">
        <v>67</v>
      </c>
    </row>
    <row r="109" spans="1:15" ht="21" customHeight="1" x14ac:dyDescent="0.3">
      <c r="A109" s="17"/>
      <c r="B109" s="2" t="s">
        <v>14</v>
      </c>
      <c r="C109" s="3">
        <v>13</v>
      </c>
      <c r="D109" s="4" t="s">
        <v>27</v>
      </c>
      <c r="E109" s="2" t="s">
        <v>38</v>
      </c>
      <c r="F109" s="2" t="s">
        <v>42</v>
      </c>
      <c r="G109" s="5">
        <v>3</v>
      </c>
      <c r="H109" s="20">
        <v>12000000</v>
      </c>
      <c r="I109" s="2">
        <v>1</v>
      </c>
      <c r="J109" s="6">
        <v>1.3888888888888889E-3</v>
      </c>
      <c r="K109" s="2" t="s">
        <v>18</v>
      </c>
      <c r="L109" s="2" t="s">
        <v>47</v>
      </c>
      <c r="M109" s="2" t="s">
        <v>48</v>
      </c>
      <c r="N109" s="2" t="s">
        <v>78</v>
      </c>
      <c r="O109" s="2" t="s">
        <v>62</v>
      </c>
    </row>
    <row r="110" spans="1:15" ht="21" customHeight="1" x14ac:dyDescent="0.3">
      <c r="A110" s="17"/>
      <c r="B110" s="12" t="s">
        <v>14</v>
      </c>
      <c r="C110" s="13">
        <v>1</v>
      </c>
      <c r="D110" s="14" t="s">
        <v>27</v>
      </c>
      <c r="E110" s="12" t="s">
        <v>16</v>
      </c>
      <c r="F110" s="12" t="s">
        <v>42</v>
      </c>
      <c r="G110" s="15">
        <v>1</v>
      </c>
      <c r="H110" s="21">
        <v>7000000</v>
      </c>
      <c r="I110" s="12">
        <v>4</v>
      </c>
      <c r="J110" s="16">
        <v>1.3888888888888889E-3</v>
      </c>
      <c r="K110" s="12" t="s">
        <v>18</v>
      </c>
      <c r="L110" s="12" t="s">
        <v>35</v>
      </c>
      <c r="M110" s="12" t="s">
        <v>51</v>
      </c>
      <c r="N110" s="12" t="s">
        <v>78</v>
      </c>
      <c r="O110" s="12" t="s">
        <v>62</v>
      </c>
    </row>
    <row r="111" spans="1:15" ht="21" customHeight="1" x14ac:dyDescent="0.3">
      <c r="A111" s="17"/>
      <c r="B111" s="2" t="s">
        <v>14</v>
      </c>
      <c r="C111" s="3">
        <v>21</v>
      </c>
      <c r="D111" s="4" t="s">
        <v>37</v>
      </c>
      <c r="E111" s="2" t="s">
        <v>32</v>
      </c>
      <c r="F111" s="2" t="s">
        <v>42</v>
      </c>
      <c r="G111" s="5">
        <v>1</v>
      </c>
      <c r="H111" s="20">
        <v>19000000</v>
      </c>
      <c r="I111" s="2">
        <v>1</v>
      </c>
      <c r="J111" s="6">
        <v>1.3888888888888889E-3</v>
      </c>
      <c r="K111" s="2" t="s">
        <v>46</v>
      </c>
      <c r="L111" s="2" t="s">
        <v>39</v>
      </c>
      <c r="M111" s="2" t="s">
        <v>30</v>
      </c>
      <c r="N111" s="2" t="s">
        <v>78</v>
      </c>
      <c r="O111" s="2" t="s">
        <v>63</v>
      </c>
    </row>
    <row r="112" spans="1:15" ht="21" customHeight="1" x14ac:dyDescent="0.3">
      <c r="A112" s="17"/>
      <c r="B112" s="12" t="s">
        <v>14</v>
      </c>
      <c r="C112" s="13">
        <v>3</v>
      </c>
      <c r="D112" s="14" t="s">
        <v>37</v>
      </c>
      <c r="E112" s="12" t="s">
        <v>32</v>
      </c>
      <c r="F112" s="12" t="s">
        <v>42</v>
      </c>
      <c r="G112" s="15">
        <v>2</v>
      </c>
      <c r="H112" s="21">
        <v>38000000</v>
      </c>
      <c r="I112" s="12">
        <v>2</v>
      </c>
      <c r="J112" s="16">
        <v>1.3888888888888889E-3</v>
      </c>
      <c r="K112" s="12" t="s">
        <v>46</v>
      </c>
      <c r="L112" s="12" t="s">
        <v>19</v>
      </c>
      <c r="M112" s="12" t="s">
        <v>51</v>
      </c>
      <c r="N112" s="12" t="s">
        <v>76</v>
      </c>
      <c r="O112" s="12" t="s">
        <v>31</v>
      </c>
    </row>
    <row r="113" spans="1:15" ht="21" customHeight="1" x14ac:dyDescent="0.3">
      <c r="A113" s="17"/>
      <c r="B113" s="2" t="s">
        <v>14</v>
      </c>
      <c r="C113" s="3">
        <v>8</v>
      </c>
      <c r="D113" s="4" t="s">
        <v>37</v>
      </c>
      <c r="E113" s="2" t="s">
        <v>49</v>
      </c>
      <c r="F113" s="2" t="s">
        <v>42</v>
      </c>
      <c r="G113" s="5">
        <v>4</v>
      </c>
      <c r="H113" s="20">
        <v>20000000</v>
      </c>
      <c r="I113" s="2">
        <v>2</v>
      </c>
      <c r="J113" s="6">
        <v>1.3888888888888889E-3</v>
      </c>
      <c r="K113" s="2" t="s">
        <v>61</v>
      </c>
      <c r="L113" s="2" t="s">
        <v>39</v>
      </c>
      <c r="M113" s="2" t="s">
        <v>30</v>
      </c>
      <c r="N113" s="2" t="s">
        <v>76</v>
      </c>
      <c r="O113" s="2" t="s">
        <v>26</v>
      </c>
    </row>
    <row r="114" spans="1:15" ht="21" customHeight="1" x14ac:dyDescent="0.3">
      <c r="A114" s="17"/>
      <c r="B114" s="12" t="s">
        <v>14</v>
      </c>
      <c r="C114" s="13">
        <v>14</v>
      </c>
      <c r="D114" s="14" t="s">
        <v>37</v>
      </c>
      <c r="E114" s="12" t="s">
        <v>16</v>
      </c>
      <c r="F114" s="12" t="s">
        <v>23</v>
      </c>
      <c r="G114" s="15">
        <v>1</v>
      </c>
      <c r="H114" s="21">
        <v>7000000</v>
      </c>
      <c r="I114" s="12">
        <v>5</v>
      </c>
      <c r="J114" s="16">
        <v>1.3888888888888889E-3</v>
      </c>
      <c r="K114" s="12" t="s">
        <v>18</v>
      </c>
      <c r="L114" s="12" t="s">
        <v>35</v>
      </c>
      <c r="M114" s="12" t="s">
        <v>43</v>
      </c>
      <c r="N114" s="12" t="s">
        <v>66</v>
      </c>
      <c r="O114" s="12" t="s">
        <v>67</v>
      </c>
    </row>
    <row r="115" spans="1:15" ht="21" customHeight="1" x14ac:dyDescent="0.3">
      <c r="A115" s="17"/>
      <c r="B115" s="2" t="s">
        <v>14</v>
      </c>
      <c r="C115" s="3">
        <v>31</v>
      </c>
      <c r="D115" s="4" t="s">
        <v>37</v>
      </c>
      <c r="E115" s="2" t="s">
        <v>28</v>
      </c>
      <c r="F115" s="2" t="s">
        <v>23</v>
      </c>
      <c r="G115" s="5">
        <v>3</v>
      </c>
      <c r="H115" s="20">
        <v>15000000</v>
      </c>
      <c r="I115" s="2">
        <v>3</v>
      </c>
      <c r="J115" s="6">
        <v>1.3888888888888889E-3</v>
      </c>
      <c r="K115" s="2" t="s">
        <v>18</v>
      </c>
      <c r="L115" s="2" t="s">
        <v>29</v>
      </c>
      <c r="M115" s="2" t="s">
        <v>25</v>
      </c>
      <c r="N115" s="2" t="s">
        <v>77</v>
      </c>
      <c r="O115" s="2" t="s">
        <v>65</v>
      </c>
    </row>
    <row r="116" spans="1:15" ht="21" customHeight="1" x14ac:dyDescent="0.3">
      <c r="A116" s="17"/>
      <c r="B116" s="12" t="s">
        <v>14</v>
      </c>
      <c r="C116" s="13">
        <v>20</v>
      </c>
      <c r="D116" s="14" t="s">
        <v>37</v>
      </c>
      <c r="E116" s="12" t="s">
        <v>32</v>
      </c>
      <c r="F116" s="12" t="s">
        <v>45</v>
      </c>
      <c r="G116" s="15">
        <v>3</v>
      </c>
      <c r="H116" s="21">
        <v>15000000</v>
      </c>
      <c r="I116" s="12">
        <v>1</v>
      </c>
      <c r="J116" s="16">
        <v>1.3888888888888889E-3</v>
      </c>
      <c r="K116" s="12" t="s">
        <v>18</v>
      </c>
      <c r="L116" s="12" t="s">
        <v>64</v>
      </c>
      <c r="M116" s="12" t="s">
        <v>48</v>
      </c>
      <c r="N116" s="12" t="s">
        <v>77</v>
      </c>
      <c r="O116" s="12" t="s">
        <v>54</v>
      </c>
    </row>
    <row r="117" spans="1:15" ht="21" customHeight="1" x14ac:dyDescent="0.3">
      <c r="A117" s="17"/>
      <c r="B117" s="2" t="s">
        <v>14</v>
      </c>
      <c r="C117" s="3">
        <v>25</v>
      </c>
      <c r="D117" s="4" t="s">
        <v>44</v>
      </c>
      <c r="E117" s="2" t="s">
        <v>16</v>
      </c>
      <c r="F117" s="2" t="s">
        <v>23</v>
      </c>
      <c r="G117" s="5">
        <v>2</v>
      </c>
      <c r="H117" s="20">
        <v>38000000</v>
      </c>
      <c r="I117" s="2">
        <v>1</v>
      </c>
      <c r="J117" s="6">
        <v>1.3888888888888889E-3</v>
      </c>
      <c r="K117" s="2" t="s">
        <v>46</v>
      </c>
      <c r="L117" s="2" t="s">
        <v>47</v>
      </c>
      <c r="M117" s="2" t="s">
        <v>30</v>
      </c>
      <c r="N117" s="2" t="s">
        <v>78</v>
      </c>
      <c r="O117" s="2" t="s">
        <v>53</v>
      </c>
    </row>
    <row r="118" spans="1:15" ht="21" customHeight="1" x14ac:dyDescent="0.3">
      <c r="A118" s="17"/>
      <c r="B118" s="12" t="s">
        <v>14</v>
      </c>
      <c r="C118" s="13">
        <v>5</v>
      </c>
      <c r="D118" s="14" t="s">
        <v>44</v>
      </c>
      <c r="E118" s="12" t="s">
        <v>32</v>
      </c>
      <c r="F118" s="12" t="s">
        <v>45</v>
      </c>
      <c r="G118" s="15">
        <v>3</v>
      </c>
      <c r="H118" s="21">
        <v>12000000</v>
      </c>
      <c r="I118" s="12">
        <v>2</v>
      </c>
      <c r="J118" s="16">
        <v>1.3888888888888889E-3</v>
      </c>
      <c r="K118" s="12" t="s">
        <v>18</v>
      </c>
      <c r="L118" s="12" t="s">
        <v>24</v>
      </c>
      <c r="M118" s="12" t="s">
        <v>43</v>
      </c>
      <c r="N118" s="12" t="s">
        <v>76</v>
      </c>
      <c r="O118" s="12" t="s">
        <v>52</v>
      </c>
    </row>
    <row r="119" spans="1:15" ht="21" customHeight="1" x14ac:dyDescent="0.3">
      <c r="A119" s="17"/>
      <c r="B119" s="2" t="s">
        <v>14</v>
      </c>
      <c r="C119" s="3">
        <v>16</v>
      </c>
      <c r="D119" s="4" t="s">
        <v>44</v>
      </c>
      <c r="E119" s="2" t="s">
        <v>28</v>
      </c>
      <c r="F119" s="2" t="s">
        <v>42</v>
      </c>
      <c r="G119" s="5">
        <v>2</v>
      </c>
      <c r="H119" s="20">
        <v>12000000</v>
      </c>
      <c r="I119" s="2">
        <v>3</v>
      </c>
      <c r="J119" s="6">
        <v>1.3888888888888889E-3</v>
      </c>
      <c r="K119" s="2" t="s">
        <v>18</v>
      </c>
      <c r="L119" s="2" t="s">
        <v>19</v>
      </c>
      <c r="M119" s="2" t="s">
        <v>51</v>
      </c>
      <c r="N119" s="2" t="s">
        <v>76</v>
      </c>
      <c r="O119" s="2" t="s">
        <v>26</v>
      </c>
    </row>
    <row r="120" spans="1:15" ht="21" customHeight="1" x14ac:dyDescent="0.3">
      <c r="A120" s="17"/>
      <c r="B120" s="12" t="s">
        <v>14</v>
      </c>
      <c r="C120" s="13">
        <v>26</v>
      </c>
      <c r="D120" s="14" t="s">
        <v>69</v>
      </c>
      <c r="E120" s="12" t="s">
        <v>38</v>
      </c>
      <c r="F120" s="12" t="s">
        <v>23</v>
      </c>
      <c r="G120" s="15">
        <v>5</v>
      </c>
      <c r="H120" s="21">
        <v>25000000</v>
      </c>
      <c r="I120" s="12">
        <v>5</v>
      </c>
      <c r="J120" s="16">
        <v>1.3888888888888889E-3</v>
      </c>
      <c r="K120" s="12" t="s">
        <v>18</v>
      </c>
      <c r="L120" s="12" t="s">
        <v>64</v>
      </c>
      <c r="M120" s="12" t="s">
        <v>40</v>
      </c>
      <c r="N120" s="12" t="s">
        <v>77</v>
      </c>
      <c r="O120" s="12" t="s">
        <v>54</v>
      </c>
    </row>
    <row r="121" spans="1:15" ht="21" customHeight="1" x14ac:dyDescent="0.3">
      <c r="A121" s="17"/>
      <c r="B121" s="2" t="s">
        <v>14</v>
      </c>
      <c r="C121" s="3">
        <v>11</v>
      </c>
      <c r="D121" s="4" t="s">
        <v>55</v>
      </c>
      <c r="E121" s="2" t="s">
        <v>49</v>
      </c>
      <c r="F121" s="2" t="s">
        <v>17</v>
      </c>
      <c r="G121" s="5">
        <v>4</v>
      </c>
      <c r="H121" s="20">
        <v>20000000</v>
      </c>
      <c r="I121" s="2">
        <v>2</v>
      </c>
      <c r="J121" s="6">
        <v>1.3888888888888889E-3</v>
      </c>
      <c r="K121" s="2" t="s">
        <v>61</v>
      </c>
      <c r="L121" s="2" t="s">
        <v>35</v>
      </c>
      <c r="M121" s="2" t="s">
        <v>30</v>
      </c>
      <c r="N121" s="2" t="s">
        <v>66</v>
      </c>
      <c r="O121" s="2" t="s">
        <v>67</v>
      </c>
    </row>
    <row r="122" spans="1:15" ht="21" customHeight="1" x14ac:dyDescent="0.3">
      <c r="A122" s="17"/>
      <c r="B122" s="12" t="s">
        <v>14</v>
      </c>
      <c r="C122" s="13">
        <v>14</v>
      </c>
      <c r="D122" s="14" t="s">
        <v>55</v>
      </c>
      <c r="E122" s="12" t="s">
        <v>49</v>
      </c>
      <c r="F122" s="12" t="s">
        <v>17</v>
      </c>
      <c r="G122" s="15">
        <v>3</v>
      </c>
      <c r="H122" s="21">
        <v>15000000</v>
      </c>
      <c r="I122" s="12">
        <v>2</v>
      </c>
      <c r="J122" s="16">
        <v>1.3888888888888889E-3</v>
      </c>
      <c r="K122" s="12" t="s">
        <v>18</v>
      </c>
      <c r="L122" s="12" t="s">
        <v>56</v>
      </c>
      <c r="M122" s="12" t="s">
        <v>30</v>
      </c>
      <c r="N122" s="12" t="s">
        <v>76</v>
      </c>
      <c r="O122" s="12" t="s">
        <v>52</v>
      </c>
    </row>
    <row r="123" spans="1:15" ht="21" customHeight="1" x14ac:dyDescent="0.3">
      <c r="A123" s="17"/>
      <c r="B123" s="2" t="s">
        <v>14</v>
      </c>
      <c r="C123" s="3">
        <v>11</v>
      </c>
      <c r="D123" s="4" t="s">
        <v>57</v>
      </c>
      <c r="E123" s="2" t="s">
        <v>49</v>
      </c>
      <c r="F123" s="2" t="s">
        <v>42</v>
      </c>
      <c r="G123" s="5">
        <v>2</v>
      </c>
      <c r="H123" s="20">
        <v>10000000</v>
      </c>
      <c r="I123" s="2">
        <v>1</v>
      </c>
      <c r="J123" s="6">
        <v>1.3888888888888889E-3</v>
      </c>
      <c r="K123" s="2" t="s">
        <v>18</v>
      </c>
      <c r="L123" s="2" t="s">
        <v>39</v>
      </c>
      <c r="M123" s="2" t="s">
        <v>33</v>
      </c>
      <c r="N123" s="2" t="s">
        <v>78</v>
      </c>
      <c r="O123" s="2" t="s">
        <v>63</v>
      </c>
    </row>
    <row r="124" spans="1:15" ht="21" customHeight="1" x14ac:dyDescent="0.3">
      <c r="A124" s="17"/>
      <c r="B124" s="12" t="s">
        <v>14</v>
      </c>
      <c r="C124" s="13">
        <v>1</v>
      </c>
      <c r="D124" s="14" t="s">
        <v>15</v>
      </c>
      <c r="E124" s="12" t="s">
        <v>28</v>
      </c>
      <c r="F124" s="12" t="s">
        <v>42</v>
      </c>
      <c r="G124" s="15">
        <v>5</v>
      </c>
      <c r="H124" s="21">
        <v>25000000</v>
      </c>
      <c r="I124" s="12">
        <v>1</v>
      </c>
      <c r="J124" s="16">
        <v>1.3888888888888889E-3</v>
      </c>
      <c r="K124" s="12" t="s">
        <v>18</v>
      </c>
      <c r="L124" s="12" t="s">
        <v>39</v>
      </c>
      <c r="M124" s="12" t="s">
        <v>40</v>
      </c>
      <c r="N124" s="12" t="s">
        <v>78</v>
      </c>
      <c r="O124" s="12" t="s">
        <v>41</v>
      </c>
    </row>
    <row r="125" spans="1:15" ht="21" customHeight="1" x14ac:dyDescent="0.3">
      <c r="A125" s="17"/>
      <c r="B125" s="2" t="s">
        <v>14</v>
      </c>
      <c r="C125" s="3">
        <v>1</v>
      </c>
      <c r="D125" s="4" t="s">
        <v>72</v>
      </c>
      <c r="E125" s="2" t="s">
        <v>73</v>
      </c>
      <c r="F125" s="2" t="s">
        <v>23</v>
      </c>
      <c r="G125" s="5">
        <v>2</v>
      </c>
      <c r="H125" s="20">
        <v>12000000</v>
      </c>
      <c r="I125" s="2">
        <v>5</v>
      </c>
      <c r="J125" s="6">
        <v>1.3888888888888889E-3</v>
      </c>
      <c r="K125" s="2" t="s">
        <v>18</v>
      </c>
      <c r="L125" s="2" t="s">
        <v>56</v>
      </c>
      <c r="M125" s="2" t="s">
        <v>48</v>
      </c>
      <c r="N125" s="2" t="s">
        <v>77</v>
      </c>
      <c r="O125" s="2" t="s">
        <v>54</v>
      </c>
    </row>
    <row r="126" spans="1:15" ht="21" customHeight="1" x14ac:dyDescent="0.3">
      <c r="A126" s="17"/>
      <c r="B126" s="12" t="s">
        <v>70</v>
      </c>
      <c r="C126" s="13">
        <v>13</v>
      </c>
      <c r="D126" s="14" t="s">
        <v>60</v>
      </c>
      <c r="E126" s="12" t="s">
        <v>16</v>
      </c>
      <c r="F126" s="12" t="s">
        <v>68</v>
      </c>
      <c r="G126" s="15">
        <v>0</v>
      </c>
      <c r="H126" s="21">
        <v>0</v>
      </c>
      <c r="I126" s="12">
        <v>3</v>
      </c>
      <c r="J126" s="16">
        <v>1.3888888888888889E-3</v>
      </c>
      <c r="K126" s="12"/>
      <c r="L126" s="12"/>
      <c r="M126" s="12" t="s">
        <v>25</v>
      </c>
      <c r="N126" s="12" t="s">
        <v>76</v>
      </c>
      <c r="O126" s="12" t="s">
        <v>26</v>
      </c>
    </row>
    <row r="127" spans="1:15" ht="21" customHeight="1" x14ac:dyDescent="0.3">
      <c r="A127" s="17"/>
      <c r="B127" s="2" t="s">
        <v>70</v>
      </c>
      <c r="C127" s="3">
        <v>15</v>
      </c>
      <c r="D127" s="4" t="s">
        <v>27</v>
      </c>
      <c r="E127" s="2" t="s">
        <v>38</v>
      </c>
      <c r="F127" s="2" t="s">
        <v>23</v>
      </c>
      <c r="G127" s="5">
        <v>0</v>
      </c>
      <c r="H127" s="20">
        <v>0</v>
      </c>
      <c r="I127" s="2">
        <v>4</v>
      </c>
      <c r="J127" s="6">
        <v>1.3888888888888889E-3</v>
      </c>
      <c r="K127" s="2"/>
      <c r="L127" s="2"/>
      <c r="M127" s="2" t="s">
        <v>20</v>
      </c>
      <c r="N127" s="2" t="s">
        <v>78</v>
      </c>
      <c r="O127" s="2" t="s">
        <v>66</v>
      </c>
    </row>
    <row r="128" spans="1:15" ht="21" customHeight="1" x14ac:dyDescent="0.3">
      <c r="A128" s="17"/>
      <c r="B128" s="12" t="s">
        <v>70</v>
      </c>
      <c r="C128" s="13">
        <v>28</v>
      </c>
      <c r="D128" s="14" t="s">
        <v>37</v>
      </c>
      <c r="E128" s="12" t="s">
        <v>32</v>
      </c>
      <c r="F128" s="12" t="s">
        <v>23</v>
      </c>
      <c r="G128" s="15">
        <v>0</v>
      </c>
      <c r="H128" s="21">
        <v>0</v>
      </c>
      <c r="I128" s="12">
        <v>3</v>
      </c>
      <c r="J128" s="16">
        <v>1.3888888888888889E-3</v>
      </c>
      <c r="K128" s="12"/>
      <c r="L128" s="12"/>
      <c r="M128" s="12" t="s">
        <v>33</v>
      </c>
      <c r="N128" s="12" t="s">
        <v>76</v>
      </c>
      <c r="O128" s="12" t="s">
        <v>31</v>
      </c>
    </row>
    <row r="129" spans="1:15" ht="21" customHeight="1" x14ac:dyDescent="0.3">
      <c r="A129" s="17"/>
      <c r="B129" s="2" t="s">
        <v>70</v>
      </c>
      <c r="C129" s="3">
        <v>20</v>
      </c>
      <c r="D129" s="4" t="s">
        <v>37</v>
      </c>
      <c r="E129" s="2" t="s">
        <v>16</v>
      </c>
      <c r="F129" s="2" t="s">
        <v>42</v>
      </c>
      <c r="G129" s="5">
        <v>0</v>
      </c>
      <c r="H129" s="20">
        <v>0</v>
      </c>
      <c r="I129" s="2">
        <v>2</v>
      </c>
      <c r="J129" s="6">
        <v>1.3888888888888889E-3</v>
      </c>
      <c r="K129" s="2"/>
      <c r="L129" s="2"/>
      <c r="M129" s="2" t="s">
        <v>20</v>
      </c>
      <c r="N129" s="2" t="s">
        <v>78</v>
      </c>
      <c r="O129" s="2" t="s">
        <v>62</v>
      </c>
    </row>
    <row r="130" spans="1:15" ht="21" customHeight="1" x14ac:dyDescent="0.3">
      <c r="A130" s="17"/>
      <c r="B130" s="12" t="s">
        <v>70</v>
      </c>
      <c r="C130" s="13">
        <v>14</v>
      </c>
      <c r="D130" s="14" t="s">
        <v>37</v>
      </c>
      <c r="E130" s="12" t="s">
        <v>16</v>
      </c>
      <c r="F130" s="12" t="s">
        <v>42</v>
      </c>
      <c r="G130" s="15">
        <v>0</v>
      </c>
      <c r="H130" s="21">
        <v>0</v>
      </c>
      <c r="I130" s="12">
        <v>1</v>
      </c>
      <c r="J130" s="16">
        <v>1.3888888888888889E-3</v>
      </c>
      <c r="K130" s="12"/>
      <c r="L130" s="12"/>
      <c r="M130" s="12" t="s">
        <v>48</v>
      </c>
      <c r="N130" s="12" t="s">
        <v>66</v>
      </c>
      <c r="O130" s="12" t="s">
        <v>67</v>
      </c>
    </row>
    <row r="131" spans="1:15" ht="21" customHeight="1" x14ac:dyDescent="0.3">
      <c r="A131" s="17"/>
      <c r="B131" s="2" t="s">
        <v>70</v>
      </c>
      <c r="C131" s="3">
        <v>13</v>
      </c>
      <c r="D131" s="4" t="s">
        <v>44</v>
      </c>
      <c r="E131" s="2" t="s">
        <v>16</v>
      </c>
      <c r="F131" s="2" t="s">
        <v>23</v>
      </c>
      <c r="G131" s="5">
        <v>0</v>
      </c>
      <c r="H131" s="20">
        <v>0</v>
      </c>
      <c r="I131" s="2">
        <v>1</v>
      </c>
      <c r="J131" s="6">
        <v>1.3888888888888889E-3</v>
      </c>
      <c r="K131" s="2"/>
      <c r="L131" s="2"/>
      <c r="M131" s="2" t="s">
        <v>33</v>
      </c>
      <c r="N131" s="2" t="s">
        <v>78</v>
      </c>
      <c r="O131" s="2" t="s">
        <v>41</v>
      </c>
    </row>
    <row r="132" spans="1:15" ht="21" customHeight="1" x14ac:dyDescent="0.3">
      <c r="A132" s="17"/>
      <c r="B132" s="12" t="s">
        <v>70</v>
      </c>
      <c r="C132" s="13">
        <v>15</v>
      </c>
      <c r="D132" s="14" t="s">
        <v>44</v>
      </c>
      <c r="E132" s="12" t="s">
        <v>49</v>
      </c>
      <c r="F132" s="12" t="s">
        <v>23</v>
      </c>
      <c r="G132" s="15">
        <v>0</v>
      </c>
      <c r="H132" s="21">
        <v>0</v>
      </c>
      <c r="I132" s="12">
        <v>4</v>
      </c>
      <c r="J132" s="16">
        <v>1.3888888888888889E-3</v>
      </c>
      <c r="K132" s="12"/>
      <c r="L132" s="12"/>
      <c r="M132" s="12" t="s">
        <v>33</v>
      </c>
      <c r="N132" s="12" t="s">
        <v>77</v>
      </c>
      <c r="O132" s="12" t="s">
        <v>54</v>
      </c>
    </row>
    <row r="133" spans="1:15" ht="21" customHeight="1" x14ac:dyDescent="0.3">
      <c r="A133" s="17"/>
      <c r="B133" s="2" t="s">
        <v>70</v>
      </c>
      <c r="C133" s="3">
        <v>26</v>
      </c>
      <c r="D133" s="4" t="s">
        <v>44</v>
      </c>
      <c r="E133" s="2" t="s">
        <v>16</v>
      </c>
      <c r="F133" s="2" t="s">
        <v>42</v>
      </c>
      <c r="G133" s="5">
        <v>0</v>
      </c>
      <c r="H133" s="20">
        <v>0</v>
      </c>
      <c r="I133" s="2">
        <v>2</v>
      </c>
      <c r="J133" s="6">
        <v>1.3888888888888889E-3</v>
      </c>
      <c r="K133" s="2"/>
      <c r="L133" s="2"/>
      <c r="M133" s="2" t="s">
        <v>51</v>
      </c>
      <c r="N133" s="2" t="s">
        <v>76</v>
      </c>
      <c r="O133" s="2" t="s">
        <v>31</v>
      </c>
    </row>
    <row r="134" spans="1:15" ht="21" customHeight="1" x14ac:dyDescent="0.3">
      <c r="A134" s="17"/>
      <c r="B134" s="12" t="s">
        <v>70</v>
      </c>
      <c r="C134" s="13">
        <v>13</v>
      </c>
      <c r="D134" s="14" t="s">
        <v>60</v>
      </c>
      <c r="E134" s="12" t="s">
        <v>16</v>
      </c>
      <c r="F134" s="12" t="s">
        <v>68</v>
      </c>
      <c r="G134" s="15">
        <v>0</v>
      </c>
      <c r="H134" s="21">
        <v>0</v>
      </c>
      <c r="I134" s="12">
        <v>3</v>
      </c>
      <c r="J134" s="16">
        <v>1.3888888888888889E-3</v>
      </c>
      <c r="K134" s="12"/>
      <c r="L134" s="12"/>
      <c r="M134" s="12" t="s">
        <v>25</v>
      </c>
      <c r="N134" s="12" t="s">
        <v>76</v>
      </c>
      <c r="O134" s="12" t="s">
        <v>26</v>
      </c>
    </row>
    <row r="135" spans="1:15" ht="21" customHeight="1" x14ac:dyDescent="0.3">
      <c r="A135" s="17"/>
      <c r="B135" s="2" t="s">
        <v>14</v>
      </c>
      <c r="C135" s="3">
        <v>16</v>
      </c>
      <c r="D135" s="4" t="s">
        <v>55</v>
      </c>
      <c r="E135" s="2" t="s">
        <v>38</v>
      </c>
      <c r="F135" s="2" t="s">
        <v>23</v>
      </c>
      <c r="G135" s="5">
        <v>5</v>
      </c>
      <c r="H135" s="20">
        <v>25000000</v>
      </c>
      <c r="I135" s="2">
        <v>1</v>
      </c>
      <c r="J135" s="6">
        <v>1.3888888888888889E-3</v>
      </c>
      <c r="K135" s="2" t="s">
        <v>18</v>
      </c>
      <c r="L135" s="2" t="s">
        <v>47</v>
      </c>
      <c r="M135" s="2" t="s">
        <v>48</v>
      </c>
      <c r="N135" s="2" t="s">
        <v>76</v>
      </c>
      <c r="O135" s="2" t="s">
        <v>31</v>
      </c>
    </row>
    <row r="136" spans="1:15" ht="21" customHeight="1" x14ac:dyDescent="0.3">
      <c r="A136" s="17"/>
      <c r="B136" s="12" t="s">
        <v>14</v>
      </c>
      <c r="C136" s="13">
        <v>1</v>
      </c>
      <c r="D136" s="14" t="s">
        <v>57</v>
      </c>
      <c r="E136" s="12" t="s">
        <v>32</v>
      </c>
      <c r="F136" s="12" t="s">
        <v>23</v>
      </c>
      <c r="G136" s="15">
        <v>1</v>
      </c>
      <c r="H136" s="21">
        <v>7000000</v>
      </c>
      <c r="I136" s="12">
        <v>2</v>
      </c>
      <c r="J136" s="16">
        <v>1.3888888888888889E-3</v>
      </c>
      <c r="K136" s="12" t="s">
        <v>18</v>
      </c>
      <c r="L136" s="12" t="s">
        <v>24</v>
      </c>
      <c r="M136" s="12" t="s">
        <v>33</v>
      </c>
      <c r="N136" s="12" t="s">
        <v>76</v>
      </c>
      <c r="O136" s="12" t="s">
        <v>31</v>
      </c>
    </row>
    <row r="137" spans="1:15" ht="21" customHeight="1" x14ac:dyDescent="0.3">
      <c r="A137" s="17"/>
      <c r="B137" s="2" t="s">
        <v>14</v>
      </c>
      <c r="C137" s="3">
        <v>11</v>
      </c>
      <c r="D137" s="4" t="s">
        <v>57</v>
      </c>
      <c r="E137" s="2" t="s">
        <v>32</v>
      </c>
      <c r="F137" s="2" t="s">
        <v>45</v>
      </c>
      <c r="G137" s="5">
        <v>2</v>
      </c>
      <c r="H137" s="20">
        <v>12000000</v>
      </c>
      <c r="I137" s="2">
        <v>2</v>
      </c>
      <c r="J137" s="6">
        <v>1.3888888888888889E-3</v>
      </c>
      <c r="K137" s="2" t="s">
        <v>18</v>
      </c>
      <c r="L137" s="2" t="s">
        <v>24</v>
      </c>
      <c r="M137" s="2" t="s">
        <v>40</v>
      </c>
      <c r="N137" s="2" t="s">
        <v>78</v>
      </c>
      <c r="O137" s="2" t="s">
        <v>63</v>
      </c>
    </row>
    <row r="138" spans="1:15" ht="21" customHeight="1" x14ac:dyDescent="0.3">
      <c r="A138" s="17"/>
      <c r="B138" s="12" t="s">
        <v>14</v>
      </c>
      <c r="C138" s="13">
        <v>11</v>
      </c>
      <c r="D138" s="14" t="s">
        <v>57</v>
      </c>
      <c r="E138" s="12" t="s">
        <v>16</v>
      </c>
      <c r="F138" s="12" t="s">
        <v>23</v>
      </c>
      <c r="G138" s="15">
        <v>3</v>
      </c>
      <c r="H138" s="21">
        <v>15000000</v>
      </c>
      <c r="I138" s="12">
        <v>1</v>
      </c>
      <c r="J138" s="16">
        <v>1.3888888888888889E-3</v>
      </c>
      <c r="K138" s="12" t="s">
        <v>18</v>
      </c>
      <c r="L138" s="12" t="s">
        <v>39</v>
      </c>
      <c r="M138" s="12" t="s">
        <v>48</v>
      </c>
      <c r="N138" s="12" t="s">
        <v>66</v>
      </c>
      <c r="O138" s="12" t="s">
        <v>36</v>
      </c>
    </row>
    <row r="139" spans="1:15" ht="21" customHeight="1" x14ac:dyDescent="0.3">
      <c r="A139" s="17"/>
      <c r="B139" s="2" t="s">
        <v>14</v>
      </c>
      <c r="C139" s="3">
        <v>1</v>
      </c>
      <c r="D139" s="4" t="s">
        <v>15</v>
      </c>
      <c r="E139" s="2" t="s">
        <v>16</v>
      </c>
      <c r="F139" s="2" t="s">
        <v>17</v>
      </c>
      <c r="G139" s="5">
        <v>1</v>
      </c>
      <c r="H139" s="20">
        <v>19000000</v>
      </c>
      <c r="I139" s="2">
        <v>1</v>
      </c>
      <c r="J139" s="6">
        <v>1.3888888888888889E-3</v>
      </c>
      <c r="K139" s="2" t="s">
        <v>46</v>
      </c>
      <c r="L139" s="2" t="s">
        <v>39</v>
      </c>
      <c r="M139" s="2" t="s">
        <v>43</v>
      </c>
      <c r="N139" s="2" t="s">
        <v>78</v>
      </c>
      <c r="O139" s="2" t="s">
        <v>66</v>
      </c>
    </row>
    <row r="140" spans="1:15" ht="21" customHeight="1" x14ac:dyDescent="0.3">
      <c r="A140" s="17"/>
      <c r="B140" s="12" t="s">
        <v>14</v>
      </c>
      <c r="C140" s="13">
        <v>1</v>
      </c>
      <c r="D140" s="14" t="s">
        <v>15</v>
      </c>
      <c r="E140" s="12" t="s">
        <v>38</v>
      </c>
      <c r="F140" s="12" t="s">
        <v>23</v>
      </c>
      <c r="G140" s="15">
        <v>4</v>
      </c>
      <c r="H140" s="21">
        <v>20000000</v>
      </c>
      <c r="I140" s="12">
        <v>3</v>
      </c>
      <c r="J140" s="16">
        <v>1.3888888888888889E-3</v>
      </c>
      <c r="K140" s="12" t="s">
        <v>61</v>
      </c>
      <c r="L140" s="12" t="s">
        <v>39</v>
      </c>
      <c r="M140" s="12" t="s">
        <v>48</v>
      </c>
      <c r="N140" s="12" t="s">
        <v>66</v>
      </c>
      <c r="O140" s="12" t="s">
        <v>67</v>
      </c>
    </row>
    <row r="141" spans="1:15" ht="21" customHeight="1" x14ac:dyDescent="0.3">
      <c r="A141" s="17"/>
      <c r="B141" s="2" t="s">
        <v>14</v>
      </c>
      <c r="C141" s="3">
        <v>1</v>
      </c>
      <c r="D141" s="4" t="s">
        <v>15</v>
      </c>
      <c r="E141" s="2" t="s">
        <v>16</v>
      </c>
      <c r="F141" s="2" t="s">
        <v>42</v>
      </c>
      <c r="G141" s="5">
        <v>3</v>
      </c>
      <c r="H141" s="20">
        <v>15000000</v>
      </c>
      <c r="I141" s="2">
        <v>1</v>
      </c>
      <c r="J141" s="6">
        <v>1.3888888888888889E-3</v>
      </c>
      <c r="K141" s="2" t="s">
        <v>18</v>
      </c>
      <c r="L141" s="2" t="s">
        <v>56</v>
      </c>
      <c r="M141" s="2" t="s">
        <v>51</v>
      </c>
      <c r="N141" s="2" t="s">
        <v>77</v>
      </c>
      <c r="O141" s="2" t="s">
        <v>34</v>
      </c>
    </row>
    <row r="142" spans="1:15" ht="21" customHeight="1" x14ac:dyDescent="0.3">
      <c r="A142" s="17"/>
      <c r="B142" s="12" t="s">
        <v>14</v>
      </c>
      <c r="C142" s="13">
        <v>1</v>
      </c>
      <c r="D142" s="14" t="s">
        <v>59</v>
      </c>
      <c r="E142" s="12" t="s">
        <v>16</v>
      </c>
      <c r="F142" s="12" t="s">
        <v>17</v>
      </c>
      <c r="G142" s="15">
        <v>4</v>
      </c>
      <c r="H142" s="21">
        <v>20000000</v>
      </c>
      <c r="I142" s="12">
        <v>4</v>
      </c>
      <c r="J142" s="16">
        <v>1.3888888888888889E-3</v>
      </c>
      <c r="K142" s="12" t="s">
        <v>61</v>
      </c>
      <c r="L142" s="12" t="s">
        <v>39</v>
      </c>
      <c r="M142" s="12" t="s">
        <v>25</v>
      </c>
      <c r="N142" s="12" t="s">
        <v>78</v>
      </c>
      <c r="O142" s="12" t="s">
        <v>62</v>
      </c>
    </row>
    <row r="143" spans="1:15" ht="21" customHeight="1" x14ac:dyDescent="0.3">
      <c r="A143" s="17"/>
      <c r="B143" s="2" t="s">
        <v>14</v>
      </c>
      <c r="C143" s="3">
        <v>4</v>
      </c>
      <c r="D143" s="4" t="s">
        <v>59</v>
      </c>
      <c r="E143" s="2" t="s">
        <v>73</v>
      </c>
      <c r="F143" s="2" t="s">
        <v>17</v>
      </c>
      <c r="G143" s="5">
        <v>3</v>
      </c>
      <c r="H143" s="20">
        <v>15000000</v>
      </c>
      <c r="I143" s="2">
        <v>1</v>
      </c>
      <c r="J143" s="6">
        <v>1.3888888888888889E-3</v>
      </c>
      <c r="K143" s="2" t="s">
        <v>18</v>
      </c>
      <c r="L143" s="2" t="s">
        <v>35</v>
      </c>
      <c r="M143" s="2" t="s">
        <v>43</v>
      </c>
      <c r="N143" s="2" t="s">
        <v>76</v>
      </c>
      <c r="O143" s="2" t="s">
        <v>31</v>
      </c>
    </row>
    <row r="144" spans="1:15" ht="21" customHeight="1" x14ac:dyDescent="0.3">
      <c r="A144" s="17"/>
      <c r="B144" s="12" t="s">
        <v>14</v>
      </c>
      <c r="C144" s="13">
        <v>11</v>
      </c>
      <c r="D144" s="14" t="s">
        <v>59</v>
      </c>
      <c r="E144" s="12" t="s">
        <v>38</v>
      </c>
      <c r="F144" s="12" t="s">
        <v>23</v>
      </c>
      <c r="G144" s="15">
        <v>5</v>
      </c>
      <c r="H144" s="21">
        <v>25000000</v>
      </c>
      <c r="I144" s="12">
        <v>4</v>
      </c>
      <c r="J144" s="16">
        <v>1.3888888888888889E-3</v>
      </c>
      <c r="K144" s="12" t="s">
        <v>18</v>
      </c>
      <c r="L144" s="12" t="s">
        <v>29</v>
      </c>
      <c r="M144" s="12" t="s">
        <v>43</v>
      </c>
      <c r="N144" s="12" t="s">
        <v>76</v>
      </c>
      <c r="O144" s="12" t="s">
        <v>52</v>
      </c>
    </row>
    <row r="145" spans="1:15" ht="21" customHeight="1" x14ac:dyDescent="0.3">
      <c r="A145" s="17"/>
      <c r="B145" s="2" t="s">
        <v>14</v>
      </c>
      <c r="C145" s="3">
        <v>12</v>
      </c>
      <c r="D145" s="4" t="s">
        <v>72</v>
      </c>
      <c r="E145" s="2" t="s">
        <v>38</v>
      </c>
      <c r="F145" s="2" t="s">
        <v>23</v>
      </c>
      <c r="G145" s="5">
        <v>2</v>
      </c>
      <c r="H145" s="20">
        <v>12000000</v>
      </c>
      <c r="I145" s="2">
        <v>4</v>
      </c>
      <c r="J145" s="6">
        <v>1.3888888888888889E-3</v>
      </c>
      <c r="K145" s="2" t="s">
        <v>18</v>
      </c>
      <c r="L145" s="2" t="s">
        <v>35</v>
      </c>
      <c r="M145" s="2" t="s">
        <v>25</v>
      </c>
      <c r="N145" s="2" t="s">
        <v>77</v>
      </c>
      <c r="O145" s="2" t="s">
        <v>54</v>
      </c>
    </row>
    <row r="146" spans="1:15" ht="21" customHeight="1" x14ac:dyDescent="0.3">
      <c r="A146" s="17"/>
      <c r="B146" s="12" t="s">
        <v>14</v>
      </c>
      <c r="C146" s="13">
        <v>31</v>
      </c>
      <c r="D146" s="14" t="s">
        <v>22</v>
      </c>
      <c r="E146" s="12" t="s">
        <v>16</v>
      </c>
      <c r="F146" s="12" t="s">
        <v>23</v>
      </c>
      <c r="G146" s="15">
        <v>1</v>
      </c>
      <c r="H146" s="21">
        <v>19000000</v>
      </c>
      <c r="I146" s="12">
        <v>3</v>
      </c>
      <c r="J146" s="16">
        <v>1.3888888888888889E-3</v>
      </c>
      <c r="K146" s="12" t="s">
        <v>46</v>
      </c>
      <c r="L146" s="12" t="s">
        <v>56</v>
      </c>
      <c r="M146" s="12" t="s">
        <v>25</v>
      </c>
      <c r="N146" s="12" t="s">
        <v>76</v>
      </c>
      <c r="O146" s="12" t="s">
        <v>52</v>
      </c>
    </row>
    <row r="147" spans="1:15" ht="21" customHeight="1" x14ac:dyDescent="0.3">
      <c r="A147" s="17"/>
      <c r="B147" s="2" t="s">
        <v>14</v>
      </c>
      <c r="C147" s="3">
        <v>2</v>
      </c>
      <c r="D147" s="4" t="s">
        <v>22</v>
      </c>
      <c r="E147" s="2" t="s">
        <v>28</v>
      </c>
      <c r="F147" s="2" t="s">
        <v>45</v>
      </c>
      <c r="G147" s="5">
        <v>2</v>
      </c>
      <c r="H147" s="20">
        <v>12000000</v>
      </c>
      <c r="I147" s="2">
        <v>2</v>
      </c>
      <c r="J147" s="6">
        <v>1.3888888888888889E-3</v>
      </c>
      <c r="K147" s="2" t="s">
        <v>18</v>
      </c>
      <c r="L147" s="2" t="s">
        <v>56</v>
      </c>
      <c r="M147" s="2" t="s">
        <v>30</v>
      </c>
      <c r="N147" s="2" t="s">
        <v>78</v>
      </c>
      <c r="O147" s="2" t="s">
        <v>66</v>
      </c>
    </row>
    <row r="148" spans="1:15" ht="21" customHeight="1" x14ac:dyDescent="0.3">
      <c r="A148" s="17"/>
      <c r="B148" s="12" t="s">
        <v>14</v>
      </c>
      <c r="C148" s="13">
        <v>9</v>
      </c>
      <c r="D148" s="14" t="s">
        <v>22</v>
      </c>
      <c r="E148" s="12" t="s">
        <v>16</v>
      </c>
      <c r="F148" s="12" t="s">
        <v>42</v>
      </c>
      <c r="G148" s="15">
        <v>3</v>
      </c>
      <c r="H148" s="21">
        <v>12000000</v>
      </c>
      <c r="I148" s="12">
        <v>5</v>
      </c>
      <c r="J148" s="16">
        <v>1.3888888888888889E-3</v>
      </c>
      <c r="K148" s="12" t="s">
        <v>18</v>
      </c>
      <c r="L148" s="12" t="s">
        <v>64</v>
      </c>
      <c r="M148" s="12" t="s">
        <v>40</v>
      </c>
      <c r="N148" s="12" t="s">
        <v>76</v>
      </c>
      <c r="O148" s="12" t="s">
        <v>52</v>
      </c>
    </row>
    <row r="149" spans="1:15" ht="21" customHeight="1" x14ac:dyDescent="0.3">
      <c r="A149" s="17"/>
      <c r="B149" s="2" t="s">
        <v>14</v>
      </c>
      <c r="C149" s="3">
        <v>25</v>
      </c>
      <c r="D149" s="4" t="s">
        <v>22</v>
      </c>
      <c r="E149" s="2" t="s">
        <v>32</v>
      </c>
      <c r="F149" s="2" t="s">
        <v>42</v>
      </c>
      <c r="G149" s="5">
        <v>2</v>
      </c>
      <c r="H149" s="20">
        <v>10000000</v>
      </c>
      <c r="I149" s="2">
        <v>4</v>
      </c>
      <c r="J149" s="6">
        <v>1.3888888888888889E-3</v>
      </c>
      <c r="K149" s="2" t="s">
        <v>18</v>
      </c>
      <c r="L149" s="2" t="s">
        <v>64</v>
      </c>
      <c r="M149" s="2" t="s">
        <v>33</v>
      </c>
      <c r="N149" s="2" t="s">
        <v>76</v>
      </c>
      <c r="O149" s="2" t="s">
        <v>31</v>
      </c>
    </row>
    <row r="150" spans="1:15" ht="21" customHeight="1" x14ac:dyDescent="0.3">
      <c r="A150" s="17"/>
      <c r="B150" s="12" t="s">
        <v>14</v>
      </c>
      <c r="C150" s="13">
        <v>9</v>
      </c>
      <c r="D150" s="14" t="s">
        <v>22</v>
      </c>
      <c r="E150" s="12" t="s">
        <v>16</v>
      </c>
      <c r="F150" s="12" t="s">
        <v>42</v>
      </c>
      <c r="G150" s="15">
        <v>2</v>
      </c>
      <c r="H150" s="21">
        <v>12000000</v>
      </c>
      <c r="I150" s="12">
        <v>1</v>
      </c>
      <c r="J150" s="16">
        <v>1.3888888888888889E-3</v>
      </c>
      <c r="K150" s="12" t="s">
        <v>18</v>
      </c>
      <c r="L150" s="12" t="s">
        <v>47</v>
      </c>
      <c r="M150" s="12" t="s">
        <v>40</v>
      </c>
      <c r="N150" s="12" t="s">
        <v>78</v>
      </c>
      <c r="O150" s="12" t="s">
        <v>63</v>
      </c>
    </row>
    <row r="151" spans="1:15" ht="21" customHeight="1" x14ac:dyDescent="0.3">
      <c r="A151" s="17"/>
      <c r="B151" s="2" t="s">
        <v>14</v>
      </c>
      <c r="C151" s="3">
        <v>10</v>
      </c>
      <c r="D151" s="4" t="s">
        <v>22</v>
      </c>
      <c r="E151" s="2" t="s">
        <v>32</v>
      </c>
      <c r="F151" s="2" t="s">
        <v>42</v>
      </c>
      <c r="G151" s="5">
        <v>3</v>
      </c>
      <c r="H151" s="20">
        <v>15000000</v>
      </c>
      <c r="I151" s="2">
        <v>1</v>
      </c>
      <c r="J151" s="6">
        <v>1.3888888888888889E-3</v>
      </c>
      <c r="K151" s="2" t="s">
        <v>18</v>
      </c>
      <c r="L151" s="2" t="s">
        <v>56</v>
      </c>
      <c r="M151" s="2" t="s">
        <v>40</v>
      </c>
      <c r="N151" s="2" t="s">
        <v>76</v>
      </c>
      <c r="O151" s="2" t="s">
        <v>52</v>
      </c>
    </row>
    <row r="152" spans="1:15" ht="21" customHeight="1" x14ac:dyDescent="0.3">
      <c r="A152" s="17"/>
      <c r="B152" s="12" t="s">
        <v>14</v>
      </c>
      <c r="C152" s="13">
        <v>14</v>
      </c>
      <c r="D152" s="14" t="s">
        <v>22</v>
      </c>
      <c r="E152" s="12" t="s">
        <v>49</v>
      </c>
      <c r="F152" s="12" t="s">
        <v>23</v>
      </c>
      <c r="G152" s="15">
        <v>4</v>
      </c>
      <c r="H152" s="21">
        <v>20000000</v>
      </c>
      <c r="I152" s="12">
        <v>3</v>
      </c>
      <c r="J152" s="16">
        <v>1.3888888888888889E-3</v>
      </c>
      <c r="K152" s="12" t="s">
        <v>18</v>
      </c>
      <c r="L152" s="12" t="s">
        <v>29</v>
      </c>
      <c r="M152" s="12" t="s">
        <v>20</v>
      </c>
      <c r="N152" s="12" t="s">
        <v>78</v>
      </c>
      <c r="O152" s="12" t="s">
        <v>63</v>
      </c>
    </row>
    <row r="153" spans="1:15" ht="21" customHeight="1" x14ac:dyDescent="0.3">
      <c r="A153" s="17"/>
      <c r="B153" s="2" t="s">
        <v>14</v>
      </c>
      <c r="C153" s="3">
        <v>10</v>
      </c>
      <c r="D153" s="4" t="s">
        <v>27</v>
      </c>
      <c r="E153" s="2" t="s">
        <v>28</v>
      </c>
      <c r="F153" s="2" t="s">
        <v>45</v>
      </c>
      <c r="G153" s="5">
        <v>4</v>
      </c>
      <c r="H153" s="20">
        <v>11000000</v>
      </c>
      <c r="I153" s="2">
        <v>1</v>
      </c>
      <c r="J153" s="6">
        <v>1.3888888888888889E-3</v>
      </c>
      <c r="K153" s="2" t="s">
        <v>61</v>
      </c>
      <c r="L153" s="2" t="s">
        <v>19</v>
      </c>
      <c r="M153" s="2" t="s">
        <v>43</v>
      </c>
      <c r="N153" s="2" t="s">
        <v>77</v>
      </c>
      <c r="O153" s="2" t="s">
        <v>34</v>
      </c>
    </row>
    <row r="154" spans="1:15" ht="21" customHeight="1" x14ac:dyDescent="0.3">
      <c r="A154" s="17"/>
      <c r="B154" s="12" t="s">
        <v>14</v>
      </c>
      <c r="C154" s="13">
        <v>27</v>
      </c>
      <c r="D154" s="14" t="s">
        <v>27</v>
      </c>
      <c r="E154" s="12" t="s">
        <v>32</v>
      </c>
      <c r="F154" s="12" t="s">
        <v>17</v>
      </c>
      <c r="G154" s="15">
        <v>3</v>
      </c>
      <c r="H154" s="21">
        <v>12000000</v>
      </c>
      <c r="I154" s="12">
        <v>3</v>
      </c>
      <c r="J154" s="16">
        <v>1.3888888888888889E-3</v>
      </c>
      <c r="K154" s="12" t="s">
        <v>18</v>
      </c>
      <c r="L154" s="12" t="s">
        <v>29</v>
      </c>
      <c r="M154" s="12" t="s">
        <v>30</v>
      </c>
      <c r="N154" s="12" t="s">
        <v>78</v>
      </c>
      <c r="O154" s="12" t="s">
        <v>62</v>
      </c>
    </row>
    <row r="155" spans="1:15" ht="21" customHeight="1" x14ac:dyDescent="0.3">
      <c r="A155" s="17"/>
      <c r="B155" s="2" t="s">
        <v>14</v>
      </c>
      <c r="C155" s="3">
        <v>28</v>
      </c>
      <c r="D155" s="4" t="s">
        <v>27</v>
      </c>
      <c r="E155" s="2" t="s">
        <v>16</v>
      </c>
      <c r="F155" s="2" t="s">
        <v>42</v>
      </c>
      <c r="G155" s="5">
        <v>3</v>
      </c>
      <c r="H155" s="20">
        <v>15000000</v>
      </c>
      <c r="I155" s="2">
        <v>1</v>
      </c>
      <c r="J155" s="6">
        <v>1.3888888888888889E-3</v>
      </c>
      <c r="K155" s="2" t="s">
        <v>18</v>
      </c>
      <c r="L155" s="2" t="s">
        <v>29</v>
      </c>
      <c r="M155" s="2" t="s">
        <v>48</v>
      </c>
      <c r="N155" s="2" t="s">
        <v>76</v>
      </c>
      <c r="O155" s="2" t="s">
        <v>31</v>
      </c>
    </row>
    <row r="156" spans="1:15" ht="21" customHeight="1" x14ac:dyDescent="0.3">
      <c r="A156" s="17"/>
      <c r="B156" s="12" t="s">
        <v>14</v>
      </c>
      <c r="C156" s="13">
        <v>28</v>
      </c>
      <c r="D156" s="14" t="s">
        <v>27</v>
      </c>
      <c r="E156" s="12" t="s">
        <v>16</v>
      </c>
      <c r="F156" s="12" t="s">
        <v>42</v>
      </c>
      <c r="G156" s="15">
        <v>5</v>
      </c>
      <c r="H156" s="21">
        <v>25000000</v>
      </c>
      <c r="I156" s="12">
        <v>2</v>
      </c>
      <c r="J156" s="16">
        <v>1.3888888888888889E-3</v>
      </c>
      <c r="K156" s="12" t="s">
        <v>18</v>
      </c>
      <c r="L156" s="12" t="s">
        <v>35</v>
      </c>
      <c r="M156" s="12" t="s">
        <v>30</v>
      </c>
      <c r="N156" s="12" t="s">
        <v>76</v>
      </c>
      <c r="O156" s="12" t="s">
        <v>26</v>
      </c>
    </row>
    <row r="157" spans="1:15" ht="21" customHeight="1" x14ac:dyDescent="0.3">
      <c r="A157" s="17"/>
      <c r="B157" s="2" t="s">
        <v>14</v>
      </c>
      <c r="C157" s="3">
        <v>29</v>
      </c>
      <c r="D157" s="4" t="s">
        <v>27</v>
      </c>
      <c r="E157" s="2" t="s">
        <v>32</v>
      </c>
      <c r="F157" s="2" t="s">
        <v>23</v>
      </c>
      <c r="G157" s="5">
        <v>1</v>
      </c>
      <c r="H157" s="20">
        <v>7000000</v>
      </c>
      <c r="I157" s="2">
        <v>3</v>
      </c>
      <c r="J157" s="6">
        <v>1.3888888888888889E-3</v>
      </c>
      <c r="K157" s="2" t="s">
        <v>18</v>
      </c>
      <c r="L157" s="2" t="s">
        <v>39</v>
      </c>
      <c r="M157" s="2" t="s">
        <v>33</v>
      </c>
      <c r="N157" s="2" t="s">
        <v>66</v>
      </c>
      <c r="O157" s="2" t="s">
        <v>67</v>
      </c>
    </row>
    <row r="158" spans="1:15" ht="21" customHeight="1" x14ac:dyDescent="0.3">
      <c r="A158" s="17"/>
      <c r="B158" s="12" t="s">
        <v>14</v>
      </c>
      <c r="C158" s="13">
        <v>30</v>
      </c>
      <c r="D158" s="14" t="s">
        <v>27</v>
      </c>
      <c r="E158" s="12" t="s">
        <v>73</v>
      </c>
      <c r="F158" s="12" t="s">
        <v>23</v>
      </c>
      <c r="G158" s="15">
        <v>2</v>
      </c>
      <c r="H158" s="21">
        <v>12000000</v>
      </c>
      <c r="I158" s="12">
        <v>4</v>
      </c>
      <c r="J158" s="16">
        <v>1.3888888888888889E-3</v>
      </c>
      <c r="K158" s="12" t="s">
        <v>18</v>
      </c>
      <c r="L158" s="12" t="s">
        <v>29</v>
      </c>
      <c r="M158" s="12" t="s">
        <v>30</v>
      </c>
      <c r="N158" s="12" t="s">
        <v>78</v>
      </c>
      <c r="O158" s="12" t="s">
        <v>53</v>
      </c>
    </row>
    <row r="159" spans="1:15" ht="21" customHeight="1" x14ac:dyDescent="0.3">
      <c r="A159" s="17"/>
      <c r="B159" s="2" t="s">
        <v>14</v>
      </c>
      <c r="C159" s="3">
        <v>11</v>
      </c>
      <c r="D159" s="4" t="s">
        <v>27</v>
      </c>
      <c r="E159" s="2" t="s">
        <v>38</v>
      </c>
      <c r="F159" s="2" t="s">
        <v>42</v>
      </c>
      <c r="G159" s="5">
        <v>3</v>
      </c>
      <c r="H159" s="20">
        <v>15000000</v>
      </c>
      <c r="I159" s="2">
        <v>1</v>
      </c>
      <c r="J159" s="6">
        <v>1.3888888888888889E-3</v>
      </c>
      <c r="K159" s="2" t="s">
        <v>18</v>
      </c>
      <c r="L159" s="2" t="s">
        <v>19</v>
      </c>
      <c r="M159" s="2" t="s">
        <v>33</v>
      </c>
      <c r="N159" s="2" t="s">
        <v>66</v>
      </c>
      <c r="O159" s="2" t="s">
        <v>67</v>
      </c>
    </row>
    <row r="160" spans="1:15" ht="21" customHeight="1" x14ac:dyDescent="0.3">
      <c r="A160" s="17"/>
      <c r="B160" s="12" t="s">
        <v>14</v>
      </c>
      <c r="C160" s="13">
        <v>15</v>
      </c>
      <c r="D160" s="14" t="s">
        <v>27</v>
      </c>
      <c r="E160" s="12" t="s">
        <v>28</v>
      </c>
      <c r="F160" s="12" t="s">
        <v>23</v>
      </c>
      <c r="G160" s="15">
        <v>4</v>
      </c>
      <c r="H160" s="21">
        <v>15000000</v>
      </c>
      <c r="I160" s="12">
        <v>3</v>
      </c>
      <c r="J160" s="16">
        <v>1.3888888888888889E-3</v>
      </c>
      <c r="K160" s="12" t="s">
        <v>18</v>
      </c>
      <c r="L160" s="12" t="s">
        <v>29</v>
      </c>
      <c r="M160" s="12" t="s">
        <v>43</v>
      </c>
      <c r="N160" s="12" t="s">
        <v>78</v>
      </c>
      <c r="O160" s="12" t="s">
        <v>62</v>
      </c>
    </row>
    <row r="161" spans="1:15" ht="21" customHeight="1" x14ac:dyDescent="0.3">
      <c r="A161" s="17"/>
      <c r="B161" s="2" t="s">
        <v>14</v>
      </c>
      <c r="C161" s="3">
        <v>20</v>
      </c>
      <c r="D161" s="4" t="s">
        <v>37</v>
      </c>
      <c r="E161" s="2" t="s">
        <v>32</v>
      </c>
      <c r="F161" s="2" t="s">
        <v>23</v>
      </c>
      <c r="G161" s="5">
        <v>2</v>
      </c>
      <c r="H161" s="20">
        <v>38000000</v>
      </c>
      <c r="I161" s="2">
        <v>1</v>
      </c>
      <c r="J161" s="6">
        <v>1.3888888888888889E-3</v>
      </c>
      <c r="K161" s="2" t="s">
        <v>74</v>
      </c>
      <c r="L161" s="2" t="s">
        <v>19</v>
      </c>
      <c r="M161" s="2" t="s">
        <v>43</v>
      </c>
      <c r="N161" s="2" t="s">
        <v>66</v>
      </c>
      <c r="O161" s="2" t="s">
        <v>67</v>
      </c>
    </row>
    <row r="162" spans="1:15" ht="21" customHeight="1" x14ac:dyDescent="0.3">
      <c r="A162" s="17"/>
      <c r="B162" s="12" t="s">
        <v>14</v>
      </c>
      <c r="C162" s="13">
        <v>8</v>
      </c>
      <c r="D162" s="14" t="s">
        <v>37</v>
      </c>
      <c r="E162" s="12" t="s">
        <v>38</v>
      </c>
      <c r="F162" s="12" t="s">
        <v>45</v>
      </c>
      <c r="G162" s="15">
        <v>2</v>
      </c>
      <c r="H162" s="21">
        <v>38000000</v>
      </c>
      <c r="I162" s="12">
        <v>4</v>
      </c>
      <c r="J162" s="16">
        <v>1.3888888888888889E-3</v>
      </c>
      <c r="K162" s="12" t="s">
        <v>46</v>
      </c>
      <c r="L162" s="12" t="s">
        <v>19</v>
      </c>
      <c r="M162" s="12" t="s">
        <v>33</v>
      </c>
      <c r="N162" s="12" t="s">
        <v>66</v>
      </c>
      <c r="O162" s="12" t="s">
        <v>67</v>
      </c>
    </row>
    <row r="163" spans="1:15" ht="21" customHeight="1" x14ac:dyDescent="0.3">
      <c r="A163" s="17"/>
      <c r="B163" s="2" t="s">
        <v>14</v>
      </c>
      <c r="C163" s="3">
        <v>27</v>
      </c>
      <c r="D163" s="4" t="s">
        <v>37</v>
      </c>
      <c r="E163" s="2" t="s">
        <v>16</v>
      </c>
      <c r="F163" s="2" t="s">
        <v>68</v>
      </c>
      <c r="G163" s="5">
        <v>2</v>
      </c>
      <c r="H163" s="20">
        <v>38000000</v>
      </c>
      <c r="I163" s="2">
        <v>1</v>
      </c>
      <c r="J163" s="6">
        <v>1.3888888888888889E-3</v>
      </c>
      <c r="K163" s="2" t="s">
        <v>46</v>
      </c>
      <c r="L163" s="2" t="s">
        <v>35</v>
      </c>
      <c r="M163" s="2" t="s">
        <v>48</v>
      </c>
      <c r="N163" s="2" t="s">
        <v>66</v>
      </c>
      <c r="O163" s="2" t="s">
        <v>67</v>
      </c>
    </row>
    <row r="164" spans="1:15" ht="21" customHeight="1" x14ac:dyDescent="0.3">
      <c r="A164" s="17"/>
      <c r="B164" s="12" t="s">
        <v>14</v>
      </c>
      <c r="C164" s="13">
        <v>5</v>
      </c>
      <c r="D164" s="14" t="s">
        <v>37</v>
      </c>
      <c r="E164" s="12" t="s">
        <v>49</v>
      </c>
      <c r="F164" s="12" t="s">
        <v>23</v>
      </c>
      <c r="G164" s="15">
        <v>4</v>
      </c>
      <c r="H164" s="21">
        <v>15000000</v>
      </c>
      <c r="I164" s="12">
        <v>1</v>
      </c>
      <c r="J164" s="16">
        <v>1.3888888888888889E-3</v>
      </c>
      <c r="K164" s="12" t="s">
        <v>18</v>
      </c>
      <c r="L164" s="12" t="s">
        <v>19</v>
      </c>
      <c r="M164" s="12" t="s">
        <v>33</v>
      </c>
      <c r="N164" s="12" t="s">
        <v>66</v>
      </c>
      <c r="O164" s="12" t="s">
        <v>36</v>
      </c>
    </row>
    <row r="165" spans="1:15" ht="21" customHeight="1" x14ac:dyDescent="0.3">
      <c r="A165" s="17"/>
      <c r="B165" s="2" t="s">
        <v>14</v>
      </c>
      <c r="C165" s="3">
        <v>27</v>
      </c>
      <c r="D165" s="4" t="s">
        <v>37</v>
      </c>
      <c r="E165" s="2" t="s">
        <v>28</v>
      </c>
      <c r="F165" s="2" t="s">
        <v>23</v>
      </c>
      <c r="G165" s="5">
        <v>4</v>
      </c>
      <c r="H165" s="20">
        <v>15000000</v>
      </c>
      <c r="I165" s="2">
        <v>1</v>
      </c>
      <c r="J165" s="6">
        <v>1.3888888888888889E-3</v>
      </c>
      <c r="K165" s="2" t="s">
        <v>18</v>
      </c>
      <c r="L165" s="2" t="s">
        <v>19</v>
      </c>
      <c r="M165" s="2" t="s">
        <v>20</v>
      </c>
      <c r="N165" s="2" t="s">
        <v>77</v>
      </c>
      <c r="O165" s="2" t="s">
        <v>54</v>
      </c>
    </row>
    <row r="166" spans="1:15" ht="21" customHeight="1" x14ac:dyDescent="0.3">
      <c r="A166" s="17"/>
      <c r="B166" s="12" t="s">
        <v>14</v>
      </c>
      <c r="C166" s="13">
        <v>30</v>
      </c>
      <c r="D166" s="14" t="s">
        <v>37</v>
      </c>
      <c r="E166" s="12" t="s">
        <v>38</v>
      </c>
      <c r="F166" s="12" t="s">
        <v>23</v>
      </c>
      <c r="G166" s="15">
        <v>3</v>
      </c>
      <c r="H166" s="21">
        <v>15000000</v>
      </c>
      <c r="I166" s="12">
        <v>1</v>
      </c>
      <c r="J166" s="16">
        <v>1.3888888888888889E-3</v>
      </c>
      <c r="K166" s="12" t="s">
        <v>18</v>
      </c>
      <c r="L166" s="12" t="s">
        <v>47</v>
      </c>
      <c r="M166" s="12" t="s">
        <v>20</v>
      </c>
      <c r="N166" s="12" t="s">
        <v>77</v>
      </c>
      <c r="O166" s="12" t="s">
        <v>54</v>
      </c>
    </row>
    <row r="167" spans="1:15" ht="21" customHeight="1" x14ac:dyDescent="0.3">
      <c r="A167" s="17"/>
      <c r="B167" s="2" t="s">
        <v>14</v>
      </c>
      <c r="C167" s="3">
        <v>1</v>
      </c>
      <c r="D167" s="4" t="s">
        <v>37</v>
      </c>
      <c r="E167" s="2" t="s">
        <v>38</v>
      </c>
      <c r="F167" s="2" t="s">
        <v>42</v>
      </c>
      <c r="G167" s="5">
        <v>2</v>
      </c>
      <c r="H167" s="20">
        <v>10000000</v>
      </c>
      <c r="I167" s="2">
        <v>1</v>
      </c>
      <c r="J167" s="6">
        <v>1.3888888888888889E-3</v>
      </c>
      <c r="K167" s="2" t="s">
        <v>18</v>
      </c>
      <c r="L167" s="2" t="s">
        <v>39</v>
      </c>
      <c r="M167" s="2" t="s">
        <v>43</v>
      </c>
      <c r="N167" s="2" t="s">
        <v>78</v>
      </c>
      <c r="O167" s="2" t="s">
        <v>66</v>
      </c>
    </row>
    <row r="168" spans="1:15" ht="21" customHeight="1" x14ac:dyDescent="0.3">
      <c r="A168" s="17"/>
      <c r="B168" s="12" t="s">
        <v>14</v>
      </c>
      <c r="C168" s="13">
        <v>2</v>
      </c>
      <c r="D168" s="14" t="s">
        <v>37</v>
      </c>
      <c r="E168" s="12" t="s">
        <v>16</v>
      </c>
      <c r="F168" s="12" t="s">
        <v>42</v>
      </c>
      <c r="G168" s="15">
        <v>3</v>
      </c>
      <c r="H168" s="21">
        <v>11000000</v>
      </c>
      <c r="I168" s="12">
        <v>1</v>
      </c>
      <c r="J168" s="16">
        <v>1.3888888888888889E-3</v>
      </c>
      <c r="K168" s="12" t="s">
        <v>18</v>
      </c>
      <c r="L168" s="12" t="s">
        <v>47</v>
      </c>
      <c r="M168" s="12" t="s">
        <v>51</v>
      </c>
      <c r="N168" s="12" t="s">
        <v>77</v>
      </c>
      <c r="O168" s="12" t="s">
        <v>54</v>
      </c>
    </row>
    <row r="169" spans="1:15" ht="21" customHeight="1" x14ac:dyDescent="0.3">
      <c r="A169" s="17"/>
      <c r="B169" s="2" t="s">
        <v>14</v>
      </c>
      <c r="C169" s="3">
        <v>6</v>
      </c>
      <c r="D169" s="4" t="s">
        <v>37</v>
      </c>
      <c r="E169" s="2" t="s">
        <v>16</v>
      </c>
      <c r="F169" s="2" t="s">
        <v>23</v>
      </c>
      <c r="G169" s="5">
        <v>5</v>
      </c>
      <c r="H169" s="20">
        <v>20000000</v>
      </c>
      <c r="I169" s="2">
        <v>1</v>
      </c>
      <c r="J169" s="6">
        <v>1.3888888888888889E-3</v>
      </c>
      <c r="K169" s="2" t="s">
        <v>18</v>
      </c>
      <c r="L169" s="2" t="s">
        <v>29</v>
      </c>
      <c r="M169" s="2" t="s">
        <v>51</v>
      </c>
      <c r="N169" s="2" t="s">
        <v>66</v>
      </c>
      <c r="O169" s="2" t="s">
        <v>36</v>
      </c>
    </row>
    <row r="170" spans="1:15" ht="21" customHeight="1" x14ac:dyDescent="0.3">
      <c r="A170" s="17"/>
      <c r="B170" s="12" t="s">
        <v>14</v>
      </c>
      <c r="C170" s="13">
        <v>29</v>
      </c>
      <c r="D170" s="14" t="s">
        <v>37</v>
      </c>
      <c r="E170" s="12" t="s">
        <v>38</v>
      </c>
      <c r="F170" s="12" t="s">
        <v>17</v>
      </c>
      <c r="G170" s="15">
        <v>5</v>
      </c>
      <c r="H170" s="21">
        <v>25000000</v>
      </c>
      <c r="I170" s="12">
        <v>6</v>
      </c>
      <c r="J170" s="16">
        <v>1.3888888888888889E-3</v>
      </c>
      <c r="K170" s="12" t="s">
        <v>18</v>
      </c>
      <c r="L170" s="12" t="s">
        <v>19</v>
      </c>
      <c r="M170" s="12" t="s">
        <v>51</v>
      </c>
      <c r="N170" s="12" t="s">
        <v>78</v>
      </c>
      <c r="O170" s="12" t="s">
        <v>21</v>
      </c>
    </row>
    <row r="171" spans="1:15" ht="21" customHeight="1" x14ac:dyDescent="0.3">
      <c r="A171" s="17"/>
      <c r="B171" s="2" t="s">
        <v>14</v>
      </c>
      <c r="C171" s="3">
        <v>22</v>
      </c>
      <c r="D171" s="4" t="s">
        <v>44</v>
      </c>
      <c r="E171" s="2" t="s">
        <v>32</v>
      </c>
      <c r="F171" s="2" t="s">
        <v>42</v>
      </c>
      <c r="G171" s="5">
        <v>1</v>
      </c>
      <c r="H171" s="20">
        <v>19000000</v>
      </c>
      <c r="I171" s="2">
        <v>5</v>
      </c>
      <c r="J171" s="6">
        <v>1.3888888888888889E-3</v>
      </c>
      <c r="K171" s="2" t="s">
        <v>46</v>
      </c>
      <c r="L171" s="2" t="s">
        <v>29</v>
      </c>
      <c r="M171" s="2" t="s">
        <v>20</v>
      </c>
      <c r="N171" s="2" t="s">
        <v>78</v>
      </c>
      <c r="O171" s="2" t="s">
        <v>53</v>
      </c>
    </row>
    <row r="172" spans="1:15" ht="21" customHeight="1" x14ac:dyDescent="0.3">
      <c r="A172" s="17"/>
      <c r="B172" s="12" t="s">
        <v>14</v>
      </c>
      <c r="C172" s="13">
        <v>22</v>
      </c>
      <c r="D172" s="14" t="s">
        <v>44</v>
      </c>
      <c r="E172" s="12" t="s">
        <v>16</v>
      </c>
      <c r="F172" s="12" t="s">
        <v>23</v>
      </c>
      <c r="G172" s="15">
        <v>4</v>
      </c>
      <c r="H172" s="21">
        <v>20000000</v>
      </c>
      <c r="I172" s="12">
        <v>4</v>
      </c>
      <c r="J172" s="16">
        <v>1.3888888888888889E-3</v>
      </c>
      <c r="K172" s="12" t="s">
        <v>61</v>
      </c>
      <c r="L172" s="12" t="s">
        <v>56</v>
      </c>
      <c r="M172" s="12" t="s">
        <v>20</v>
      </c>
      <c r="N172" s="12" t="s">
        <v>76</v>
      </c>
      <c r="O172" s="12" t="s">
        <v>52</v>
      </c>
    </row>
    <row r="173" spans="1:15" ht="21" customHeight="1" x14ac:dyDescent="0.3">
      <c r="A173" s="17"/>
      <c r="B173" s="2" t="s">
        <v>14</v>
      </c>
      <c r="C173" s="3">
        <v>15</v>
      </c>
      <c r="D173" s="4" t="s">
        <v>44</v>
      </c>
      <c r="E173" s="2" t="s">
        <v>28</v>
      </c>
      <c r="F173" s="2" t="s">
        <v>42</v>
      </c>
      <c r="G173" s="5">
        <v>2</v>
      </c>
      <c r="H173" s="20">
        <v>12000000</v>
      </c>
      <c r="I173" s="2">
        <v>2</v>
      </c>
      <c r="J173" s="6">
        <v>1.3888888888888889E-3</v>
      </c>
      <c r="K173" s="2" t="s">
        <v>18</v>
      </c>
      <c r="L173" s="2" t="s">
        <v>29</v>
      </c>
      <c r="M173" s="2" t="s">
        <v>30</v>
      </c>
      <c r="N173" s="2" t="s">
        <v>78</v>
      </c>
      <c r="O173" s="2" t="s">
        <v>21</v>
      </c>
    </row>
    <row r="174" spans="1:15" ht="21" customHeight="1" x14ac:dyDescent="0.3">
      <c r="A174" s="17"/>
      <c r="B174" s="12" t="s">
        <v>14</v>
      </c>
      <c r="C174" s="13">
        <v>19</v>
      </c>
      <c r="D174" s="14" t="s">
        <v>44</v>
      </c>
      <c r="E174" s="12" t="s">
        <v>16</v>
      </c>
      <c r="F174" s="12" t="s">
        <v>17</v>
      </c>
      <c r="G174" s="15">
        <v>3</v>
      </c>
      <c r="H174" s="21">
        <v>15000000</v>
      </c>
      <c r="I174" s="12">
        <v>3</v>
      </c>
      <c r="J174" s="16">
        <v>1.3888888888888889E-3</v>
      </c>
      <c r="K174" s="12" t="s">
        <v>18</v>
      </c>
      <c r="L174" s="12" t="s">
        <v>39</v>
      </c>
      <c r="M174" s="12" t="s">
        <v>30</v>
      </c>
      <c r="N174" s="12" t="s">
        <v>76</v>
      </c>
      <c r="O174" s="12" t="s">
        <v>26</v>
      </c>
    </row>
    <row r="175" spans="1:15" ht="21" customHeight="1" x14ac:dyDescent="0.3">
      <c r="A175" s="17"/>
      <c r="B175" s="2" t="s">
        <v>14</v>
      </c>
      <c r="C175" s="3">
        <v>17</v>
      </c>
      <c r="D175" s="4" t="s">
        <v>44</v>
      </c>
      <c r="E175" s="2" t="s">
        <v>28</v>
      </c>
      <c r="F175" s="2" t="s">
        <v>42</v>
      </c>
      <c r="G175" s="5">
        <v>1</v>
      </c>
      <c r="H175" s="20">
        <v>7000000</v>
      </c>
      <c r="I175" s="2">
        <v>3</v>
      </c>
      <c r="J175" s="6">
        <v>1.3888888888888889E-3</v>
      </c>
      <c r="K175" s="2" t="s">
        <v>18</v>
      </c>
      <c r="L175" s="2" t="s">
        <v>19</v>
      </c>
      <c r="M175" s="2" t="s">
        <v>43</v>
      </c>
      <c r="N175" s="2" t="s">
        <v>78</v>
      </c>
      <c r="O175" s="2" t="s">
        <v>41</v>
      </c>
    </row>
    <row r="176" spans="1:15" ht="21" customHeight="1" x14ac:dyDescent="0.3">
      <c r="A176" s="17"/>
      <c r="B176" s="12" t="s">
        <v>14</v>
      </c>
      <c r="C176" s="13">
        <v>19</v>
      </c>
      <c r="D176" s="14" t="s">
        <v>44</v>
      </c>
      <c r="E176" s="12" t="s">
        <v>73</v>
      </c>
      <c r="F176" s="12" t="s">
        <v>42</v>
      </c>
      <c r="G176" s="15">
        <v>2</v>
      </c>
      <c r="H176" s="21">
        <v>12000000</v>
      </c>
      <c r="I176" s="12">
        <v>1</v>
      </c>
      <c r="J176" s="16">
        <v>1.3888888888888889E-3</v>
      </c>
      <c r="K176" s="12" t="s">
        <v>18</v>
      </c>
      <c r="L176" s="12" t="s">
        <v>24</v>
      </c>
      <c r="M176" s="12" t="s">
        <v>48</v>
      </c>
      <c r="N176" s="12" t="s">
        <v>76</v>
      </c>
      <c r="O176" s="12" t="s">
        <v>31</v>
      </c>
    </row>
    <row r="177" spans="1:15" ht="21" customHeight="1" x14ac:dyDescent="0.3">
      <c r="A177" s="17"/>
      <c r="B177" s="2" t="s">
        <v>14</v>
      </c>
      <c r="C177" s="3">
        <v>14</v>
      </c>
      <c r="D177" s="4" t="s">
        <v>44</v>
      </c>
      <c r="E177" s="2" t="s">
        <v>38</v>
      </c>
      <c r="F177" s="2" t="s">
        <v>17</v>
      </c>
      <c r="G177" s="5">
        <v>5</v>
      </c>
      <c r="H177" s="20">
        <v>25000000</v>
      </c>
      <c r="I177" s="2">
        <v>1</v>
      </c>
      <c r="J177" s="6">
        <v>1.3888888888888889E-3</v>
      </c>
      <c r="K177" s="2" t="s">
        <v>18</v>
      </c>
      <c r="L177" s="2" t="s">
        <v>39</v>
      </c>
      <c r="M177" s="2" t="s">
        <v>51</v>
      </c>
      <c r="N177" s="2" t="s">
        <v>77</v>
      </c>
      <c r="O177" s="2" t="s">
        <v>65</v>
      </c>
    </row>
    <row r="178" spans="1:15" ht="21" customHeight="1" x14ac:dyDescent="0.3">
      <c r="A178" s="17"/>
      <c r="B178" s="12" t="s">
        <v>14</v>
      </c>
      <c r="C178" s="13">
        <v>29</v>
      </c>
      <c r="D178" s="14" t="s">
        <v>69</v>
      </c>
      <c r="E178" s="12" t="s">
        <v>28</v>
      </c>
      <c r="F178" s="12" t="s">
        <v>42</v>
      </c>
      <c r="G178" s="15">
        <v>1</v>
      </c>
      <c r="H178" s="21">
        <v>19000000</v>
      </c>
      <c r="I178" s="12">
        <v>1</v>
      </c>
      <c r="J178" s="16">
        <v>1.3888888888888889E-3</v>
      </c>
      <c r="K178" s="12" t="s">
        <v>46</v>
      </c>
      <c r="L178" s="12" t="s">
        <v>50</v>
      </c>
      <c r="M178" s="12" t="s">
        <v>20</v>
      </c>
      <c r="N178" s="12" t="s">
        <v>76</v>
      </c>
      <c r="O178" s="12" t="s">
        <v>75</v>
      </c>
    </row>
    <row r="179" spans="1:15" ht="21" customHeight="1" x14ac:dyDescent="0.3">
      <c r="A179" s="17"/>
      <c r="B179" s="2" t="s">
        <v>14</v>
      </c>
      <c r="C179" s="3">
        <v>13</v>
      </c>
      <c r="D179" s="4" t="s">
        <v>69</v>
      </c>
      <c r="E179" s="2" t="s">
        <v>49</v>
      </c>
      <c r="F179" s="2" t="s">
        <v>42</v>
      </c>
      <c r="G179" s="5">
        <v>2</v>
      </c>
      <c r="H179" s="20">
        <v>12000000</v>
      </c>
      <c r="I179" s="2">
        <v>5</v>
      </c>
      <c r="J179" s="6">
        <v>1.3888888888888889E-3</v>
      </c>
      <c r="K179" s="2" t="s">
        <v>18</v>
      </c>
      <c r="L179" s="2" t="s">
        <v>19</v>
      </c>
      <c r="M179" s="2" t="s">
        <v>30</v>
      </c>
      <c r="N179" s="2" t="s">
        <v>78</v>
      </c>
      <c r="O179" s="2" t="s">
        <v>62</v>
      </c>
    </row>
    <row r="180" spans="1:15" ht="21" customHeight="1" x14ac:dyDescent="0.3">
      <c r="A180" s="17"/>
      <c r="B180" s="12" t="s">
        <v>14</v>
      </c>
      <c r="C180" s="13">
        <v>26</v>
      </c>
      <c r="D180" s="14" t="s">
        <v>69</v>
      </c>
      <c r="E180" s="12" t="s">
        <v>32</v>
      </c>
      <c r="F180" s="12" t="s">
        <v>23</v>
      </c>
      <c r="G180" s="15">
        <v>5</v>
      </c>
      <c r="H180" s="21">
        <v>25000000</v>
      </c>
      <c r="I180" s="12">
        <v>2</v>
      </c>
      <c r="J180" s="16">
        <v>1.3888888888888889E-3</v>
      </c>
      <c r="K180" s="12" t="s">
        <v>18</v>
      </c>
      <c r="L180" s="12" t="s">
        <v>29</v>
      </c>
      <c r="M180" s="12" t="s">
        <v>30</v>
      </c>
      <c r="N180" s="12" t="s">
        <v>66</v>
      </c>
      <c r="O180" s="12" t="s">
        <v>36</v>
      </c>
    </row>
    <row r="181" spans="1:15" ht="21" customHeight="1" x14ac:dyDescent="0.3">
      <c r="A181" s="17"/>
      <c r="B181" s="2" t="s">
        <v>14</v>
      </c>
      <c r="C181" s="3">
        <v>16</v>
      </c>
      <c r="D181" s="4" t="s">
        <v>69</v>
      </c>
      <c r="E181" s="2" t="s">
        <v>16</v>
      </c>
      <c r="F181" s="2" t="s">
        <v>23</v>
      </c>
      <c r="G181" s="5">
        <v>3</v>
      </c>
      <c r="H181" s="20">
        <v>15000000</v>
      </c>
      <c r="I181" s="2">
        <v>3</v>
      </c>
      <c r="J181" s="6">
        <v>1.3888888888888889E-3</v>
      </c>
      <c r="K181" s="2" t="s">
        <v>18</v>
      </c>
      <c r="L181" s="2" t="s">
        <v>24</v>
      </c>
      <c r="M181" s="2" t="s">
        <v>33</v>
      </c>
      <c r="N181" s="2" t="s">
        <v>76</v>
      </c>
      <c r="O181" s="2" t="s">
        <v>31</v>
      </c>
    </row>
    <row r="182" spans="1:15" ht="21" customHeight="1" x14ac:dyDescent="0.3">
      <c r="A182" s="17"/>
      <c r="B182" s="12" t="s">
        <v>14</v>
      </c>
      <c r="C182" s="13">
        <v>14</v>
      </c>
      <c r="D182" s="14" t="s">
        <v>69</v>
      </c>
      <c r="E182" s="12" t="s">
        <v>32</v>
      </c>
      <c r="F182" s="12" t="s">
        <v>17</v>
      </c>
      <c r="G182" s="15">
        <v>1</v>
      </c>
      <c r="H182" s="21">
        <v>7000000</v>
      </c>
      <c r="I182" s="12">
        <v>1</v>
      </c>
      <c r="J182" s="16">
        <v>1.3888888888888889E-3</v>
      </c>
      <c r="K182" s="12" t="s">
        <v>18</v>
      </c>
      <c r="L182" s="12" t="s">
        <v>39</v>
      </c>
      <c r="M182" s="12" t="s">
        <v>48</v>
      </c>
      <c r="N182" s="12" t="s">
        <v>78</v>
      </c>
      <c r="O182" s="12" t="s">
        <v>53</v>
      </c>
    </row>
    <row r="183" spans="1:15" ht="21" customHeight="1" x14ac:dyDescent="0.3">
      <c r="A183" s="17"/>
      <c r="B183" s="2" t="s">
        <v>14</v>
      </c>
      <c r="C183" s="3">
        <v>16</v>
      </c>
      <c r="D183" s="4" t="s">
        <v>55</v>
      </c>
      <c r="E183" s="2" t="s">
        <v>38</v>
      </c>
      <c r="F183" s="2" t="s">
        <v>23</v>
      </c>
      <c r="G183" s="5">
        <v>5</v>
      </c>
      <c r="H183" s="20">
        <v>25000000</v>
      </c>
      <c r="I183" s="2">
        <v>1</v>
      </c>
      <c r="J183" s="6">
        <v>1.3888888888888889E-3</v>
      </c>
      <c r="K183" s="2" t="s">
        <v>18</v>
      </c>
      <c r="L183" s="2" t="s">
        <v>47</v>
      </c>
      <c r="M183" s="2" t="s">
        <v>48</v>
      </c>
      <c r="N183" s="2" t="s">
        <v>76</v>
      </c>
      <c r="O183" s="2" t="s">
        <v>31</v>
      </c>
    </row>
    <row r="184" spans="1:15" ht="21" customHeight="1" x14ac:dyDescent="0.3">
      <c r="A184" s="17"/>
      <c r="B184" s="12" t="s">
        <v>14</v>
      </c>
      <c r="C184" s="13">
        <v>1</v>
      </c>
      <c r="D184" s="14" t="s">
        <v>57</v>
      </c>
      <c r="E184" s="12" t="s">
        <v>32</v>
      </c>
      <c r="F184" s="12" t="s">
        <v>23</v>
      </c>
      <c r="G184" s="15">
        <v>1</v>
      </c>
      <c r="H184" s="21">
        <v>7000000</v>
      </c>
      <c r="I184" s="12">
        <v>2</v>
      </c>
      <c r="J184" s="16">
        <v>1.3888888888888889E-3</v>
      </c>
      <c r="K184" s="12" t="s">
        <v>18</v>
      </c>
      <c r="L184" s="12" t="s">
        <v>24</v>
      </c>
      <c r="M184" s="12" t="s">
        <v>33</v>
      </c>
      <c r="N184" s="12" t="s">
        <v>76</v>
      </c>
      <c r="O184" s="12" t="s">
        <v>31</v>
      </c>
    </row>
    <row r="185" spans="1:15" ht="21" customHeight="1" x14ac:dyDescent="0.3">
      <c r="A185" s="17"/>
      <c r="B185" s="2" t="s">
        <v>14</v>
      </c>
      <c r="C185" s="3">
        <v>11</v>
      </c>
      <c r="D185" s="4" t="s">
        <v>57</v>
      </c>
      <c r="E185" s="2" t="s">
        <v>32</v>
      </c>
      <c r="F185" s="2" t="s">
        <v>45</v>
      </c>
      <c r="G185" s="5">
        <v>2</v>
      </c>
      <c r="H185" s="20">
        <v>12000000</v>
      </c>
      <c r="I185" s="2">
        <v>2</v>
      </c>
      <c r="J185" s="6">
        <v>1.3888888888888889E-3</v>
      </c>
      <c r="K185" s="2" t="s">
        <v>18</v>
      </c>
      <c r="L185" s="2" t="s">
        <v>24</v>
      </c>
      <c r="M185" s="2" t="s">
        <v>40</v>
      </c>
      <c r="N185" s="2" t="s">
        <v>78</v>
      </c>
      <c r="O185" s="2" t="s">
        <v>63</v>
      </c>
    </row>
    <row r="186" spans="1:15" ht="21" customHeight="1" x14ac:dyDescent="0.3">
      <c r="A186" s="17"/>
      <c r="B186" s="12" t="s">
        <v>14</v>
      </c>
      <c r="C186" s="13">
        <v>11</v>
      </c>
      <c r="D186" s="14" t="s">
        <v>57</v>
      </c>
      <c r="E186" s="12" t="s">
        <v>16</v>
      </c>
      <c r="F186" s="12" t="s">
        <v>23</v>
      </c>
      <c r="G186" s="15">
        <v>3</v>
      </c>
      <c r="H186" s="21">
        <v>15000000</v>
      </c>
      <c r="I186" s="12">
        <v>1</v>
      </c>
      <c r="J186" s="16">
        <v>1.3888888888888889E-3</v>
      </c>
      <c r="K186" s="12" t="s">
        <v>18</v>
      </c>
      <c r="L186" s="12" t="s">
        <v>39</v>
      </c>
      <c r="M186" s="12" t="s">
        <v>48</v>
      </c>
      <c r="N186" s="12" t="s">
        <v>66</v>
      </c>
      <c r="O186" s="12" t="s">
        <v>36</v>
      </c>
    </row>
    <row r="187" spans="1:15" ht="21" customHeight="1" x14ac:dyDescent="0.3">
      <c r="A187" s="17"/>
      <c r="B187" s="2" t="s">
        <v>14</v>
      </c>
      <c r="C187" s="3">
        <v>1</v>
      </c>
      <c r="D187" s="4" t="s">
        <v>15</v>
      </c>
      <c r="E187" s="2" t="s">
        <v>16</v>
      </c>
      <c r="F187" s="2" t="s">
        <v>17</v>
      </c>
      <c r="G187" s="5">
        <v>1</v>
      </c>
      <c r="H187" s="20">
        <v>19000000</v>
      </c>
      <c r="I187" s="2">
        <v>1</v>
      </c>
      <c r="J187" s="6">
        <v>1.3888888888888889E-3</v>
      </c>
      <c r="K187" s="2" t="s">
        <v>46</v>
      </c>
      <c r="L187" s="2" t="s">
        <v>39</v>
      </c>
      <c r="M187" s="2" t="s">
        <v>43</v>
      </c>
      <c r="N187" s="2" t="s">
        <v>78</v>
      </c>
      <c r="O187" s="2" t="s">
        <v>66</v>
      </c>
    </row>
    <row r="188" spans="1:15" ht="21" customHeight="1" x14ac:dyDescent="0.3">
      <c r="A188" s="17"/>
      <c r="B188" s="12" t="s">
        <v>14</v>
      </c>
      <c r="C188" s="13">
        <v>1</v>
      </c>
      <c r="D188" s="14" t="s">
        <v>15</v>
      </c>
      <c r="E188" s="12" t="s">
        <v>38</v>
      </c>
      <c r="F188" s="12" t="s">
        <v>23</v>
      </c>
      <c r="G188" s="15">
        <v>4</v>
      </c>
      <c r="H188" s="21">
        <v>20000000</v>
      </c>
      <c r="I188" s="12">
        <v>3</v>
      </c>
      <c r="J188" s="16">
        <v>1.3888888888888889E-3</v>
      </c>
      <c r="K188" s="12" t="s">
        <v>61</v>
      </c>
      <c r="L188" s="12" t="s">
        <v>39</v>
      </c>
      <c r="M188" s="12" t="s">
        <v>48</v>
      </c>
      <c r="N188" s="12" t="s">
        <v>66</v>
      </c>
      <c r="O188" s="12" t="s">
        <v>67</v>
      </c>
    </row>
    <row r="189" spans="1:15" ht="21" customHeight="1" x14ac:dyDescent="0.3">
      <c r="A189" s="17"/>
      <c r="B189" s="2" t="s">
        <v>14</v>
      </c>
      <c r="C189" s="3">
        <v>1</v>
      </c>
      <c r="D189" s="4" t="s">
        <v>15</v>
      </c>
      <c r="E189" s="2" t="s">
        <v>16</v>
      </c>
      <c r="F189" s="2" t="s">
        <v>42</v>
      </c>
      <c r="G189" s="5">
        <v>3</v>
      </c>
      <c r="H189" s="20">
        <v>15000000</v>
      </c>
      <c r="I189" s="2">
        <v>1</v>
      </c>
      <c r="J189" s="6">
        <v>1.3888888888888889E-3</v>
      </c>
      <c r="K189" s="2" t="s">
        <v>18</v>
      </c>
      <c r="L189" s="2" t="s">
        <v>56</v>
      </c>
      <c r="M189" s="2" t="s">
        <v>51</v>
      </c>
      <c r="N189" s="2" t="s">
        <v>77</v>
      </c>
      <c r="O189" s="2" t="s">
        <v>34</v>
      </c>
    </row>
    <row r="190" spans="1:15" ht="21" customHeight="1" x14ac:dyDescent="0.3">
      <c r="A190" s="17"/>
      <c r="B190" s="12" t="s">
        <v>14</v>
      </c>
      <c r="C190" s="13">
        <v>1</v>
      </c>
      <c r="D190" s="14" t="s">
        <v>59</v>
      </c>
      <c r="E190" s="12" t="s">
        <v>16</v>
      </c>
      <c r="F190" s="12" t="s">
        <v>17</v>
      </c>
      <c r="G190" s="15">
        <v>4</v>
      </c>
      <c r="H190" s="21">
        <v>20000000</v>
      </c>
      <c r="I190" s="12">
        <v>4</v>
      </c>
      <c r="J190" s="16">
        <v>1.3888888888888889E-3</v>
      </c>
      <c r="K190" s="12" t="s">
        <v>61</v>
      </c>
      <c r="L190" s="12" t="s">
        <v>39</v>
      </c>
      <c r="M190" s="12" t="s">
        <v>25</v>
      </c>
      <c r="N190" s="12" t="s">
        <v>78</v>
      </c>
      <c r="O190" s="12" t="s">
        <v>62</v>
      </c>
    </row>
    <row r="191" spans="1:15" ht="21" customHeight="1" x14ac:dyDescent="0.3">
      <c r="A191" s="17"/>
      <c r="B191" s="2" t="s">
        <v>14</v>
      </c>
      <c r="C191" s="3">
        <v>4</v>
      </c>
      <c r="D191" s="4" t="s">
        <v>59</v>
      </c>
      <c r="E191" s="2" t="s">
        <v>73</v>
      </c>
      <c r="F191" s="2" t="s">
        <v>17</v>
      </c>
      <c r="G191" s="5">
        <v>3</v>
      </c>
      <c r="H191" s="20">
        <v>15000000</v>
      </c>
      <c r="I191" s="2">
        <v>1</v>
      </c>
      <c r="J191" s="6">
        <v>1.3888888888888889E-3</v>
      </c>
      <c r="K191" s="2" t="s">
        <v>18</v>
      </c>
      <c r="L191" s="2" t="s">
        <v>35</v>
      </c>
      <c r="M191" s="2" t="s">
        <v>43</v>
      </c>
      <c r="N191" s="2" t="s">
        <v>76</v>
      </c>
      <c r="O191" s="2" t="s">
        <v>31</v>
      </c>
    </row>
    <row r="192" spans="1:15" ht="21" customHeight="1" x14ac:dyDescent="0.3">
      <c r="A192" s="17"/>
      <c r="B192" s="12" t="s">
        <v>14</v>
      </c>
      <c r="C192" s="13">
        <v>11</v>
      </c>
      <c r="D192" s="14" t="s">
        <v>59</v>
      </c>
      <c r="E192" s="12" t="s">
        <v>38</v>
      </c>
      <c r="F192" s="12" t="s">
        <v>23</v>
      </c>
      <c r="G192" s="15">
        <v>5</v>
      </c>
      <c r="H192" s="21">
        <v>25000000</v>
      </c>
      <c r="I192" s="12">
        <v>4</v>
      </c>
      <c r="J192" s="16">
        <v>1.3888888888888889E-3</v>
      </c>
      <c r="K192" s="12" t="s">
        <v>18</v>
      </c>
      <c r="L192" s="12" t="s">
        <v>29</v>
      </c>
      <c r="M192" s="12" t="s">
        <v>43</v>
      </c>
      <c r="N192" s="12" t="s">
        <v>76</v>
      </c>
      <c r="O192" s="12" t="s">
        <v>52</v>
      </c>
    </row>
    <row r="193" spans="1:15" ht="21" customHeight="1" x14ac:dyDescent="0.3">
      <c r="A193" s="17"/>
      <c r="B193" s="2" t="s">
        <v>14</v>
      </c>
      <c r="C193" s="3">
        <v>12</v>
      </c>
      <c r="D193" s="4" t="s">
        <v>72</v>
      </c>
      <c r="E193" s="2" t="s">
        <v>38</v>
      </c>
      <c r="F193" s="2" t="s">
        <v>23</v>
      </c>
      <c r="G193" s="5">
        <v>2</v>
      </c>
      <c r="H193" s="20">
        <v>12000000</v>
      </c>
      <c r="I193" s="2">
        <v>4</v>
      </c>
      <c r="J193" s="6">
        <v>1.3888888888888889E-3</v>
      </c>
      <c r="K193" s="2" t="s">
        <v>18</v>
      </c>
      <c r="L193" s="2" t="s">
        <v>35</v>
      </c>
      <c r="M193" s="2" t="s">
        <v>25</v>
      </c>
      <c r="N193" s="2" t="s">
        <v>77</v>
      </c>
      <c r="O193" s="2" t="s">
        <v>54</v>
      </c>
    </row>
    <row r="194" spans="1:15" ht="21" customHeight="1" x14ac:dyDescent="0.3">
      <c r="A194" s="17"/>
      <c r="B194" s="12" t="s">
        <v>14</v>
      </c>
      <c r="C194" s="13">
        <v>31</v>
      </c>
      <c r="D194" s="14" t="s">
        <v>22</v>
      </c>
      <c r="E194" s="12" t="s">
        <v>16</v>
      </c>
      <c r="F194" s="12" t="s">
        <v>23</v>
      </c>
      <c r="G194" s="15">
        <v>1</v>
      </c>
      <c r="H194" s="21">
        <v>19000000</v>
      </c>
      <c r="I194" s="12">
        <v>3</v>
      </c>
      <c r="J194" s="16">
        <v>1.3888888888888889E-3</v>
      </c>
      <c r="K194" s="12" t="s">
        <v>46</v>
      </c>
      <c r="L194" s="12" t="s">
        <v>56</v>
      </c>
      <c r="M194" s="12" t="s">
        <v>25</v>
      </c>
      <c r="N194" s="12" t="s">
        <v>76</v>
      </c>
      <c r="O194" s="12" t="s">
        <v>52</v>
      </c>
    </row>
    <row r="195" spans="1:15" ht="21" customHeight="1" x14ac:dyDescent="0.3">
      <c r="A195" s="17"/>
      <c r="B195" s="2" t="s">
        <v>14</v>
      </c>
      <c r="C195" s="3">
        <v>2</v>
      </c>
      <c r="D195" s="4" t="s">
        <v>22</v>
      </c>
      <c r="E195" s="2" t="s">
        <v>28</v>
      </c>
      <c r="F195" s="2" t="s">
        <v>45</v>
      </c>
      <c r="G195" s="5">
        <v>2</v>
      </c>
      <c r="H195" s="20">
        <v>12000000</v>
      </c>
      <c r="I195" s="2">
        <v>2</v>
      </c>
      <c r="J195" s="6">
        <v>1.3888888888888889E-3</v>
      </c>
      <c r="K195" s="2" t="s">
        <v>18</v>
      </c>
      <c r="L195" s="2" t="s">
        <v>56</v>
      </c>
      <c r="M195" s="2" t="s">
        <v>30</v>
      </c>
      <c r="N195" s="2" t="s">
        <v>78</v>
      </c>
      <c r="O195" s="2" t="s">
        <v>66</v>
      </c>
    </row>
    <row r="196" spans="1:15" ht="21" customHeight="1" x14ac:dyDescent="0.3">
      <c r="A196" s="17"/>
      <c r="B196" s="12" t="s">
        <v>14</v>
      </c>
      <c r="C196" s="13">
        <v>9</v>
      </c>
      <c r="D196" s="14" t="s">
        <v>22</v>
      </c>
      <c r="E196" s="12" t="s">
        <v>16</v>
      </c>
      <c r="F196" s="12" t="s">
        <v>42</v>
      </c>
      <c r="G196" s="15">
        <v>3</v>
      </c>
      <c r="H196" s="21">
        <v>12000000</v>
      </c>
      <c r="I196" s="12">
        <v>5</v>
      </c>
      <c r="J196" s="16">
        <v>1.3888888888888889E-3</v>
      </c>
      <c r="K196" s="12" t="s">
        <v>18</v>
      </c>
      <c r="L196" s="12" t="s">
        <v>64</v>
      </c>
      <c r="M196" s="12" t="s">
        <v>40</v>
      </c>
      <c r="N196" s="12" t="s">
        <v>76</v>
      </c>
      <c r="O196" s="12" t="s">
        <v>52</v>
      </c>
    </row>
    <row r="197" spans="1:15" ht="21" customHeight="1" x14ac:dyDescent="0.3">
      <c r="A197" s="17"/>
      <c r="B197" s="2" t="s">
        <v>14</v>
      </c>
      <c r="C197" s="3">
        <v>25</v>
      </c>
      <c r="D197" s="4" t="s">
        <v>22</v>
      </c>
      <c r="E197" s="2" t="s">
        <v>32</v>
      </c>
      <c r="F197" s="2" t="s">
        <v>42</v>
      </c>
      <c r="G197" s="5">
        <v>2</v>
      </c>
      <c r="H197" s="20">
        <v>10000000</v>
      </c>
      <c r="I197" s="2">
        <v>4</v>
      </c>
      <c r="J197" s="6">
        <v>1.3888888888888889E-3</v>
      </c>
      <c r="K197" s="2" t="s">
        <v>18</v>
      </c>
      <c r="L197" s="2" t="s">
        <v>64</v>
      </c>
      <c r="M197" s="2" t="s">
        <v>33</v>
      </c>
      <c r="N197" s="2" t="s">
        <v>76</v>
      </c>
      <c r="O197" s="2" t="s">
        <v>31</v>
      </c>
    </row>
    <row r="198" spans="1:15" ht="21" customHeight="1" x14ac:dyDescent="0.3">
      <c r="A198" s="17"/>
      <c r="B198" s="12" t="s">
        <v>70</v>
      </c>
      <c r="C198" s="13">
        <v>8</v>
      </c>
      <c r="D198" s="14" t="s">
        <v>72</v>
      </c>
      <c r="E198" s="12" t="s">
        <v>28</v>
      </c>
      <c r="F198" s="12" t="s">
        <v>17</v>
      </c>
      <c r="G198" s="15">
        <v>0</v>
      </c>
      <c r="H198" s="21">
        <v>0</v>
      </c>
      <c r="I198" s="12">
        <v>3</v>
      </c>
      <c r="J198" s="16">
        <v>1.3888888888888889E-3</v>
      </c>
      <c r="K198" s="12"/>
      <c r="L198" s="12"/>
      <c r="M198" s="12" t="s">
        <v>30</v>
      </c>
      <c r="N198" s="12" t="s">
        <v>76</v>
      </c>
      <c r="O198" s="12" t="s">
        <v>52</v>
      </c>
    </row>
    <row r="199" spans="1:15" ht="21" customHeight="1" x14ac:dyDescent="0.3">
      <c r="A199" s="17"/>
      <c r="B199" s="2" t="s">
        <v>70</v>
      </c>
      <c r="C199" s="3">
        <v>5</v>
      </c>
      <c r="D199" s="4" t="s">
        <v>72</v>
      </c>
      <c r="E199" s="2" t="s">
        <v>38</v>
      </c>
      <c r="F199" s="2" t="s">
        <v>42</v>
      </c>
      <c r="G199" s="5">
        <v>0</v>
      </c>
      <c r="H199" s="20">
        <v>0</v>
      </c>
      <c r="I199" s="2">
        <v>1</v>
      </c>
      <c r="J199" s="6">
        <v>1.3888888888888889E-3</v>
      </c>
      <c r="K199" s="2"/>
      <c r="L199" s="2"/>
      <c r="M199" s="2" t="s">
        <v>33</v>
      </c>
      <c r="N199" s="2" t="s">
        <v>78</v>
      </c>
      <c r="O199" s="2" t="s">
        <v>41</v>
      </c>
    </row>
    <row r="200" spans="1:15" ht="21" customHeight="1" x14ac:dyDescent="0.3">
      <c r="A200" s="17"/>
      <c r="B200" s="12" t="s">
        <v>70</v>
      </c>
      <c r="C200" s="13">
        <v>2</v>
      </c>
      <c r="D200" s="14" t="s">
        <v>27</v>
      </c>
      <c r="E200" s="12" t="s">
        <v>49</v>
      </c>
      <c r="F200" s="12" t="s">
        <v>42</v>
      </c>
      <c r="G200" s="15">
        <v>0</v>
      </c>
      <c r="H200" s="21">
        <v>0</v>
      </c>
      <c r="I200" s="12">
        <v>2</v>
      </c>
      <c r="J200" s="16">
        <v>1.3888888888888889E-3</v>
      </c>
      <c r="K200" s="12"/>
      <c r="L200" s="12"/>
      <c r="M200" s="12" t="s">
        <v>30</v>
      </c>
      <c r="N200" s="12" t="s">
        <v>77</v>
      </c>
      <c r="O200" s="12" t="s">
        <v>65</v>
      </c>
    </row>
    <row r="201" spans="1:15" ht="21" customHeight="1" x14ac:dyDescent="0.3">
      <c r="A201" s="17"/>
      <c r="B201" s="2" t="s">
        <v>70</v>
      </c>
      <c r="C201" s="3">
        <v>20</v>
      </c>
      <c r="D201" s="4" t="s">
        <v>27</v>
      </c>
      <c r="E201" s="2" t="s">
        <v>38</v>
      </c>
      <c r="F201" s="2" t="s">
        <v>42</v>
      </c>
      <c r="G201" s="5">
        <v>0</v>
      </c>
      <c r="H201" s="20">
        <v>0</v>
      </c>
      <c r="I201" s="2">
        <v>1</v>
      </c>
      <c r="J201" s="6">
        <v>1.3888888888888889E-3</v>
      </c>
      <c r="K201" s="2"/>
      <c r="L201" s="2"/>
      <c r="M201" s="2" t="s">
        <v>40</v>
      </c>
      <c r="N201" s="2" t="s">
        <v>76</v>
      </c>
      <c r="O201" s="2" t="s">
        <v>31</v>
      </c>
    </row>
    <row r="202" spans="1:15" ht="21" customHeight="1" x14ac:dyDescent="0.3">
      <c r="A202" s="17"/>
      <c r="B202" s="12" t="s">
        <v>70</v>
      </c>
      <c r="C202" s="13">
        <v>22</v>
      </c>
      <c r="D202" s="14" t="s">
        <v>27</v>
      </c>
      <c r="E202" s="12" t="s">
        <v>16</v>
      </c>
      <c r="F202" s="12" t="s">
        <v>23</v>
      </c>
      <c r="G202" s="15">
        <v>0</v>
      </c>
      <c r="H202" s="21">
        <v>0</v>
      </c>
      <c r="I202" s="12">
        <v>3</v>
      </c>
      <c r="J202" s="16">
        <v>1.3888888888888889E-3</v>
      </c>
      <c r="K202" s="12"/>
      <c r="L202" s="12"/>
      <c r="M202" s="12" t="s">
        <v>43</v>
      </c>
      <c r="N202" s="12" t="s">
        <v>76</v>
      </c>
      <c r="O202" s="12" t="s">
        <v>31</v>
      </c>
    </row>
    <row r="203" spans="1:15" ht="21" customHeight="1" x14ac:dyDescent="0.3">
      <c r="A203" s="17"/>
      <c r="B203" s="2" t="s">
        <v>70</v>
      </c>
      <c r="C203" s="3">
        <v>15</v>
      </c>
      <c r="D203" s="4" t="s">
        <v>27</v>
      </c>
      <c r="E203" s="2" t="s">
        <v>16</v>
      </c>
      <c r="F203" s="2" t="s">
        <v>23</v>
      </c>
      <c r="G203" s="5">
        <v>0</v>
      </c>
      <c r="H203" s="20">
        <v>0</v>
      </c>
      <c r="I203" s="2">
        <v>3</v>
      </c>
      <c r="J203" s="6">
        <v>1.3888888888888889E-3</v>
      </c>
      <c r="K203" s="2"/>
      <c r="L203" s="2"/>
      <c r="M203" s="2" t="s">
        <v>51</v>
      </c>
      <c r="N203" s="2" t="s">
        <v>66</v>
      </c>
      <c r="O203" s="2" t="s">
        <v>67</v>
      </c>
    </row>
    <row r="204" spans="1:15" ht="21" customHeight="1" x14ac:dyDescent="0.3">
      <c r="A204" s="17"/>
      <c r="B204" s="12" t="s">
        <v>70</v>
      </c>
      <c r="C204" s="13">
        <v>21</v>
      </c>
      <c r="D204" s="14" t="s">
        <v>27</v>
      </c>
      <c r="E204" s="12" t="s">
        <v>38</v>
      </c>
      <c r="F204" s="12" t="s">
        <v>42</v>
      </c>
      <c r="G204" s="15">
        <v>0</v>
      </c>
      <c r="H204" s="21">
        <v>0</v>
      </c>
      <c r="I204" s="12">
        <v>2</v>
      </c>
      <c r="J204" s="16">
        <v>1.3888888888888889E-3</v>
      </c>
      <c r="K204" s="12"/>
      <c r="L204" s="12"/>
      <c r="M204" s="12" t="s">
        <v>51</v>
      </c>
      <c r="N204" s="12" t="s">
        <v>77</v>
      </c>
      <c r="O204" s="12" t="s">
        <v>34</v>
      </c>
    </row>
    <row r="205" spans="1:15" ht="21" customHeight="1" x14ac:dyDescent="0.3">
      <c r="A205" s="17"/>
      <c r="B205" s="2" t="s">
        <v>70</v>
      </c>
      <c r="C205" s="3">
        <v>24</v>
      </c>
      <c r="D205" s="4" t="s">
        <v>37</v>
      </c>
      <c r="E205" s="2" t="s">
        <v>38</v>
      </c>
      <c r="F205" s="2" t="s">
        <v>23</v>
      </c>
      <c r="G205" s="5">
        <v>0</v>
      </c>
      <c r="H205" s="20">
        <v>0</v>
      </c>
      <c r="I205" s="2">
        <v>1</v>
      </c>
      <c r="J205" s="6">
        <v>1.3888888888888889E-3</v>
      </c>
      <c r="K205" s="2"/>
      <c r="L205" s="2"/>
      <c r="M205" s="2" t="s">
        <v>33</v>
      </c>
      <c r="N205" s="2" t="s">
        <v>66</v>
      </c>
      <c r="O205" s="2" t="s">
        <v>67</v>
      </c>
    </row>
    <row r="206" spans="1:15" ht="21" customHeight="1" x14ac:dyDescent="0.3">
      <c r="A206" s="17"/>
      <c r="B206" s="12" t="s">
        <v>70</v>
      </c>
      <c r="C206" s="13">
        <v>5</v>
      </c>
      <c r="D206" s="14" t="s">
        <v>37</v>
      </c>
      <c r="E206" s="12" t="s">
        <v>32</v>
      </c>
      <c r="F206" s="12" t="s">
        <v>17</v>
      </c>
      <c r="G206" s="15">
        <v>0</v>
      </c>
      <c r="H206" s="21">
        <v>0</v>
      </c>
      <c r="I206" s="12">
        <v>5</v>
      </c>
      <c r="J206" s="16">
        <v>1.3888888888888889E-3</v>
      </c>
      <c r="K206" s="12"/>
      <c r="L206" s="12"/>
      <c r="M206" s="12" t="s">
        <v>48</v>
      </c>
      <c r="N206" s="12" t="s">
        <v>78</v>
      </c>
      <c r="O206" s="12" t="s">
        <v>66</v>
      </c>
    </row>
    <row r="207" spans="1:15" ht="21" customHeight="1" x14ac:dyDescent="0.3">
      <c r="A207" s="17"/>
      <c r="B207" s="2" t="s">
        <v>70</v>
      </c>
      <c r="C207" s="3">
        <v>15</v>
      </c>
      <c r="D207" s="4" t="s">
        <v>44</v>
      </c>
      <c r="E207" s="2" t="s">
        <v>16</v>
      </c>
      <c r="F207" s="2" t="s">
        <v>23</v>
      </c>
      <c r="G207" s="5">
        <v>0</v>
      </c>
      <c r="H207" s="20">
        <v>0</v>
      </c>
      <c r="I207" s="2">
        <v>1</v>
      </c>
      <c r="J207" s="6">
        <v>1.3888888888888889E-3</v>
      </c>
      <c r="K207" s="2"/>
      <c r="L207" s="2"/>
      <c r="M207" s="2" t="s">
        <v>30</v>
      </c>
      <c r="N207" s="2" t="s">
        <v>76</v>
      </c>
      <c r="O207" s="2" t="s">
        <v>31</v>
      </c>
    </row>
    <row r="208" spans="1:15" ht="21" customHeight="1" x14ac:dyDescent="0.3">
      <c r="A208" s="17"/>
      <c r="B208" s="12" t="s">
        <v>70</v>
      </c>
      <c r="C208" s="13">
        <v>29</v>
      </c>
      <c r="D208" s="14" t="s">
        <v>44</v>
      </c>
      <c r="E208" s="12" t="s">
        <v>32</v>
      </c>
      <c r="F208" s="12" t="s">
        <v>17</v>
      </c>
      <c r="G208" s="15">
        <v>0</v>
      </c>
      <c r="H208" s="21">
        <v>0</v>
      </c>
      <c r="I208" s="12">
        <v>4</v>
      </c>
      <c r="J208" s="16">
        <v>1.3888888888888889E-3</v>
      </c>
      <c r="K208" s="12"/>
      <c r="L208" s="12"/>
      <c r="M208" s="12" t="s">
        <v>40</v>
      </c>
      <c r="N208" s="12" t="s">
        <v>78</v>
      </c>
      <c r="O208" s="12" t="s">
        <v>63</v>
      </c>
    </row>
    <row r="209" spans="1:15" ht="21" customHeight="1" x14ac:dyDescent="0.3">
      <c r="A209" s="17"/>
      <c r="B209" s="2" t="s">
        <v>70</v>
      </c>
      <c r="C209" s="3">
        <v>11</v>
      </c>
      <c r="D209" s="4" t="s">
        <v>44</v>
      </c>
      <c r="E209" s="2" t="s">
        <v>32</v>
      </c>
      <c r="F209" s="2" t="s">
        <v>23</v>
      </c>
      <c r="G209" s="5">
        <v>0</v>
      </c>
      <c r="H209" s="20">
        <v>0</v>
      </c>
      <c r="I209" s="2">
        <v>3</v>
      </c>
      <c r="J209" s="6">
        <v>1.3888888888888889E-3</v>
      </c>
      <c r="K209" s="2"/>
      <c r="L209" s="2"/>
      <c r="M209" s="2" t="s">
        <v>33</v>
      </c>
      <c r="N209" s="2" t="s">
        <v>78</v>
      </c>
      <c r="O209" s="2" t="s">
        <v>53</v>
      </c>
    </row>
    <row r="210" spans="1:15" ht="21" customHeight="1" x14ac:dyDescent="0.3">
      <c r="A210" s="17"/>
      <c r="B210" s="12" t="s">
        <v>70</v>
      </c>
      <c r="C210" s="13">
        <v>26</v>
      </c>
      <c r="D210" s="14" t="s">
        <v>44</v>
      </c>
      <c r="E210" s="12" t="s">
        <v>28</v>
      </c>
      <c r="F210" s="12" t="s">
        <v>23</v>
      </c>
      <c r="G210" s="15">
        <v>0</v>
      </c>
      <c r="H210" s="21">
        <v>0</v>
      </c>
      <c r="I210" s="12">
        <v>6</v>
      </c>
      <c r="J210" s="16">
        <v>1.3888888888888889E-3</v>
      </c>
      <c r="K210" s="12"/>
      <c r="L210" s="12"/>
      <c r="M210" s="12" t="s">
        <v>51</v>
      </c>
      <c r="N210" s="12" t="s">
        <v>76</v>
      </c>
      <c r="O210" s="12" t="s">
        <v>31</v>
      </c>
    </row>
    <row r="211" spans="1:15" ht="21" customHeight="1" x14ac:dyDescent="0.3">
      <c r="A211" s="17"/>
      <c r="B211" s="2" t="s">
        <v>70</v>
      </c>
      <c r="C211" s="3">
        <v>31</v>
      </c>
      <c r="D211" s="4" t="s">
        <v>69</v>
      </c>
      <c r="E211" s="2" t="s">
        <v>38</v>
      </c>
      <c r="F211" s="2" t="s">
        <v>17</v>
      </c>
      <c r="G211" s="5">
        <v>0</v>
      </c>
      <c r="H211" s="20">
        <v>0</v>
      </c>
      <c r="I211" s="2">
        <v>1</v>
      </c>
      <c r="J211" s="6">
        <v>1.3888888888888889E-3</v>
      </c>
      <c r="K211" s="2"/>
      <c r="L211" s="2"/>
      <c r="M211" s="2" t="s">
        <v>30</v>
      </c>
      <c r="N211" s="2" t="s">
        <v>78</v>
      </c>
      <c r="O211" s="2" t="s">
        <v>63</v>
      </c>
    </row>
    <row r="212" spans="1:15" ht="21" customHeight="1" x14ac:dyDescent="0.3">
      <c r="A212" s="17"/>
      <c r="B212" s="12" t="s">
        <v>70</v>
      </c>
      <c r="C212" s="13">
        <v>30</v>
      </c>
      <c r="D212" s="14" t="s">
        <v>69</v>
      </c>
      <c r="E212" s="12" t="s">
        <v>49</v>
      </c>
      <c r="F212" s="12" t="s">
        <v>42</v>
      </c>
      <c r="G212" s="15">
        <v>0</v>
      </c>
      <c r="H212" s="21">
        <v>0</v>
      </c>
      <c r="I212" s="12">
        <v>4</v>
      </c>
      <c r="J212" s="16">
        <v>1.3888888888888889E-3</v>
      </c>
      <c r="K212" s="12"/>
      <c r="L212" s="12"/>
      <c r="M212" s="12" t="s">
        <v>40</v>
      </c>
      <c r="N212" s="12" t="s">
        <v>66</v>
      </c>
      <c r="O212" s="12" t="s">
        <v>36</v>
      </c>
    </row>
    <row r="213" spans="1:15" ht="21" customHeight="1" x14ac:dyDescent="0.3">
      <c r="A213" s="17"/>
      <c r="B213" s="2" t="s">
        <v>70</v>
      </c>
      <c r="C213" s="3">
        <v>14</v>
      </c>
      <c r="D213" s="4" t="s">
        <v>69</v>
      </c>
      <c r="E213" s="2" t="s">
        <v>32</v>
      </c>
      <c r="F213" s="2" t="s">
        <v>42</v>
      </c>
      <c r="G213" s="5">
        <v>0</v>
      </c>
      <c r="H213" s="20">
        <v>0</v>
      </c>
      <c r="I213" s="2">
        <v>1</v>
      </c>
      <c r="J213" s="6">
        <v>1.3888888888888889E-3</v>
      </c>
      <c r="K213" s="2"/>
      <c r="L213" s="2"/>
      <c r="M213" s="2" t="s">
        <v>25</v>
      </c>
      <c r="N213" s="2" t="s">
        <v>78</v>
      </c>
      <c r="O213" s="2" t="s">
        <v>41</v>
      </c>
    </row>
    <row r="214" spans="1:15" ht="21" customHeight="1" x14ac:dyDescent="0.3">
      <c r="A214" s="17"/>
      <c r="B214" s="12" t="s">
        <v>70</v>
      </c>
      <c r="C214" s="13">
        <v>30</v>
      </c>
      <c r="D214" s="14" t="s">
        <v>69</v>
      </c>
      <c r="E214" s="12" t="s">
        <v>32</v>
      </c>
      <c r="F214" s="12" t="s">
        <v>17</v>
      </c>
      <c r="G214" s="15">
        <v>0</v>
      </c>
      <c r="H214" s="21">
        <v>0</v>
      </c>
      <c r="I214" s="12">
        <v>4</v>
      </c>
      <c r="J214" s="16">
        <v>1.3888888888888889E-3</v>
      </c>
      <c r="K214" s="12"/>
      <c r="L214" s="12"/>
      <c r="M214" s="12" t="s">
        <v>48</v>
      </c>
      <c r="N214" s="12" t="s">
        <v>76</v>
      </c>
      <c r="O214" s="12" t="s">
        <v>52</v>
      </c>
    </row>
    <row r="215" spans="1:15" ht="21" customHeight="1" x14ac:dyDescent="0.3">
      <c r="A215" s="17"/>
      <c r="B215" s="2" t="s">
        <v>70</v>
      </c>
      <c r="C215" s="3">
        <v>8</v>
      </c>
      <c r="D215" s="4" t="s">
        <v>72</v>
      </c>
      <c r="E215" s="2" t="s">
        <v>28</v>
      </c>
      <c r="F215" s="2" t="s">
        <v>17</v>
      </c>
      <c r="G215" s="5">
        <v>0</v>
      </c>
      <c r="H215" s="20">
        <v>0</v>
      </c>
      <c r="I215" s="2">
        <v>3</v>
      </c>
      <c r="J215" s="6">
        <v>1.3888888888888889E-3</v>
      </c>
      <c r="K215" s="2"/>
      <c r="L215" s="2"/>
      <c r="M215" s="2" t="s">
        <v>30</v>
      </c>
      <c r="N215" s="2" t="s">
        <v>76</v>
      </c>
      <c r="O215" s="2" t="s">
        <v>52</v>
      </c>
    </row>
    <row r="216" spans="1:15" ht="21" customHeight="1" x14ac:dyDescent="0.3">
      <c r="A216" s="17"/>
      <c r="B216" s="12" t="s">
        <v>70</v>
      </c>
      <c r="C216" s="13">
        <v>5</v>
      </c>
      <c r="D216" s="14" t="s">
        <v>72</v>
      </c>
      <c r="E216" s="12" t="s">
        <v>38</v>
      </c>
      <c r="F216" s="12" t="s">
        <v>42</v>
      </c>
      <c r="G216" s="15">
        <v>0</v>
      </c>
      <c r="H216" s="21">
        <v>0</v>
      </c>
      <c r="I216" s="12">
        <v>1</v>
      </c>
      <c r="J216" s="16">
        <v>1.3888888888888889E-3</v>
      </c>
      <c r="K216" s="12"/>
      <c r="L216" s="12"/>
      <c r="M216" s="12" t="s">
        <v>33</v>
      </c>
      <c r="N216" s="12" t="s">
        <v>78</v>
      </c>
      <c r="O216" s="12" t="s">
        <v>41</v>
      </c>
    </row>
    <row r="217" spans="1:15" ht="21" customHeight="1" x14ac:dyDescent="0.3">
      <c r="A217" s="17"/>
      <c r="B217" s="2" t="s">
        <v>14</v>
      </c>
      <c r="C217" s="3">
        <v>11</v>
      </c>
      <c r="D217" s="4" t="s">
        <v>57</v>
      </c>
      <c r="E217" s="2" t="s">
        <v>73</v>
      </c>
      <c r="F217" s="2" t="s">
        <v>17</v>
      </c>
      <c r="G217" s="5">
        <v>2</v>
      </c>
      <c r="H217" s="20">
        <v>38000000</v>
      </c>
      <c r="I217" s="2">
        <v>3</v>
      </c>
      <c r="J217" s="6">
        <v>1.3888888888888889E-3</v>
      </c>
      <c r="K217" s="2" t="s">
        <v>46</v>
      </c>
      <c r="L217" s="2" t="s">
        <v>39</v>
      </c>
      <c r="M217" s="2" t="s">
        <v>33</v>
      </c>
      <c r="N217" s="2" t="s">
        <v>78</v>
      </c>
      <c r="O217" s="2" t="s">
        <v>53</v>
      </c>
    </row>
    <row r="218" spans="1:15" ht="21" customHeight="1" x14ac:dyDescent="0.3">
      <c r="A218" s="17"/>
      <c r="B218" s="12" t="s">
        <v>14</v>
      </c>
      <c r="C218" s="13">
        <v>13</v>
      </c>
      <c r="D218" s="14" t="s">
        <v>27</v>
      </c>
      <c r="E218" s="12" t="s">
        <v>32</v>
      </c>
      <c r="F218" s="12" t="s">
        <v>68</v>
      </c>
      <c r="G218" s="15">
        <v>1</v>
      </c>
      <c r="H218" s="21">
        <v>19000000</v>
      </c>
      <c r="I218" s="12">
        <v>6</v>
      </c>
      <c r="J218" s="16">
        <v>1.3888888888888889E-3</v>
      </c>
      <c r="K218" s="12" t="s">
        <v>46</v>
      </c>
      <c r="L218" s="12" t="s">
        <v>35</v>
      </c>
      <c r="M218" s="12" t="s">
        <v>20</v>
      </c>
      <c r="N218" s="12" t="s">
        <v>78</v>
      </c>
      <c r="O218" s="12" t="s">
        <v>62</v>
      </c>
    </row>
    <row r="219" spans="1:15" ht="21" customHeight="1" x14ac:dyDescent="0.3">
      <c r="A219" s="17"/>
      <c r="B219" s="2" t="s">
        <v>14</v>
      </c>
      <c r="C219" s="3">
        <v>25</v>
      </c>
      <c r="D219" s="4" t="s">
        <v>27</v>
      </c>
      <c r="E219" s="2" t="s">
        <v>32</v>
      </c>
      <c r="F219" s="2" t="s">
        <v>42</v>
      </c>
      <c r="G219" s="5">
        <v>3</v>
      </c>
      <c r="H219" s="20">
        <v>15000000</v>
      </c>
      <c r="I219" s="2">
        <v>4</v>
      </c>
      <c r="J219" s="6">
        <v>1.3888888888888889E-3</v>
      </c>
      <c r="K219" s="2" t="s">
        <v>18</v>
      </c>
      <c r="L219" s="2" t="s">
        <v>19</v>
      </c>
      <c r="M219" s="2" t="s">
        <v>30</v>
      </c>
      <c r="N219" s="2" t="s">
        <v>66</v>
      </c>
      <c r="O219" s="2" t="s">
        <v>67</v>
      </c>
    </row>
    <row r="220" spans="1:15" ht="21" customHeight="1" x14ac:dyDescent="0.3">
      <c r="A220" s="17"/>
      <c r="B220" s="12" t="s">
        <v>14</v>
      </c>
      <c r="C220" s="13">
        <v>30</v>
      </c>
      <c r="D220" s="14" t="s">
        <v>27</v>
      </c>
      <c r="E220" s="12" t="s">
        <v>73</v>
      </c>
      <c r="F220" s="12" t="s">
        <v>23</v>
      </c>
      <c r="G220" s="15">
        <v>2</v>
      </c>
      <c r="H220" s="21">
        <v>12000000</v>
      </c>
      <c r="I220" s="12">
        <v>4</v>
      </c>
      <c r="J220" s="16">
        <v>1.3888888888888889E-3</v>
      </c>
      <c r="K220" s="12" t="s">
        <v>18</v>
      </c>
      <c r="L220" s="12" t="s">
        <v>19</v>
      </c>
      <c r="M220" s="12" t="s">
        <v>30</v>
      </c>
      <c r="N220" s="12" t="s">
        <v>76</v>
      </c>
      <c r="O220" s="12" t="s">
        <v>26</v>
      </c>
    </row>
    <row r="221" spans="1:15" ht="21" customHeight="1" x14ac:dyDescent="0.3">
      <c r="A221" s="17"/>
      <c r="B221" s="2" t="s">
        <v>14</v>
      </c>
      <c r="C221" s="3">
        <v>26</v>
      </c>
      <c r="D221" s="4" t="s">
        <v>37</v>
      </c>
      <c r="E221" s="2" t="s">
        <v>16</v>
      </c>
      <c r="F221" s="2" t="s">
        <v>45</v>
      </c>
      <c r="G221" s="5">
        <v>4</v>
      </c>
      <c r="H221" s="20">
        <v>11000000</v>
      </c>
      <c r="I221" s="2">
        <v>1</v>
      </c>
      <c r="J221" s="6">
        <v>1.3888888888888889E-3</v>
      </c>
      <c r="K221" s="2" t="s">
        <v>61</v>
      </c>
      <c r="L221" s="2" t="s">
        <v>24</v>
      </c>
      <c r="M221" s="2" t="s">
        <v>25</v>
      </c>
      <c r="N221" s="2" t="s">
        <v>66</v>
      </c>
      <c r="O221" s="2" t="s">
        <v>67</v>
      </c>
    </row>
    <row r="222" spans="1:15" ht="21" customHeight="1" x14ac:dyDescent="0.3">
      <c r="A222" s="17"/>
      <c r="B222" s="12" t="s">
        <v>14</v>
      </c>
      <c r="C222" s="13">
        <v>28</v>
      </c>
      <c r="D222" s="14" t="s">
        <v>37</v>
      </c>
      <c r="E222" s="12" t="s">
        <v>28</v>
      </c>
      <c r="F222" s="12" t="s">
        <v>23</v>
      </c>
      <c r="G222" s="15">
        <v>2</v>
      </c>
      <c r="H222" s="21">
        <v>12000000</v>
      </c>
      <c r="I222" s="12">
        <v>1</v>
      </c>
      <c r="J222" s="16">
        <v>1.3888888888888889E-3</v>
      </c>
      <c r="K222" s="12" t="s">
        <v>18</v>
      </c>
      <c r="L222" s="12" t="s">
        <v>64</v>
      </c>
      <c r="M222" s="12" t="s">
        <v>30</v>
      </c>
      <c r="N222" s="12" t="s">
        <v>66</v>
      </c>
      <c r="O222" s="12" t="s">
        <v>36</v>
      </c>
    </row>
    <row r="223" spans="1:15" ht="21" customHeight="1" x14ac:dyDescent="0.3">
      <c r="A223" s="17"/>
      <c r="B223" s="2" t="s">
        <v>14</v>
      </c>
      <c r="C223" s="3">
        <v>28</v>
      </c>
      <c r="D223" s="4" t="s">
        <v>37</v>
      </c>
      <c r="E223" s="2" t="s">
        <v>49</v>
      </c>
      <c r="F223" s="2" t="s">
        <v>23</v>
      </c>
      <c r="G223" s="5">
        <v>1</v>
      </c>
      <c r="H223" s="20">
        <v>7000000</v>
      </c>
      <c r="I223" s="2">
        <v>3</v>
      </c>
      <c r="J223" s="6">
        <v>1.3888888888888889E-3</v>
      </c>
      <c r="K223" s="2" t="s">
        <v>18</v>
      </c>
      <c r="L223" s="2" t="s">
        <v>39</v>
      </c>
      <c r="M223" s="2" t="s">
        <v>51</v>
      </c>
      <c r="N223" s="2" t="s">
        <v>78</v>
      </c>
      <c r="O223" s="2" t="s">
        <v>53</v>
      </c>
    </row>
    <row r="224" spans="1:15" ht="21" customHeight="1" x14ac:dyDescent="0.3">
      <c r="A224" s="17"/>
      <c r="B224" s="12" t="s">
        <v>14</v>
      </c>
      <c r="C224" s="13">
        <v>24</v>
      </c>
      <c r="D224" s="14" t="s">
        <v>44</v>
      </c>
      <c r="E224" s="12" t="s">
        <v>28</v>
      </c>
      <c r="F224" s="12" t="s">
        <v>45</v>
      </c>
      <c r="G224" s="15">
        <v>4</v>
      </c>
      <c r="H224" s="21">
        <v>20000000</v>
      </c>
      <c r="I224" s="12">
        <v>7</v>
      </c>
      <c r="J224" s="16">
        <v>1.3888888888888889E-3</v>
      </c>
      <c r="K224" s="12" t="s">
        <v>18</v>
      </c>
      <c r="L224" s="12" t="s">
        <v>29</v>
      </c>
      <c r="M224" s="12" t="s">
        <v>30</v>
      </c>
      <c r="N224" s="12" t="s">
        <v>76</v>
      </c>
      <c r="O224" s="12" t="s">
        <v>75</v>
      </c>
    </row>
    <row r="225" spans="1:15" ht="21" customHeight="1" x14ac:dyDescent="0.3">
      <c r="A225" s="17"/>
      <c r="B225" s="2" t="s">
        <v>14</v>
      </c>
      <c r="C225" s="3">
        <v>26</v>
      </c>
      <c r="D225" s="4" t="s">
        <v>44</v>
      </c>
      <c r="E225" s="2" t="s">
        <v>16</v>
      </c>
      <c r="F225" s="2" t="s">
        <v>42</v>
      </c>
      <c r="G225" s="5">
        <v>5</v>
      </c>
      <c r="H225" s="20">
        <v>25000000</v>
      </c>
      <c r="I225" s="2">
        <v>3</v>
      </c>
      <c r="J225" s="6">
        <v>1.3888888888888889E-3</v>
      </c>
      <c r="K225" s="2" t="s">
        <v>18</v>
      </c>
      <c r="L225" s="2" t="s">
        <v>56</v>
      </c>
      <c r="M225" s="2" t="s">
        <v>40</v>
      </c>
      <c r="N225" s="2" t="s">
        <v>78</v>
      </c>
      <c r="O225" s="2" t="s">
        <v>66</v>
      </c>
    </row>
    <row r="226" spans="1:15" ht="21" customHeight="1" x14ac:dyDescent="0.3">
      <c r="A226" s="17"/>
      <c r="B226" s="12" t="s">
        <v>14</v>
      </c>
      <c r="C226" s="13">
        <v>1</v>
      </c>
      <c r="D226" s="14" t="s">
        <v>44</v>
      </c>
      <c r="E226" s="12" t="s">
        <v>16</v>
      </c>
      <c r="F226" s="12" t="s">
        <v>42</v>
      </c>
      <c r="G226" s="15">
        <v>3</v>
      </c>
      <c r="H226" s="21">
        <v>15000000</v>
      </c>
      <c r="I226" s="12">
        <v>2</v>
      </c>
      <c r="J226" s="16">
        <v>1.3888888888888889E-3</v>
      </c>
      <c r="K226" s="12" t="s">
        <v>18</v>
      </c>
      <c r="L226" s="12" t="s">
        <v>35</v>
      </c>
      <c r="M226" s="12" t="s">
        <v>43</v>
      </c>
      <c r="N226" s="12" t="s">
        <v>76</v>
      </c>
      <c r="O226" s="12" t="s">
        <v>26</v>
      </c>
    </row>
    <row r="227" spans="1:15" ht="21" customHeight="1" x14ac:dyDescent="0.3">
      <c r="A227" s="17"/>
      <c r="B227" s="2" t="s">
        <v>14</v>
      </c>
      <c r="C227" s="3">
        <v>30</v>
      </c>
      <c r="D227" s="4" t="s">
        <v>44</v>
      </c>
      <c r="E227" s="2" t="s">
        <v>38</v>
      </c>
      <c r="F227" s="2" t="s">
        <v>23</v>
      </c>
      <c r="G227" s="5">
        <v>5</v>
      </c>
      <c r="H227" s="20">
        <v>21000000</v>
      </c>
      <c r="I227" s="2">
        <v>3</v>
      </c>
      <c r="J227" s="6">
        <v>1.3888888888888889E-3</v>
      </c>
      <c r="K227" s="2" t="s">
        <v>18</v>
      </c>
      <c r="L227" s="2" t="s">
        <v>56</v>
      </c>
      <c r="M227" s="2" t="s">
        <v>48</v>
      </c>
      <c r="N227" s="2" t="s">
        <v>76</v>
      </c>
      <c r="O227" s="2" t="s">
        <v>52</v>
      </c>
    </row>
    <row r="228" spans="1:15" ht="21" customHeight="1" x14ac:dyDescent="0.3">
      <c r="A228" s="17"/>
      <c r="B228" s="12" t="s">
        <v>14</v>
      </c>
      <c r="C228" s="13">
        <v>11</v>
      </c>
      <c r="D228" s="14" t="s">
        <v>57</v>
      </c>
      <c r="E228" s="12" t="s">
        <v>73</v>
      </c>
      <c r="F228" s="12" t="s">
        <v>17</v>
      </c>
      <c r="G228" s="15">
        <v>2</v>
      </c>
      <c r="H228" s="21">
        <v>38000000</v>
      </c>
      <c r="I228" s="12">
        <v>3</v>
      </c>
      <c r="J228" s="16">
        <v>1.3888888888888889E-3</v>
      </c>
      <c r="K228" s="12" t="s">
        <v>46</v>
      </c>
      <c r="L228" s="12" t="s">
        <v>39</v>
      </c>
      <c r="M228" s="12" t="s">
        <v>33</v>
      </c>
      <c r="N228" s="12" t="s">
        <v>78</v>
      </c>
      <c r="O228" s="12" t="s">
        <v>53</v>
      </c>
    </row>
    <row r="229" spans="1:15" ht="21" customHeight="1" x14ac:dyDescent="0.3">
      <c r="A229" s="17"/>
      <c r="B229" s="2" t="s">
        <v>70</v>
      </c>
      <c r="C229" s="3">
        <v>11</v>
      </c>
      <c r="D229" s="4" t="s">
        <v>44</v>
      </c>
      <c r="E229" s="2" t="s">
        <v>49</v>
      </c>
      <c r="F229" s="2" t="s">
        <v>42</v>
      </c>
      <c r="G229" s="5">
        <v>0</v>
      </c>
      <c r="H229" s="20">
        <v>0</v>
      </c>
      <c r="I229" s="2">
        <v>2</v>
      </c>
      <c r="J229" s="6">
        <v>1.3888888888888889E-3</v>
      </c>
      <c r="K229" s="2"/>
      <c r="L229" s="2"/>
      <c r="M229" s="2" t="s">
        <v>25</v>
      </c>
      <c r="N229" s="2" t="s">
        <v>77</v>
      </c>
      <c r="O229" s="2" t="s">
        <v>34</v>
      </c>
    </row>
    <row r="230" spans="1:15" ht="21" customHeight="1" x14ac:dyDescent="0.3">
      <c r="A230" s="17"/>
      <c r="B230" s="12" t="s">
        <v>70</v>
      </c>
      <c r="C230" s="13">
        <v>29</v>
      </c>
      <c r="D230" s="14" t="s">
        <v>44</v>
      </c>
      <c r="E230" s="12" t="s">
        <v>16</v>
      </c>
      <c r="F230" s="12" t="s">
        <v>42</v>
      </c>
      <c r="G230" s="15">
        <v>0</v>
      </c>
      <c r="H230" s="21">
        <v>0</v>
      </c>
      <c r="I230" s="12">
        <v>3</v>
      </c>
      <c r="J230" s="16">
        <v>1.3888888888888889E-3</v>
      </c>
      <c r="K230" s="12"/>
      <c r="L230" s="12"/>
      <c r="M230" s="12" t="s">
        <v>48</v>
      </c>
      <c r="N230" s="12" t="s">
        <v>76</v>
      </c>
      <c r="O230" s="12" t="s">
        <v>52</v>
      </c>
    </row>
    <row r="231" spans="1:15" ht="21" customHeight="1" x14ac:dyDescent="0.3">
      <c r="A231" s="17"/>
      <c r="B231" s="2" t="s">
        <v>14</v>
      </c>
      <c r="C231" s="3">
        <v>12</v>
      </c>
      <c r="D231" s="4" t="s">
        <v>57</v>
      </c>
      <c r="E231" s="2" t="s">
        <v>32</v>
      </c>
      <c r="F231" s="2" t="s">
        <v>17</v>
      </c>
      <c r="G231" s="5">
        <v>1</v>
      </c>
      <c r="H231" s="20">
        <v>19000000</v>
      </c>
      <c r="I231" s="2">
        <v>5</v>
      </c>
      <c r="J231" s="6">
        <v>1.3888888888888889E-3</v>
      </c>
      <c r="K231" s="2" t="s">
        <v>46</v>
      </c>
      <c r="L231" s="2" t="s">
        <v>35</v>
      </c>
      <c r="M231" s="2" t="s">
        <v>48</v>
      </c>
      <c r="N231" s="2" t="s">
        <v>66</v>
      </c>
      <c r="O231" s="2" t="s">
        <v>67</v>
      </c>
    </row>
    <row r="232" spans="1:15" ht="21" customHeight="1" x14ac:dyDescent="0.3">
      <c r="A232" s="17"/>
      <c r="B232" s="12" t="s">
        <v>14</v>
      </c>
      <c r="C232" s="13">
        <v>11</v>
      </c>
      <c r="D232" s="14" t="s">
        <v>58</v>
      </c>
      <c r="E232" s="12" t="s">
        <v>16</v>
      </c>
      <c r="F232" s="12" t="s">
        <v>42</v>
      </c>
      <c r="G232" s="15">
        <v>4</v>
      </c>
      <c r="H232" s="21">
        <v>20000000</v>
      </c>
      <c r="I232" s="12">
        <v>1</v>
      </c>
      <c r="J232" s="16">
        <v>1.3888888888888889E-3</v>
      </c>
      <c r="K232" s="12" t="s">
        <v>18</v>
      </c>
      <c r="L232" s="12" t="s">
        <v>29</v>
      </c>
      <c r="M232" s="12" t="s">
        <v>30</v>
      </c>
      <c r="N232" s="12" t="s">
        <v>76</v>
      </c>
      <c r="O232" s="12" t="s">
        <v>31</v>
      </c>
    </row>
    <row r="233" spans="1:15" ht="21" customHeight="1" x14ac:dyDescent="0.3">
      <c r="A233" s="17"/>
      <c r="B233" s="2" t="s">
        <v>14</v>
      </c>
      <c r="C233" s="3">
        <v>19</v>
      </c>
      <c r="D233" s="4" t="s">
        <v>37</v>
      </c>
      <c r="E233" s="2" t="s">
        <v>49</v>
      </c>
      <c r="F233" s="2" t="s">
        <v>23</v>
      </c>
      <c r="G233" s="5">
        <v>4</v>
      </c>
      <c r="H233" s="20">
        <v>11000000</v>
      </c>
      <c r="I233" s="2">
        <v>1</v>
      </c>
      <c r="J233" s="6">
        <v>1.3888888888888889E-3</v>
      </c>
      <c r="K233" s="2" t="s">
        <v>61</v>
      </c>
      <c r="L233" s="2" t="s">
        <v>56</v>
      </c>
      <c r="M233" s="2" t="s">
        <v>33</v>
      </c>
      <c r="N233" s="2" t="s">
        <v>78</v>
      </c>
      <c r="O233" s="2" t="s">
        <v>21</v>
      </c>
    </row>
    <row r="234" spans="1:15" ht="21" customHeight="1" x14ac:dyDescent="0.3">
      <c r="A234" s="17"/>
      <c r="B234" s="12" t="s">
        <v>14</v>
      </c>
      <c r="C234" s="13">
        <v>5</v>
      </c>
      <c r="D234" s="14" t="s">
        <v>37</v>
      </c>
      <c r="E234" s="12" t="s">
        <v>49</v>
      </c>
      <c r="F234" s="12" t="s">
        <v>23</v>
      </c>
      <c r="G234" s="15">
        <v>5</v>
      </c>
      <c r="H234" s="21">
        <v>25000000</v>
      </c>
      <c r="I234" s="12">
        <v>2</v>
      </c>
      <c r="J234" s="16">
        <v>1.3888888888888889E-3</v>
      </c>
      <c r="K234" s="12" t="s">
        <v>18</v>
      </c>
      <c r="L234" s="12" t="s">
        <v>56</v>
      </c>
      <c r="M234" s="12" t="s">
        <v>30</v>
      </c>
      <c r="N234" s="12" t="s">
        <v>77</v>
      </c>
      <c r="O234" s="12" t="s">
        <v>54</v>
      </c>
    </row>
    <row r="235" spans="1:15" ht="21" customHeight="1" x14ac:dyDescent="0.3">
      <c r="A235" s="17"/>
      <c r="B235" s="2" t="s">
        <v>14</v>
      </c>
      <c r="C235" s="3">
        <v>22</v>
      </c>
      <c r="D235" s="4" t="s">
        <v>37</v>
      </c>
      <c r="E235" s="2" t="s">
        <v>73</v>
      </c>
      <c r="F235" s="2" t="s">
        <v>23</v>
      </c>
      <c r="G235" s="5">
        <v>2</v>
      </c>
      <c r="H235" s="20">
        <v>12000000</v>
      </c>
      <c r="I235" s="2">
        <v>2</v>
      </c>
      <c r="J235" s="6">
        <v>1.3888888888888889E-3</v>
      </c>
      <c r="K235" s="2" t="s">
        <v>18</v>
      </c>
      <c r="L235" s="2" t="s">
        <v>56</v>
      </c>
      <c r="M235" s="2" t="s">
        <v>40</v>
      </c>
      <c r="N235" s="2" t="s">
        <v>78</v>
      </c>
      <c r="O235" s="2" t="s">
        <v>41</v>
      </c>
    </row>
    <row r="236" spans="1:15" ht="21" customHeight="1" x14ac:dyDescent="0.3">
      <c r="A236" s="17"/>
      <c r="B236" s="12" t="s">
        <v>14</v>
      </c>
      <c r="C236" s="13">
        <v>8</v>
      </c>
      <c r="D236" s="14" t="s">
        <v>37</v>
      </c>
      <c r="E236" s="12" t="s">
        <v>49</v>
      </c>
      <c r="F236" s="12" t="s">
        <v>42</v>
      </c>
      <c r="G236" s="15">
        <v>2</v>
      </c>
      <c r="H236" s="21">
        <v>12000000</v>
      </c>
      <c r="I236" s="12">
        <v>3</v>
      </c>
      <c r="J236" s="16">
        <v>1.3888888888888889E-3</v>
      </c>
      <c r="K236" s="12" t="s">
        <v>18</v>
      </c>
      <c r="L236" s="12" t="s">
        <v>19</v>
      </c>
      <c r="M236" s="12" t="s">
        <v>43</v>
      </c>
      <c r="N236" s="12" t="s">
        <v>76</v>
      </c>
      <c r="O236" s="12" t="s">
        <v>31</v>
      </c>
    </row>
    <row r="237" spans="1:15" ht="21" customHeight="1" x14ac:dyDescent="0.3">
      <c r="A237" s="17"/>
      <c r="B237" s="2" t="s">
        <v>14</v>
      </c>
      <c r="C237" s="3">
        <v>22</v>
      </c>
      <c r="D237" s="4" t="s">
        <v>44</v>
      </c>
      <c r="E237" s="2" t="s">
        <v>38</v>
      </c>
      <c r="F237" s="2" t="s">
        <v>42</v>
      </c>
      <c r="G237" s="5">
        <v>3</v>
      </c>
      <c r="H237" s="20">
        <v>15000000</v>
      </c>
      <c r="I237" s="2">
        <v>1</v>
      </c>
      <c r="J237" s="6">
        <v>1.3888888888888889E-3</v>
      </c>
      <c r="K237" s="2" t="s">
        <v>18</v>
      </c>
      <c r="L237" s="2" t="s">
        <v>50</v>
      </c>
      <c r="M237" s="2" t="s">
        <v>40</v>
      </c>
      <c r="N237" s="2" t="s">
        <v>78</v>
      </c>
      <c r="O237" s="2" t="s">
        <v>62</v>
      </c>
    </row>
    <row r="238" spans="1:15" ht="21" customHeight="1" x14ac:dyDescent="0.3">
      <c r="A238" s="17"/>
      <c r="B238" s="12" t="s">
        <v>14</v>
      </c>
      <c r="C238" s="13">
        <v>11</v>
      </c>
      <c r="D238" s="14" t="s">
        <v>44</v>
      </c>
      <c r="E238" s="12" t="s">
        <v>28</v>
      </c>
      <c r="F238" s="12" t="s">
        <v>45</v>
      </c>
      <c r="G238" s="15">
        <v>5</v>
      </c>
      <c r="H238" s="21">
        <v>21000000</v>
      </c>
      <c r="I238" s="12">
        <v>4</v>
      </c>
      <c r="J238" s="16">
        <v>1.3888888888888889E-3</v>
      </c>
      <c r="K238" s="12" t="s">
        <v>18</v>
      </c>
      <c r="L238" s="12" t="s">
        <v>19</v>
      </c>
      <c r="M238" s="12" t="s">
        <v>20</v>
      </c>
      <c r="N238" s="12" t="s">
        <v>76</v>
      </c>
      <c r="O238" s="12" t="s">
        <v>26</v>
      </c>
    </row>
    <row r="239" spans="1:15" ht="21" customHeight="1" x14ac:dyDescent="0.3">
      <c r="A239" s="17"/>
      <c r="B239" s="2" t="s">
        <v>14</v>
      </c>
      <c r="C239" s="3">
        <v>17</v>
      </c>
      <c r="D239" s="4" t="s">
        <v>44</v>
      </c>
      <c r="E239" s="2" t="s">
        <v>16</v>
      </c>
      <c r="F239" s="2" t="s">
        <v>42</v>
      </c>
      <c r="G239" s="5">
        <v>3</v>
      </c>
      <c r="H239" s="20">
        <v>15000000</v>
      </c>
      <c r="I239" s="2">
        <v>1</v>
      </c>
      <c r="J239" s="6">
        <v>1.3888888888888889E-3</v>
      </c>
      <c r="K239" s="2" t="s">
        <v>18</v>
      </c>
      <c r="L239" s="2" t="s">
        <v>29</v>
      </c>
      <c r="M239" s="2" t="s">
        <v>48</v>
      </c>
      <c r="N239" s="2" t="s">
        <v>76</v>
      </c>
      <c r="O239" s="2" t="s">
        <v>31</v>
      </c>
    </row>
    <row r="240" spans="1:15" ht="21" customHeight="1" x14ac:dyDescent="0.3">
      <c r="A240" s="17"/>
      <c r="B240" s="12" t="s">
        <v>14</v>
      </c>
      <c r="C240" s="13">
        <v>12</v>
      </c>
      <c r="D240" s="14" t="s">
        <v>57</v>
      </c>
      <c r="E240" s="12" t="s">
        <v>32</v>
      </c>
      <c r="F240" s="12" t="s">
        <v>17</v>
      </c>
      <c r="G240" s="15">
        <v>1</v>
      </c>
      <c r="H240" s="21">
        <v>19000000</v>
      </c>
      <c r="I240" s="12">
        <v>5</v>
      </c>
      <c r="J240" s="16">
        <v>1.3888888888888889E-3</v>
      </c>
      <c r="K240" s="12" t="s">
        <v>46</v>
      </c>
      <c r="L240" s="12" t="s">
        <v>35</v>
      </c>
      <c r="M240" s="12" t="s">
        <v>48</v>
      </c>
      <c r="N240" s="12" t="s">
        <v>66</v>
      </c>
      <c r="O240" s="12" t="s">
        <v>67</v>
      </c>
    </row>
    <row r="241" spans="1:15" ht="21" customHeight="1" x14ac:dyDescent="0.3">
      <c r="A241" s="17"/>
      <c r="B241" s="2" t="s">
        <v>14</v>
      </c>
      <c r="C241" s="3">
        <v>11</v>
      </c>
      <c r="D241" s="4" t="s">
        <v>58</v>
      </c>
      <c r="E241" s="2" t="s">
        <v>16</v>
      </c>
      <c r="F241" s="2" t="s">
        <v>42</v>
      </c>
      <c r="G241" s="5">
        <v>4</v>
      </c>
      <c r="H241" s="20">
        <v>20000000</v>
      </c>
      <c r="I241" s="2">
        <v>1</v>
      </c>
      <c r="J241" s="6">
        <v>1.3888888888888889E-3</v>
      </c>
      <c r="K241" s="2" t="s">
        <v>18</v>
      </c>
      <c r="L241" s="2" t="s">
        <v>29</v>
      </c>
      <c r="M241" s="2" t="s">
        <v>30</v>
      </c>
      <c r="N241" s="2" t="s">
        <v>76</v>
      </c>
      <c r="O241" s="2" t="s">
        <v>31</v>
      </c>
    </row>
    <row r="242" spans="1:15" ht="21" customHeight="1" x14ac:dyDescent="0.3">
      <c r="A242" s="17"/>
      <c r="B242" s="12" t="s">
        <v>70</v>
      </c>
      <c r="C242" s="13">
        <v>5</v>
      </c>
      <c r="D242" s="14" t="s">
        <v>59</v>
      </c>
      <c r="E242" s="12" t="s">
        <v>16</v>
      </c>
      <c r="F242" s="12" t="s">
        <v>23</v>
      </c>
      <c r="G242" s="15">
        <v>0</v>
      </c>
      <c r="H242" s="21">
        <v>0</v>
      </c>
      <c r="I242" s="12">
        <v>1</v>
      </c>
      <c r="J242" s="16">
        <v>1.3888888888888889E-3</v>
      </c>
      <c r="K242" s="12"/>
      <c r="L242" s="12"/>
      <c r="M242" s="12" t="s">
        <v>43</v>
      </c>
      <c r="N242" s="12" t="s">
        <v>78</v>
      </c>
      <c r="O242" s="12" t="s">
        <v>63</v>
      </c>
    </row>
    <row r="243" spans="1:15" ht="21" customHeight="1" x14ac:dyDescent="0.3">
      <c r="A243" s="17"/>
      <c r="B243" s="2" t="s">
        <v>70</v>
      </c>
      <c r="C243" s="3">
        <v>29</v>
      </c>
      <c r="D243" s="4" t="s">
        <v>27</v>
      </c>
      <c r="E243" s="2" t="s">
        <v>16</v>
      </c>
      <c r="F243" s="2" t="s">
        <v>42</v>
      </c>
      <c r="G243" s="5">
        <v>0</v>
      </c>
      <c r="H243" s="20">
        <v>0</v>
      </c>
      <c r="I243" s="2">
        <v>4</v>
      </c>
      <c r="J243" s="6">
        <v>1.3888888888888889E-3</v>
      </c>
      <c r="K243" s="2"/>
      <c r="L243" s="2"/>
      <c r="M243" s="2" t="s">
        <v>48</v>
      </c>
      <c r="N243" s="2" t="s">
        <v>78</v>
      </c>
      <c r="O243" s="2" t="s">
        <v>62</v>
      </c>
    </row>
    <row r="244" spans="1:15" ht="21" customHeight="1" x14ac:dyDescent="0.3">
      <c r="A244" s="17"/>
      <c r="B244" s="12" t="s">
        <v>70</v>
      </c>
      <c r="C244" s="13">
        <v>11</v>
      </c>
      <c r="D244" s="14" t="s">
        <v>37</v>
      </c>
      <c r="E244" s="12" t="s">
        <v>28</v>
      </c>
      <c r="F244" s="12" t="s">
        <v>42</v>
      </c>
      <c r="G244" s="15">
        <v>0</v>
      </c>
      <c r="H244" s="21">
        <v>0</v>
      </c>
      <c r="I244" s="12">
        <v>1</v>
      </c>
      <c r="J244" s="16">
        <v>1.3888888888888889E-3</v>
      </c>
      <c r="K244" s="12"/>
      <c r="L244" s="12"/>
      <c r="M244" s="12" t="s">
        <v>51</v>
      </c>
      <c r="N244" s="12" t="s">
        <v>77</v>
      </c>
      <c r="O244" s="12" t="s">
        <v>65</v>
      </c>
    </row>
    <row r="245" spans="1:15" ht="21" customHeight="1" x14ac:dyDescent="0.3">
      <c r="A245" s="17"/>
      <c r="B245" s="2" t="s">
        <v>70</v>
      </c>
      <c r="C245" s="3">
        <v>23</v>
      </c>
      <c r="D245" s="4" t="s">
        <v>44</v>
      </c>
      <c r="E245" s="2" t="s">
        <v>38</v>
      </c>
      <c r="F245" s="2" t="s">
        <v>23</v>
      </c>
      <c r="G245" s="5">
        <v>0</v>
      </c>
      <c r="H245" s="20">
        <v>0</v>
      </c>
      <c r="I245" s="2">
        <v>1</v>
      </c>
      <c r="J245" s="6">
        <v>1.3888888888888889E-3</v>
      </c>
      <c r="K245" s="2"/>
      <c r="L245" s="2"/>
      <c r="M245" s="2" t="s">
        <v>30</v>
      </c>
      <c r="N245" s="2" t="s">
        <v>76</v>
      </c>
      <c r="O245" s="2" t="s">
        <v>31</v>
      </c>
    </row>
    <row r="246" spans="1:15" ht="21" customHeight="1" x14ac:dyDescent="0.3">
      <c r="A246" s="17"/>
      <c r="B246" s="12" t="s">
        <v>70</v>
      </c>
      <c r="C246" s="13">
        <v>5</v>
      </c>
      <c r="D246" s="14" t="s">
        <v>59</v>
      </c>
      <c r="E246" s="12" t="s">
        <v>16</v>
      </c>
      <c r="F246" s="12" t="s">
        <v>23</v>
      </c>
      <c r="G246" s="15">
        <v>0</v>
      </c>
      <c r="H246" s="21">
        <v>0</v>
      </c>
      <c r="I246" s="12">
        <v>1</v>
      </c>
      <c r="J246" s="16">
        <v>1.3888888888888889E-3</v>
      </c>
      <c r="K246" s="12"/>
      <c r="L246" s="12"/>
      <c r="M246" s="12" t="s">
        <v>43</v>
      </c>
      <c r="N246" s="12" t="s">
        <v>78</v>
      </c>
      <c r="O246" s="12" t="s">
        <v>63</v>
      </c>
    </row>
    <row r="247" spans="1:15" ht="21" customHeight="1" x14ac:dyDescent="0.3">
      <c r="A247" s="17"/>
      <c r="B247" s="2" t="s">
        <v>14</v>
      </c>
      <c r="C247" s="3">
        <v>2</v>
      </c>
      <c r="D247" s="4" t="s">
        <v>55</v>
      </c>
      <c r="E247" s="2" t="s">
        <v>32</v>
      </c>
      <c r="F247" s="2" t="s">
        <v>42</v>
      </c>
      <c r="G247" s="5">
        <v>4</v>
      </c>
      <c r="H247" s="20">
        <v>15000000</v>
      </c>
      <c r="I247" s="2">
        <v>3</v>
      </c>
      <c r="J247" s="6">
        <v>1.3888888888888889E-3</v>
      </c>
      <c r="K247" s="2" t="s">
        <v>18</v>
      </c>
      <c r="L247" s="2" t="s">
        <v>24</v>
      </c>
      <c r="M247" s="2" t="s">
        <v>25</v>
      </c>
      <c r="N247" s="2" t="s">
        <v>78</v>
      </c>
      <c r="O247" s="2" t="s">
        <v>41</v>
      </c>
    </row>
    <row r="248" spans="1:15" ht="21" customHeight="1" x14ac:dyDescent="0.3">
      <c r="A248" s="17"/>
      <c r="B248" s="12" t="s">
        <v>14</v>
      </c>
      <c r="C248" s="13">
        <v>11</v>
      </c>
      <c r="D248" s="14" t="s">
        <v>57</v>
      </c>
      <c r="E248" s="12" t="s">
        <v>38</v>
      </c>
      <c r="F248" s="12" t="s">
        <v>42</v>
      </c>
      <c r="G248" s="15">
        <v>2</v>
      </c>
      <c r="H248" s="21">
        <v>12000000</v>
      </c>
      <c r="I248" s="12">
        <v>1</v>
      </c>
      <c r="J248" s="16">
        <v>1.3888888888888889E-3</v>
      </c>
      <c r="K248" s="12" t="s">
        <v>18</v>
      </c>
      <c r="L248" s="12" t="s">
        <v>19</v>
      </c>
      <c r="M248" s="12" t="s">
        <v>25</v>
      </c>
      <c r="N248" s="12" t="s">
        <v>78</v>
      </c>
      <c r="O248" s="12" t="s">
        <v>53</v>
      </c>
    </row>
    <row r="249" spans="1:15" ht="21" customHeight="1" x14ac:dyDescent="0.3">
      <c r="A249" s="17"/>
      <c r="B249" s="2" t="s">
        <v>14</v>
      </c>
      <c r="C249" s="3">
        <v>1</v>
      </c>
      <c r="D249" s="4" t="s">
        <v>59</v>
      </c>
      <c r="E249" s="2" t="s">
        <v>32</v>
      </c>
      <c r="F249" s="2" t="s">
        <v>45</v>
      </c>
      <c r="G249" s="5">
        <v>1</v>
      </c>
      <c r="H249" s="20">
        <v>19000000</v>
      </c>
      <c r="I249" s="2">
        <v>2</v>
      </c>
      <c r="J249" s="6">
        <v>1.3888888888888889E-3</v>
      </c>
      <c r="K249" s="2" t="s">
        <v>46</v>
      </c>
      <c r="L249" s="2" t="s">
        <v>39</v>
      </c>
      <c r="M249" s="2" t="s">
        <v>30</v>
      </c>
      <c r="N249" s="2" t="s">
        <v>77</v>
      </c>
      <c r="O249" s="2" t="s">
        <v>65</v>
      </c>
    </row>
    <row r="250" spans="1:15" ht="21" customHeight="1" x14ac:dyDescent="0.3">
      <c r="A250" s="17"/>
      <c r="B250" s="12" t="s">
        <v>14</v>
      </c>
      <c r="C250" s="13">
        <v>1</v>
      </c>
      <c r="D250" s="14" t="s">
        <v>60</v>
      </c>
      <c r="E250" s="12" t="s">
        <v>49</v>
      </c>
      <c r="F250" s="12" t="s">
        <v>23</v>
      </c>
      <c r="G250" s="15">
        <v>3</v>
      </c>
      <c r="H250" s="21">
        <v>15000000</v>
      </c>
      <c r="I250" s="12">
        <v>2</v>
      </c>
      <c r="J250" s="16">
        <v>1.3888888888888889E-3</v>
      </c>
      <c r="K250" s="12" t="s">
        <v>18</v>
      </c>
      <c r="L250" s="12" t="s">
        <v>56</v>
      </c>
      <c r="M250" s="12" t="s">
        <v>51</v>
      </c>
      <c r="N250" s="12" t="s">
        <v>76</v>
      </c>
      <c r="O250" s="12" t="s">
        <v>31</v>
      </c>
    </row>
    <row r="251" spans="1:15" ht="21" customHeight="1" x14ac:dyDescent="0.3">
      <c r="A251" s="17"/>
      <c r="B251" s="2" t="s">
        <v>14</v>
      </c>
      <c r="C251" s="3">
        <v>12</v>
      </c>
      <c r="D251" s="4" t="s">
        <v>27</v>
      </c>
      <c r="E251" s="2" t="s">
        <v>73</v>
      </c>
      <c r="F251" s="2" t="s">
        <v>42</v>
      </c>
      <c r="G251" s="5">
        <v>2</v>
      </c>
      <c r="H251" s="20">
        <v>38000000</v>
      </c>
      <c r="I251" s="2">
        <v>6</v>
      </c>
      <c r="J251" s="6">
        <v>1.3888888888888889E-3</v>
      </c>
      <c r="K251" s="2" t="s">
        <v>46</v>
      </c>
      <c r="L251" s="2" t="s">
        <v>35</v>
      </c>
      <c r="M251" s="2" t="s">
        <v>30</v>
      </c>
      <c r="N251" s="2" t="s">
        <v>78</v>
      </c>
      <c r="O251" s="2" t="s">
        <v>63</v>
      </c>
    </row>
    <row r="252" spans="1:15" ht="21" customHeight="1" x14ac:dyDescent="0.3">
      <c r="A252" s="17"/>
      <c r="B252" s="12" t="s">
        <v>14</v>
      </c>
      <c r="C252" s="13">
        <v>7</v>
      </c>
      <c r="D252" s="14" t="s">
        <v>27</v>
      </c>
      <c r="E252" s="12" t="s">
        <v>16</v>
      </c>
      <c r="F252" s="12" t="s">
        <v>23</v>
      </c>
      <c r="G252" s="15">
        <v>5</v>
      </c>
      <c r="H252" s="21">
        <v>21000000</v>
      </c>
      <c r="I252" s="12">
        <v>5</v>
      </c>
      <c r="J252" s="16">
        <v>1.3888888888888889E-3</v>
      </c>
      <c r="K252" s="12" t="s">
        <v>18</v>
      </c>
      <c r="L252" s="12" t="s">
        <v>24</v>
      </c>
      <c r="M252" s="12" t="s">
        <v>43</v>
      </c>
      <c r="N252" s="12" t="s">
        <v>76</v>
      </c>
      <c r="O252" s="12" t="s">
        <v>26</v>
      </c>
    </row>
    <row r="253" spans="1:15" ht="21" customHeight="1" x14ac:dyDescent="0.3">
      <c r="A253" s="17"/>
      <c r="B253" s="2" t="s">
        <v>14</v>
      </c>
      <c r="C253" s="3">
        <v>11</v>
      </c>
      <c r="D253" s="4" t="s">
        <v>27</v>
      </c>
      <c r="E253" s="2" t="s">
        <v>28</v>
      </c>
      <c r="F253" s="2" t="s">
        <v>42</v>
      </c>
      <c r="G253" s="5">
        <v>5</v>
      </c>
      <c r="H253" s="20">
        <v>25000000</v>
      </c>
      <c r="I253" s="2">
        <v>5</v>
      </c>
      <c r="J253" s="6">
        <v>1.3888888888888889E-3</v>
      </c>
      <c r="K253" s="2" t="s">
        <v>18</v>
      </c>
      <c r="L253" s="2" t="s">
        <v>39</v>
      </c>
      <c r="M253" s="2" t="s">
        <v>33</v>
      </c>
      <c r="N253" s="2" t="s">
        <v>76</v>
      </c>
      <c r="O253" s="2" t="s">
        <v>31</v>
      </c>
    </row>
    <row r="254" spans="1:15" ht="21" customHeight="1" x14ac:dyDescent="0.3">
      <c r="A254" s="17"/>
      <c r="B254" s="12" t="s">
        <v>14</v>
      </c>
      <c r="C254" s="13">
        <v>29</v>
      </c>
      <c r="D254" s="14" t="s">
        <v>27</v>
      </c>
      <c r="E254" s="12" t="s">
        <v>49</v>
      </c>
      <c r="F254" s="12" t="s">
        <v>42</v>
      </c>
      <c r="G254" s="15">
        <v>1</v>
      </c>
      <c r="H254" s="21">
        <v>7000000</v>
      </c>
      <c r="I254" s="12">
        <v>2</v>
      </c>
      <c r="J254" s="16">
        <v>1.3888888888888889E-3</v>
      </c>
      <c r="K254" s="12" t="s">
        <v>18</v>
      </c>
      <c r="L254" s="12" t="s">
        <v>47</v>
      </c>
      <c r="M254" s="12" t="s">
        <v>40</v>
      </c>
      <c r="N254" s="12" t="s">
        <v>66</v>
      </c>
      <c r="O254" s="12" t="s">
        <v>67</v>
      </c>
    </row>
    <row r="255" spans="1:15" ht="21" customHeight="1" x14ac:dyDescent="0.3">
      <c r="A255" s="17"/>
      <c r="B255" s="2" t="s">
        <v>14</v>
      </c>
      <c r="C255" s="3">
        <v>3</v>
      </c>
      <c r="D255" s="4" t="s">
        <v>37</v>
      </c>
      <c r="E255" s="2" t="s">
        <v>38</v>
      </c>
      <c r="F255" s="2" t="s">
        <v>42</v>
      </c>
      <c r="G255" s="5">
        <v>2</v>
      </c>
      <c r="H255" s="20">
        <v>38000000</v>
      </c>
      <c r="I255" s="2">
        <v>3</v>
      </c>
      <c r="J255" s="6">
        <v>1.3888888888888889E-3</v>
      </c>
      <c r="K255" s="2" t="s">
        <v>46</v>
      </c>
      <c r="L255" s="2" t="s">
        <v>29</v>
      </c>
      <c r="M255" s="2" t="s">
        <v>30</v>
      </c>
      <c r="N255" s="2" t="s">
        <v>77</v>
      </c>
      <c r="O255" s="2" t="s">
        <v>65</v>
      </c>
    </row>
    <row r="256" spans="1:15" ht="21" customHeight="1" x14ac:dyDescent="0.3">
      <c r="A256" s="17"/>
      <c r="B256" s="12" t="s">
        <v>14</v>
      </c>
      <c r="C256" s="13">
        <v>6</v>
      </c>
      <c r="D256" s="14" t="s">
        <v>37</v>
      </c>
      <c r="E256" s="12" t="s">
        <v>38</v>
      </c>
      <c r="F256" s="12" t="s">
        <v>42</v>
      </c>
      <c r="G256" s="15">
        <v>1</v>
      </c>
      <c r="H256" s="21">
        <v>19000000</v>
      </c>
      <c r="I256" s="12">
        <v>1</v>
      </c>
      <c r="J256" s="16">
        <v>1.3888888888888889E-3</v>
      </c>
      <c r="K256" s="12" t="s">
        <v>46</v>
      </c>
      <c r="L256" s="12" t="s">
        <v>19</v>
      </c>
      <c r="M256" s="12" t="s">
        <v>40</v>
      </c>
      <c r="N256" s="12" t="s">
        <v>66</v>
      </c>
      <c r="O256" s="12" t="s">
        <v>36</v>
      </c>
    </row>
    <row r="257" spans="1:15" ht="21" customHeight="1" x14ac:dyDescent="0.3">
      <c r="A257" s="17"/>
      <c r="B257" s="2" t="s">
        <v>14</v>
      </c>
      <c r="C257" s="3">
        <v>26</v>
      </c>
      <c r="D257" s="4" t="s">
        <v>37</v>
      </c>
      <c r="E257" s="2" t="s">
        <v>16</v>
      </c>
      <c r="F257" s="2" t="s">
        <v>23</v>
      </c>
      <c r="G257" s="5">
        <v>4</v>
      </c>
      <c r="H257" s="20">
        <v>20000000</v>
      </c>
      <c r="I257" s="2">
        <v>3</v>
      </c>
      <c r="J257" s="6">
        <v>1.3888888888888889E-3</v>
      </c>
      <c r="K257" s="2" t="s">
        <v>61</v>
      </c>
      <c r="L257" s="2" t="s">
        <v>19</v>
      </c>
      <c r="M257" s="2" t="s">
        <v>48</v>
      </c>
      <c r="N257" s="2" t="s">
        <v>78</v>
      </c>
      <c r="O257" s="2" t="s">
        <v>63</v>
      </c>
    </row>
    <row r="258" spans="1:15" ht="21" customHeight="1" x14ac:dyDescent="0.3">
      <c r="A258" s="17"/>
      <c r="B258" s="12" t="s">
        <v>14</v>
      </c>
      <c r="C258" s="13">
        <v>1</v>
      </c>
      <c r="D258" s="14" t="s">
        <v>37</v>
      </c>
      <c r="E258" s="12" t="s">
        <v>16</v>
      </c>
      <c r="F258" s="12" t="s">
        <v>17</v>
      </c>
      <c r="G258" s="15">
        <v>1</v>
      </c>
      <c r="H258" s="21">
        <v>7000000</v>
      </c>
      <c r="I258" s="12">
        <v>4</v>
      </c>
      <c r="J258" s="16">
        <v>1.3888888888888889E-3</v>
      </c>
      <c r="K258" s="12" t="s">
        <v>18</v>
      </c>
      <c r="L258" s="12" t="s">
        <v>29</v>
      </c>
      <c r="M258" s="12" t="s">
        <v>30</v>
      </c>
      <c r="N258" s="12" t="s">
        <v>76</v>
      </c>
      <c r="O258" s="12" t="s">
        <v>31</v>
      </c>
    </row>
    <row r="259" spans="1:15" ht="21" customHeight="1" x14ac:dyDescent="0.3">
      <c r="A259" s="17"/>
      <c r="B259" s="2" t="s">
        <v>14</v>
      </c>
      <c r="C259" s="3">
        <v>1</v>
      </c>
      <c r="D259" s="4" t="s">
        <v>37</v>
      </c>
      <c r="E259" s="2" t="s">
        <v>32</v>
      </c>
      <c r="F259" s="2" t="s">
        <v>23</v>
      </c>
      <c r="G259" s="5">
        <v>2</v>
      </c>
      <c r="H259" s="20">
        <v>12000000</v>
      </c>
      <c r="I259" s="2">
        <v>4</v>
      </c>
      <c r="J259" s="6">
        <v>1.3888888888888889E-3</v>
      </c>
      <c r="K259" s="2" t="s">
        <v>18</v>
      </c>
      <c r="L259" s="2" t="s">
        <v>56</v>
      </c>
      <c r="M259" s="2" t="s">
        <v>30</v>
      </c>
      <c r="N259" s="2" t="s">
        <v>78</v>
      </c>
      <c r="O259" s="2" t="s">
        <v>66</v>
      </c>
    </row>
    <row r="260" spans="1:15" ht="21" customHeight="1" x14ac:dyDescent="0.3">
      <c r="A260" s="17"/>
      <c r="B260" s="12" t="s">
        <v>14</v>
      </c>
      <c r="C260" s="13">
        <v>30</v>
      </c>
      <c r="D260" s="14" t="s">
        <v>37</v>
      </c>
      <c r="E260" s="12" t="s">
        <v>38</v>
      </c>
      <c r="F260" s="12" t="s">
        <v>42</v>
      </c>
      <c r="G260" s="15">
        <v>3</v>
      </c>
      <c r="H260" s="21">
        <v>15000000</v>
      </c>
      <c r="I260" s="12">
        <v>2</v>
      </c>
      <c r="J260" s="16">
        <v>1.3888888888888889E-3</v>
      </c>
      <c r="K260" s="12" t="s">
        <v>18</v>
      </c>
      <c r="L260" s="12" t="s">
        <v>50</v>
      </c>
      <c r="M260" s="12" t="s">
        <v>48</v>
      </c>
      <c r="N260" s="12" t="s">
        <v>76</v>
      </c>
      <c r="O260" s="12" t="s">
        <v>26</v>
      </c>
    </row>
    <row r="261" spans="1:15" ht="21" customHeight="1" x14ac:dyDescent="0.3">
      <c r="A261" s="17"/>
      <c r="B261" s="2" t="s">
        <v>14</v>
      </c>
      <c r="C261" s="3">
        <v>3</v>
      </c>
      <c r="D261" s="4" t="s">
        <v>44</v>
      </c>
      <c r="E261" s="2" t="s">
        <v>32</v>
      </c>
      <c r="F261" s="2" t="s">
        <v>23</v>
      </c>
      <c r="G261" s="5">
        <v>4</v>
      </c>
      <c r="H261" s="20">
        <v>20000000</v>
      </c>
      <c r="I261" s="2">
        <v>6</v>
      </c>
      <c r="J261" s="6">
        <v>1.3888888888888889E-3</v>
      </c>
      <c r="K261" s="2" t="s">
        <v>61</v>
      </c>
      <c r="L261" s="2" t="s">
        <v>29</v>
      </c>
      <c r="M261" s="2" t="s">
        <v>33</v>
      </c>
      <c r="N261" s="2" t="s">
        <v>77</v>
      </c>
      <c r="O261" s="2" t="s">
        <v>54</v>
      </c>
    </row>
    <row r="262" spans="1:15" ht="21" customHeight="1" x14ac:dyDescent="0.3">
      <c r="A262" s="17"/>
      <c r="B262" s="12" t="s">
        <v>14</v>
      </c>
      <c r="C262" s="13">
        <v>3</v>
      </c>
      <c r="D262" s="14" t="s">
        <v>44</v>
      </c>
      <c r="E262" s="12" t="s">
        <v>38</v>
      </c>
      <c r="F262" s="12" t="s">
        <v>45</v>
      </c>
      <c r="G262" s="15">
        <v>5</v>
      </c>
      <c r="H262" s="21">
        <v>25000000</v>
      </c>
      <c r="I262" s="12">
        <v>2</v>
      </c>
      <c r="J262" s="16">
        <v>1.3888888888888889E-3</v>
      </c>
      <c r="K262" s="12" t="s">
        <v>18</v>
      </c>
      <c r="L262" s="12" t="s">
        <v>64</v>
      </c>
      <c r="M262" s="12" t="s">
        <v>43</v>
      </c>
      <c r="N262" s="12" t="s">
        <v>78</v>
      </c>
      <c r="O262" s="12" t="s">
        <v>53</v>
      </c>
    </row>
    <row r="263" spans="1:15" ht="21" customHeight="1" x14ac:dyDescent="0.3">
      <c r="A263" s="17"/>
      <c r="B263" s="2" t="s">
        <v>14</v>
      </c>
      <c r="C263" s="3">
        <v>10</v>
      </c>
      <c r="D263" s="4" t="s">
        <v>44</v>
      </c>
      <c r="E263" s="2" t="s">
        <v>32</v>
      </c>
      <c r="F263" s="2" t="s">
        <v>42</v>
      </c>
      <c r="G263" s="5">
        <v>2</v>
      </c>
      <c r="H263" s="20">
        <v>12000000</v>
      </c>
      <c r="I263" s="2">
        <v>1</v>
      </c>
      <c r="J263" s="6">
        <v>1.3888888888888889E-3</v>
      </c>
      <c r="K263" s="2" t="s">
        <v>18</v>
      </c>
      <c r="L263" s="2" t="s">
        <v>47</v>
      </c>
      <c r="M263" s="2" t="s">
        <v>43</v>
      </c>
      <c r="N263" s="2" t="s">
        <v>78</v>
      </c>
      <c r="O263" s="2" t="s">
        <v>66</v>
      </c>
    </row>
    <row r="264" spans="1:15" ht="21" customHeight="1" x14ac:dyDescent="0.3">
      <c r="A264" s="17"/>
      <c r="B264" s="12" t="s">
        <v>14</v>
      </c>
      <c r="C264" s="13">
        <v>2</v>
      </c>
      <c r="D264" s="14" t="s">
        <v>44</v>
      </c>
      <c r="E264" s="12" t="s">
        <v>28</v>
      </c>
      <c r="F264" s="12" t="s">
        <v>23</v>
      </c>
      <c r="G264" s="15">
        <v>5</v>
      </c>
      <c r="H264" s="21">
        <v>25000000</v>
      </c>
      <c r="I264" s="12">
        <v>1</v>
      </c>
      <c r="J264" s="16">
        <v>1.3888888888888889E-3</v>
      </c>
      <c r="K264" s="12" t="s">
        <v>18</v>
      </c>
      <c r="L264" s="12" t="s">
        <v>29</v>
      </c>
      <c r="M264" s="12" t="s">
        <v>48</v>
      </c>
      <c r="N264" s="12" t="s">
        <v>76</v>
      </c>
      <c r="O264" s="12" t="s">
        <v>52</v>
      </c>
    </row>
    <row r="265" spans="1:15" ht="21" customHeight="1" x14ac:dyDescent="0.3">
      <c r="A265" s="17"/>
      <c r="B265" s="2" t="s">
        <v>14</v>
      </c>
      <c r="C265" s="3">
        <v>16</v>
      </c>
      <c r="D265" s="4" t="s">
        <v>69</v>
      </c>
      <c r="E265" s="2" t="s">
        <v>16</v>
      </c>
      <c r="F265" s="2" t="s">
        <v>23</v>
      </c>
      <c r="G265" s="5">
        <v>3</v>
      </c>
      <c r="H265" s="20">
        <v>12000000</v>
      </c>
      <c r="I265" s="2">
        <v>3</v>
      </c>
      <c r="J265" s="6">
        <v>1.3888888888888889E-3</v>
      </c>
      <c r="K265" s="2" t="s">
        <v>18</v>
      </c>
      <c r="L265" s="2" t="s">
        <v>35</v>
      </c>
      <c r="M265" s="2" t="s">
        <v>33</v>
      </c>
      <c r="N265" s="2" t="s">
        <v>66</v>
      </c>
      <c r="O265" s="2" t="s">
        <v>36</v>
      </c>
    </row>
    <row r="266" spans="1:15" ht="21" customHeight="1" x14ac:dyDescent="0.3">
      <c r="A266" s="17"/>
      <c r="B266" s="12" t="s">
        <v>14</v>
      </c>
      <c r="C266" s="13">
        <v>1</v>
      </c>
      <c r="D266" s="14" t="s">
        <v>69</v>
      </c>
      <c r="E266" s="12" t="s">
        <v>28</v>
      </c>
      <c r="F266" s="12" t="s">
        <v>42</v>
      </c>
      <c r="G266" s="15">
        <v>2</v>
      </c>
      <c r="H266" s="21">
        <v>10000000</v>
      </c>
      <c r="I266" s="12">
        <v>2</v>
      </c>
      <c r="J266" s="16">
        <v>1.3888888888888889E-3</v>
      </c>
      <c r="K266" s="12" t="s">
        <v>18</v>
      </c>
      <c r="L266" s="12" t="s">
        <v>39</v>
      </c>
      <c r="M266" s="12" t="s">
        <v>51</v>
      </c>
      <c r="N266" s="12" t="s">
        <v>77</v>
      </c>
      <c r="O266" s="12" t="s">
        <v>65</v>
      </c>
    </row>
    <row r="267" spans="1:15" ht="21" customHeight="1" x14ac:dyDescent="0.3">
      <c r="A267" s="17"/>
      <c r="B267" s="2" t="s">
        <v>14</v>
      </c>
      <c r="C267" s="3">
        <v>2</v>
      </c>
      <c r="D267" s="4" t="s">
        <v>55</v>
      </c>
      <c r="E267" s="2" t="s">
        <v>32</v>
      </c>
      <c r="F267" s="2" t="s">
        <v>42</v>
      </c>
      <c r="G267" s="5">
        <v>4</v>
      </c>
      <c r="H267" s="20">
        <v>15000000</v>
      </c>
      <c r="I267" s="2">
        <v>3</v>
      </c>
      <c r="J267" s="6">
        <v>1.3888888888888889E-3</v>
      </c>
      <c r="K267" s="2" t="s">
        <v>18</v>
      </c>
      <c r="L267" s="2" t="s">
        <v>24</v>
      </c>
      <c r="M267" s="2" t="s">
        <v>25</v>
      </c>
      <c r="N267" s="2" t="s">
        <v>78</v>
      </c>
      <c r="O267" s="2" t="s">
        <v>41</v>
      </c>
    </row>
    <row r="268" spans="1:15" ht="21" customHeight="1" x14ac:dyDescent="0.3">
      <c r="A268" s="17"/>
      <c r="B268" s="12" t="s">
        <v>14</v>
      </c>
      <c r="C268" s="13">
        <v>11</v>
      </c>
      <c r="D268" s="14" t="s">
        <v>57</v>
      </c>
      <c r="E268" s="12" t="s">
        <v>38</v>
      </c>
      <c r="F268" s="12" t="s">
        <v>42</v>
      </c>
      <c r="G268" s="15">
        <v>2</v>
      </c>
      <c r="H268" s="21">
        <v>12000000</v>
      </c>
      <c r="I268" s="12">
        <v>1</v>
      </c>
      <c r="J268" s="16">
        <v>1.3888888888888889E-3</v>
      </c>
      <c r="K268" s="12" t="s">
        <v>18</v>
      </c>
      <c r="L268" s="12" t="s">
        <v>19</v>
      </c>
      <c r="M268" s="12" t="s">
        <v>25</v>
      </c>
      <c r="N268" s="12" t="s">
        <v>78</v>
      </c>
      <c r="O268" s="12" t="s">
        <v>53</v>
      </c>
    </row>
    <row r="269" spans="1:15" ht="21" customHeight="1" x14ac:dyDescent="0.3">
      <c r="A269" s="17"/>
      <c r="B269" s="2" t="s">
        <v>14</v>
      </c>
      <c r="C269" s="3">
        <v>1</v>
      </c>
      <c r="D269" s="4" t="s">
        <v>59</v>
      </c>
      <c r="E269" s="2" t="s">
        <v>32</v>
      </c>
      <c r="F269" s="2" t="s">
        <v>45</v>
      </c>
      <c r="G269" s="5">
        <v>1</v>
      </c>
      <c r="H269" s="20">
        <v>19000000</v>
      </c>
      <c r="I269" s="2">
        <v>2</v>
      </c>
      <c r="J269" s="6">
        <v>1.3888888888888889E-3</v>
      </c>
      <c r="K269" s="2" t="s">
        <v>46</v>
      </c>
      <c r="L269" s="2" t="s">
        <v>39</v>
      </c>
      <c r="M269" s="2" t="s">
        <v>30</v>
      </c>
      <c r="N269" s="2" t="s">
        <v>77</v>
      </c>
      <c r="O269" s="2" t="s">
        <v>65</v>
      </c>
    </row>
    <row r="270" spans="1:15" ht="21" customHeight="1" x14ac:dyDescent="0.3">
      <c r="A270" s="17"/>
      <c r="B270" s="12" t="s">
        <v>14</v>
      </c>
      <c r="C270" s="13">
        <v>1</v>
      </c>
      <c r="D270" s="14" t="s">
        <v>60</v>
      </c>
      <c r="E270" s="12" t="s">
        <v>49</v>
      </c>
      <c r="F270" s="12" t="s">
        <v>23</v>
      </c>
      <c r="G270" s="15">
        <v>3</v>
      </c>
      <c r="H270" s="21">
        <v>15000000</v>
      </c>
      <c r="I270" s="12">
        <v>2</v>
      </c>
      <c r="J270" s="16">
        <v>1.3888888888888889E-3</v>
      </c>
      <c r="K270" s="12" t="s">
        <v>18</v>
      </c>
      <c r="L270" s="12" t="s">
        <v>56</v>
      </c>
      <c r="M270" s="12" t="s">
        <v>51</v>
      </c>
      <c r="N270" s="12" t="s">
        <v>76</v>
      </c>
      <c r="O270" s="12" t="s">
        <v>31</v>
      </c>
    </row>
    <row r="271" spans="1:15" ht="21" customHeight="1" x14ac:dyDescent="0.3">
      <c r="A271" s="17"/>
      <c r="B271" s="2" t="s">
        <v>70</v>
      </c>
      <c r="C271" s="3">
        <v>23</v>
      </c>
      <c r="D271" s="4" t="s">
        <v>27</v>
      </c>
      <c r="E271" s="2" t="s">
        <v>73</v>
      </c>
      <c r="F271" s="2" t="s">
        <v>23</v>
      </c>
      <c r="G271" s="5">
        <v>0</v>
      </c>
      <c r="H271" s="20">
        <v>0</v>
      </c>
      <c r="I271" s="2">
        <v>1</v>
      </c>
      <c r="J271" s="6">
        <v>1.3888888888888889E-3</v>
      </c>
      <c r="K271" s="2"/>
      <c r="L271" s="2"/>
      <c r="M271" s="2" t="s">
        <v>48</v>
      </c>
      <c r="N271" s="2" t="s">
        <v>77</v>
      </c>
      <c r="O271" s="2" t="s">
        <v>54</v>
      </c>
    </row>
    <row r="272" spans="1:15" ht="21" customHeight="1" x14ac:dyDescent="0.3">
      <c r="A272" s="17"/>
      <c r="B272" s="12" t="s">
        <v>70</v>
      </c>
      <c r="C272" s="13">
        <v>9</v>
      </c>
      <c r="D272" s="14" t="s">
        <v>37</v>
      </c>
      <c r="E272" s="12" t="s">
        <v>32</v>
      </c>
      <c r="F272" s="12" t="s">
        <v>68</v>
      </c>
      <c r="G272" s="15">
        <v>0</v>
      </c>
      <c r="H272" s="21">
        <v>0</v>
      </c>
      <c r="I272" s="12">
        <v>1</v>
      </c>
      <c r="J272" s="16">
        <v>1.3888888888888889E-3</v>
      </c>
      <c r="K272" s="12"/>
      <c r="L272" s="12"/>
      <c r="M272" s="12" t="s">
        <v>33</v>
      </c>
      <c r="N272" s="12" t="s">
        <v>77</v>
      </c>
      <c r="O272" s="12" t="s">
        <v>54</v>
      </c>
    </row>
    <row r="273" spans="1:15" ht="21" customHeight="1" x14ac:dyDescent="0.3">
      <c r="A273" s="17"/>
      <c r="B273" s="2" t="s">
        <v>70</v>
      </c>
      <c r="C273" s="3">
        <v>23</v>
      </c>
      <c r="D273" s="4" t="s">
        <v>37</v>
      </c>
      <c r="E273" s="2" t="s">
        <v>32</v>
      </c>
      <c r="F273" s="2" t="s">
        <v>45</v>
      </c>
      <c r="G273" s="5">
        <v>0</v>
      </c>
      <c r="H273" s="20">
        <v>0</v>
      </c>
      <c r="I273" s="2">
        <v>1</v>
      </c>
      <c r="J273" s="6">
        <v>1.3888888888888889E-3</v>
      </c>
      <c r="K273" s="2"/>
      <c r="L273" s="2"/>
      <c r="M273" s="2" t="s">
        <v>20</v>
      </c>
      <c r="N273" s="2" t="s">
        <v>66</v>
      </c>
      <c r="O273" s="2" t="s">
        <v>36</v>
      </c>
    </row>
    <row r="274" spans="1:15" ht="21" customHeight="1" x14ac:dyDescent="0.3">
      <c r="A274" s="17"/>
      <c r="B274" s="12" t="s">
        <v>70</v>
      </c>
      <c r="C274" s="13">
        <v>4</v>
      </c>
      <c r="D274" s="14" t="s">
        <v>37</v>
      </c>
      <c r="E274" s="12" t="s">
        <v>16</v>
      </c>
      <c r="F274" s="12" t="s">
        <v>42</v>
      </c>
      <c r="G274" s="15">
        <v>0</v>
      </c>
      <c r="H274" s="21">
        <v>0</v>
      </c>
      <c r="I274" s="12">
        <v>2</v>
      </c>
      <c r="J274" s="16">
        <v>1.3888888888888889E-3</v>
      </c>
      <c r="K274" s="12"/>
      <c r="L274" s="12"/>
      <c r="M274" s="12" t="s">
        <v>43</v>
      </c>
      <c r="N274" s="12" t="s">
        <v>76</v>
      </c>
      <c r="O274" s="12" t="s">
        <v>52</v>
      </c>
    </row>
    <row r="275" spans="1:15" ht="21" customHeight="1" x14ac:dyDescent="0.3">
      <c r="A275" s="17"/>
      <c r="B275" s="2" t="s">
        <v>70</v>
      </c>
      <c r="C275" s="3">
        <v>8</v>
      </c>
      <c r="D275" s="4" t="s">
        <v>69</v>
      </c>
      <c r="E275" s="2" t="s">
        <v>16</v>
      </c>
      <c r="F275" s="2" t="s">
        <v>17</v>
      </c>
      <c r="G275" s="5">
        <v>0</v>
      </c>
      <c r="H275" s="20">
        <v>0</v>
      </c>
      <c r="I275" s="2">
        <v>6</v>
      </c>
      <c r="J275" s="6">
        <v>1.3888888888888889E-3</v>
      </c>
      <c r="K275" s="2"/>
      <c r="L275" s="2"/>
      <c r="M275" s="2" t="s">
        <v>43</v>
      </c>
      <c r="N275" s="2" t="s">
        <v>76</v>
      </c>
      <c r="O275" s="2" t="s">
        <v>75</v>
      </c>
    </row>
    <row r="276" spans="1:15" ht="21" customHeight="1" x14ac:dyDescent="0.3">
      <c r="A276" s="17"/>
      <c r="B276" s="12" t="s">
        <v>70</v>
      </c>
      <c r="C276" s="13">
        <v>10</v>
      </c>
      <c r="D276" s="14" t="s">
        <v>69</v>
      </c>
      <c r="E276" s="12" t="s">
        <v>32</v>
      </c>
      <c r="F276" s="12" t="s">
        <v>42</v>
      </c>
      <c r="G276" s="15">
        <v>0</v>
      </c>
      <c r="H276" s="21">
        <v>0</v>
      </c>
      <c r="I276" s="12">
        <v>1</v>
      </c>
      <c r="J276" s="16">
        <v>1.3888888888888889E-3</v>
      </c>
      <c r="K276" s="12"/>
      <c r="L276" s="12"/>
      <c r="M276" s="12" t="s">
        <v>51</v>
      </c>
      <c r="N276" s="12" t="s">
        <v>66</v>
      </c>
      <c r="O276" s="12" t="s">
        <v>36</v>
      </c>
    </row>
    <row r="277" spans="1:15" ht="21" customHeight="1" x14ac:dyDescent="0.3">
      <c r="A277" s="17"/>
      <c r="B277" s="2" t="s">
        <v>14</v>
      </c>
      <c r="C277" s="3">
        <v>11</v>
      </c>
      <c r="D277" s="4" t="s">
        <v>57</v>
      </c>
      <c r="E277" s="2" t="s">
        <v>16</v>
      </c>
      <c r="F277" s="2" t="s">
        <v>23</v>
      </c>
      <c r="G277" s="5">
        <v>4</v>
      </c>
      <c r="H277" s="20">
        <v>20000000</v>
      </c>
      <c r="I277" s="2">
        <v>1</v>
      </c>
      <c r="J277" s="6">
        <v>1.3888888888888889E-3</v>
      </c>
      <c r="K277" s="2" t="s">
        <v>18</v>
      </c>
      <c r="L277" s="2" t="s">
        <v>47</v>
      </c>
      <c r="M277" s="2" t="s">
        <v>25</v>
      </c>
      <c r="N277" s="2" t="s">
        <v>66</v>
      </c>
      <c r="O277" s="2" t="s">
        <v>67</v>
      </c>
    </row>
    <row r="278" spans="1:15" ht="21" customHeight="1" x14ac:dyDescent="0.3">
      <c r="A278" s="17"/>
      <c r="B278" s="12" t="s">
        <v>14</v>
      </c>
      <c r="C278" s="13">
        <v>1</v>
      </c>
      <c r="D278" s="14" t="s">
        <v>15</v>
      </c>
      <c r="E278" s="12" t="s">
        <v>49</v>
      </c>
      <c r="F278" s="12" t="s">
        <v>42</v>
      </c>
      <c r="G278" s="15">
        <v>2</v>
      </c>
      <c r="H278" s="21">
        <v>12000000</v>
      </c>
      <c r="I278" s="12">
        <v>1</v>
      </c>
      <c r="J278" s="16">
        <v>1.3888888888888889E-3</v>
      </c>
      <c r="K278" s="12" t="s">
        <v>18</v>
      </c>
      <c r="L278" s="12" t="s">
        <v>29</v>
      </c>
      <c r="M278" s="12" t="s">
        <v>33</v>
      </c>
      <c r="N278" s="12" t="s">
        <v>76</v>
      </c>
      <c r="O278" s="12" t="s">
        <v>71</v>
      </c>
    </row>
    <row r="279" spans="1:15" ht="21" customHeight="1" x14ac:dyDescent="0.3">
      <c r="A279" s="17"/>
      <c r="B279" s="2" t="s">
        <v>14</v>
      </c>
      <c r="C279" s="3">
        <v>13</v>
      </c>
      <c r="D279" s="4" t="s">
        <v>60</v>
      </c>
      <c r="E279" s="2" t="s">
        <v>16</v>
      </c>
      <c r="F279" s="2" t="s">
        <v>23</v>
      </c>
      <c r="G279" s="5">
        <v>5</v>
      </c>
      <c r="H279" s="20">
        <v>21000000</v>
      </c>
      <c r="I279" s="2">
        <v>4</v>
      </c>
      <c r="J279" s="6">
        <v>1.3888888888888889E-3</v>
      </c>
      <c r="K279" s="2" t="s">
        <v>18</v>
      </c>
      <c r="L279" s="2" t="s">
        <v>50</v>
      </c>
      <c r="M279" s="2" t="s">
        <v>40</v>
      </c>
      <c r="N279" s="2" t="s">
        <v>66</v>
      </c>
      <c r="O279" s="2" t="s">
        <v>36</v>
      </c>
    </row>
    <row r="280" spans="1:15" ht="21" customHeight="1" x14ac:dyDescent="0.3">
      <c r="A280" s="17"/>
      <c r="B280" s="12" t="s">
        <v>14</v>
      </c>
      <c r="C280" s="13">
        <v>28</v>
      </c>
      <c r="D280" s="14" t="s">
        <v>22</v>
      </c>
      <c r="E280" s="12" t="s">
        <v>38</v>
      </c>
      <c r="F280" s="12" t="s">
        <v>42</v>
      </c>
      <c r="G280" s="15">
        <v>4</v>
      </c>
      <c r="H280" s="21">
        <v>11000000</v>
      </c>
      <c r="I280" s="12">
        <v>2</v>
      </c>
      <c r="J280" s="16">
        <v>1.3888888888888889E-3</v>
      </c>
      <c r="K280" s="12" t="s">
        <v>61</v>
      </c>
      <c r="L280" s="12" t="s">
        <v>19</v>
      </c>
      <c r="M280" s="12" t="s">
        <v>40</v>
      </c>
      <c r="N280" s="12" t="s">
        <v>77</v>
      </c>
      <c r="O280" s="12" t="s">
        <v>54</v>
      </c>
    </row>
    <row r="281" spans="1:15" ht="21" customHeight="1" x14ac:dyDescent="0.3">
      <c r="A281" s="17"/>
      <c r="B281" s="2" t="s">
        <v>14</v>
      </c>
      <c r="C281" s="3">
        <v>27</v>
      </c>
      <c r="D281" s="4" t="s">
        <v>37</v>
      </c>
      <c r="E281" s="2" t="s">
        <v>16</v>
      </c>
      <c r="F281" s="2" t="s">
        <v>42</v>
      </c>
      <c r="G281" s="5">
        <v>1</v>
      </c>
      <c r="H281" s="20">
        <v>19000000</v>
      </c>
      <c r="I281" s="2">
        <v>2</v>
      </c>
      <c r="J281" s="6">
        <v>1.3888888888888889E-3</v>
      </c>
      <c r="K281" s="2" t="s">
        <v>46</v>
      </c>
      <c r="L281" s="2" t="s">
        <v>56</v>
      </c>
      <c r="M281" s="2" t="s">
        <v>43</v>
      </c>
      <c r="N281" s="2" t="s">
        <v>78</v>
      </c>
      <c r="O281" s="2" t="s">
        <v>53</v>
      </c>
    </row>
    <row r="282" spans="1:15" ht="21" customHeight="1" x14ac:dyDescent="0.3">
      <c r="A282" s="17"/>
      <c r="B282" s="12" t="s">
        <v>14</v>
      </c>
      <c r="C282" s="13">
        <v>9</v>
      </c>
      <c r="D282" s="14" t="s">
        <v>37</v>
      </c>
      <c r="E282" s="12" t="s">
        <v>16</v>
      </c>
      <c r="F282" s="12" t="s">
        <v>17</v>
      </c>
      <c r="G282" s="15">
        <v>3</v>
      </c>
      <c r="H282" s="21">
        <v>15000000</v>
      </c>
      <c r="I282" s="12">
        <v>1</v>
      </c>
      <c r="J282" s="16">
        <v>1.3888888888888889E-3</v>
      </c>
      <c r="K282" s="12" t="s">
        <v>18</v>
      </c>
      <c r="L282" s="12" t="s">
        <v>47</v>
      </c>
      <c r="M282" s="12" t="s">
        <v>51</v>
      </c>
      <c r="N282" s="12" t="s">
        <v>76</v>
      </c>
      <c r="O282" s="12" t="s">
        <v>26</v>
      </c>
    </row>
    <row r="283" spans="1:15" ht="21" customHeight="1" x14ac:dyDescent="0.3">
      <c r="A283" s="17"/>
      <c r="B283" s="2" t="s">
        <v>14</v>
      </c>
      <c r="C283" s="3">
        <v>19</v>
      </c>
      <c r="D283" s="4" t="s">
        <v>37</v>
      </c>
      <c r="E283" s="2" t="s">
        <v>16</v>
      </c>
      <c r="F283" s="2" t="s">
        <v>42</v>
      </c>
      <c r="G283" s="5">
        <v>5</v>
      </c>
      <c r="H283" s="20">
        <v>25000000</v>
      </c>
      <c r="I283" s="2">
        <v>3</v>
      </c>
      <c r="J283" s="6">
        <v>1.3888888888888889E-3</v>
      </c>
      <c r="K283" s="2" t="s">
        <v>18</v>
      </c>
      <c r="L283" s="2" t="s">
        <v>19</v>
      </c>
      <c r="M283" s="2" t="s">
        <v>48</v>
      </c>
      <c r="N283" s="2" t="s">
        <v>76</v>
      </c>
      <c r="O283" s="2" t="s">
        <v>26</v>
      </c>
    </row>
    <row r="284" spans="1:15" ht="21" customHeight="1" x14ac:dyDescent="0.3">
      <c r="A284" s="17"/>
      <c r="B284" s="12" t="s">
        <v>14</v>
      </c>
      <c r="C284" s="13">
        <v>3</v>
      </c>
      <c r="D284" s="14" t="s">
        <v>44</v>
      </c>
      <c r="E284" s="12" t="s">
        <v>16</v>
      </c>
      <c r="F284" s="12" t="s">
        <v>42</v>
      </c>
      <c r="G284" s="15">
        <v>2</v>
      </c>
      <c r="H284" s="21">
        <v>12000000</v>
      </c>
      <c r="I284" s="12">
        <v>4</v>
      </c>
      <c r="J284" s="16">
        <v>1.3888888888888889E-3</v>
      </c>
      <c r="K284" s="12" t="s">
        <v>18</v>
      </c>
      <c r="L284" s="12" t="s">
        <v>19</v>
      </c>
      <c r="M284" s="12" t="s">
        <v>20</v>
      </c>
      <c r="N284" s="12" t="s">
        <v>77</v>
      </c>
      <c r="O284" s="12" t="s">
        <v>65</v>
      </c>
    </row>
    <row r="285" spans="1:15" ht="21" customHeight="1" x14ac:dyDescent="0.3">
      <c r="A285" s="17"/>
      <c r="B285" s="2" t="s">
        <v>14</v>
      </c>
      <c r="C285" s="3">
        <v>12</v>
      </c>
      <c r="D285" s="4" t="s">
        <v>44</v>
      </c>
      <c r="E285" s="2" t="s">
        <v>49</v>
      </c>
      <c r="F285" s="2" t="s">
        <v>17</v>
      </c>
      <c r="G285" s="5">
        <v>3</v>
      </c>
      <c r="H285" s="20">
        <v>15000000</v>
      </c>
      <c r="I285" s="2">
        <v>2</v>
      </c>
      <c r="J285" s="6">
        <v>1.3888888888888889E-3</v>
      </c>
      <c r="K285" s="2" t="s">
        <v>18</v>
      </c>
      <c r="L285" s="2" t="s">
        <v>64</v>
      </c>
      <c r="M285" s="2" t="s">
        <v>43</v>
      </c>
      <c r="N285" s="2" t="s">
        <v>77</v>
      </c>
      <c r="O285" s="2" t="s">
        <v>34</v>
      </c>
    </row>
    <row r="286" spans="1:15" ht="21" customHeight="1" x14ac:dyDescent="0.3">
      <c r="A286" s="17"/>
      <c r="B286" s="12" t="s">
        <v>14</v>
      </c>
      <c r="C286" s="13">
        <v>15</v>
      </c>
      <c r="D286" s="14" t="s">
        <v>69</v>
      </c>
      <c r="E286" s="12" t="s">
        <v>16</v>
      </c>
      <c r="F286" s="12" t="s">
        <v>23</v>
      </c>
      <c r="G286" s="15">
        <v>2</v>
      </c>
      <c r="H286" s="21">
        <v>38000000</v>
      </c>
      <c r="I286" s="12">
        <v>1</v>
      </c>
      <c r="J286" s="16">
        <v>1.3888888888888889E-3</v>
      </c>
      <c r="K286" s="12" t="s">
        <v>46</v>
      </c>
      <c r="L286" s="12" t="s">
        <v>29</v>
      </c>
      <c r="M286" s="12" t="s">
        <v>33</v>
      </c>
      <c r="N286" s="12" t="s">
        <v>76</v>
      </c>
      <c r="O286" s="12" t="s">
        <v>71</v>
      </c>
    </row>
    <row r="287" spans="1:15" ht="21" customHeight="1" x14ac:dyDescent="0.3">
      <c r="A287" s="17"/>
      <c r="B287" s="2" t="s">
        <v>14</v>
      </c>
      <c r="C287" s="3">
        <v>11</v>
      </c>
      <c r="D287" s="4" t="s">
        <v>57</v>
      </c>
      <c r="E287" s="2" t="s">
        <v>16</v>
      </c>
      <c r="F287" s="2" t="s">
        <v>23</v>
      </c>
      <c r="G287" s="5">
        <v>4</v>
      </c>
      <c r="H287" s="20">
        <v>20000000</v>
      </c>
      <c r="I287" s="2">
        <v>1</v>
      </c>
      <c r="J287" s="6">
        <v>1.3888888888888889E-3</v>
      </c>
      <c r="K287" s="2" t="s">
        <v>18</v>
      </c>
      <c r="L287" s="2" t="s">
        <v>47</v>
      </c>
      <c r="M287" s="2" t="s">
        <v>25</v>
      </c>
      <c r="N287" s="2" t="s">
        <v>66</v>
      </c>
      <c r="O287" s="2" t="s">
        <v>67</v>
      </c>
    </row>
    <row r="288" spans="1:15" ht="21" customHeight="1" x14ac:dyDescent="0.3">
      <c r="A288" s="17"/>
      <c r="B288" s="12" t="s">
        <v>14</v>
      </c>
      <c r="C288" s="13">
        <v>1</v>
      </c>
      <c r="D288" s="14" t="s">
        <v>15</v>
      </c>
      <c r="E288" s="12" t="s">
        <v>49</v>
      </c>
      <c r="F288" s="12" t="s">
        <v>42</v>
      </c>
      <c r="G288" s="15">
        <v>2</v>
      </c>
      <c r="H288" s="21">
        <v>12000000</v>
      </c>
      <c r="I288" s="12">
        <v>1</v>
      </c>
      <c r="J288" s="16">
        <v>1.3888888888888889E-3</v>
      </c>
      <c r="K288" s="12" t="s">
        <v>18</v>
      </c>
      <c r="L288" s="12" t="s">
        <v>29</v>
      </c>
      <c r="M288" s="12" t="s">
        <v>33</v>
      </c>
      <c r="N288" s="12" t="s">
        <v>76</v>
      </c>
      <c r="O288" s="12" t="s">
        <v>71</v>
      </c>
    </row>
    <row r="289" spans="1:15" ht="21" customHeight="1" x14ac:dyDescent="0.3">
      <c r="A289" s="17"/>
      <c r="B289" s="2" t="s">
        <v>14</v>
      </c>
      <c r="C289" s="3">
        <v>13</v>
      </c>
      <c r="D289" s="4" t="s">
        <v>60</v>
      </c>
      <c r="E289" s="2" t="s">
        <v>16</v>
      </c>
      <c r="F289" s="2" t="s">
        <v>23</v>
      </c>
      <c r="G289" s="5">
        <v>5</v>
      </c>
      <c r="H289" s="20">
        <v>21000000</v>
      </c>
      <c r="I289" s="2">
        <v>4</v>
      </c>
      <c r="J289" s="6">
        <v>1.3888888888888889E-3</v>
      </c>
      <c r="K289" s="2" t="s">
        <v>18</v>
      </c>
      <c r="L289" s="2" t="s">
        <v>50</v>
      </c>
      <c r="M289" s="2" t="s">
        <v>40</v>
      </c>
      <c r="N289" s="2" t="s">
        <v>66</v>
      </c>
      <c r="O289" s="2" t="s">
        <v>36</v>
      </c>
    </row>
    <row r="290" spans="1:15" ht="21" customHeight="1" x14ac:dyDescent="0.3">
      <c r="A290" s="17"/>
      <c r="B290" s="12" t="s">
        <v>14</v>
      </c>
      <c r="C290" s="13">
        <v>28</v>
      </c>
      <c r="D290" s="14" t="s">
        <v>22</v>
      </c>
      <c r="E290" s="12" t="s">
        <v>38</v>
      </c>
      <c r="F290" s="12" t="s">
        <v>42</v>
      </c>
      <c r="G290" s="15">
        <v>4</v>
      </c>
      <c r="H290" s="21">
        <v>11000000</v>
      </c>
      <c r="I290" s="12">
        <v>2</v>
      </c>
      <c r="J290" s="16">
        <v>1.3888888888888889E-3</v>
      </c>
      <c r="K290" s="12" t="s">
        <v>61</v>
      </c>
      <c r="L290" s="12" t="s">
        <v>19</v>
      </c>
      <c r="M290" s="12" t="s">
        <v>40</v>
      </c>
      <c r="N290" s="12" t="s">
        <v>77</v>
      </c>
      <c r="O290" s="12" t="s">
        <v>54</v>
      </c>
    </row>
    <row r="291" spans="1:15" ht="21" customHeight="1" x14ac:dyDescent="0.3">
      <c r="A291" s="17"/>
      <c r="B291" s="2" t="s">
        <v>70</v>
      </c>
      <c r="C291" s="3">
        <v>12</v>
      </c>
      <c r="D291" s="4" t="s">
        <v>55</v>
      </c>
      <c r="E291" s="2" t="s">
        <v>16</v>
      </c>
      <c r="F291" s="2" t="s">
        <v>23</v>
      </c>
      <c r="G291" s="5">
        <v>0</v>
      </c>
      <c r="H291" s="20">
        <v>0</v>
      </c>
      <c r="I291" s="2">
        <v>1</v>
      </c>
      <c r="J291" s="6">
        <v>1.3888888888888889E-3</v>
      </c>
      <c r="K291" s="2"/>
      <c r="L291" s="2"/>
      <c r="M291" s="2" t="s">
        <v>33</v>
      </c>
      <c r="N291" s="2" t="s">
        <v>76</v>
      </c>
      <c r="O291" s="2" t="s">
        <v>75</v>
      </c>
    </row>
    <row r="292" spans="1:15" ht="21" customHeight="1" x14ac:dyDescent="0.3">
      <c r="A292" s="17"/>
      <c r="B292" s="12" t="s">
        <v>70</v>
      </c>
      <c r="C292" s="13">
        <v>30</v>
      </c>
      <c r="D292" s="14" t="s">
        <v>69</v>
      </c>
      <c r="E292" s="12" t="s">
        <v>28</v>
      </c>
      <c r="F292" s="12" t="s">
        <v>45</v>
      </c>
      <c r="G292" s="15">
        <v>0</v>
      </c>
      <c r="H292" s="21">
        <v>0</v>
      </c>
      <c r="I292" s="12">
        <v>5</v>
      </c>
      <c r="J292" s="16">
        <v>1.3888888888888889E-3</v>
      </c>
      <c r="K292" s="12"/>
      <c r="L292" s="12"/>
      <c r="M292" s="12" t="s">
        <v>30</v>
      </c>
      <c r="N292" s="12" t="s">
        <v>78</v>
      </c>
      <c r="O292" s="12" t="s">
        <v>66</v>
      </c>
    </row>
    <row r="293" spans="1:15" ht="21" customHeight="1" x14ac:dyDescent="0.3">
      <c r="A293" s="17"/>
      <c r="B293" s="2" t="s">
        <v>70</v>
      </c>
      <c r="C293" s="3">
        <v>30</v>
      </c>
      <c r="D293" s="4" t="s">
        <v>69</v>
      </c>
      <c r="E293" s="2" t="s">
        <v>28</v>
      </c>
      <c r="F293" s="2" t="s">
        <v>42</v>
      </c>
      <c r="G293" s="5">
        <v>0</v>
      </c>
      <c r="H293" s="20">
        <v>0</v>
      </c>
      <c r="I293" s="2">
        <v>3</v>
      </c>
      <c r="J293" s="6">
        <v>1.3888888888888889E-3</v>
      </c>
      <c r="K293" s="2"/>
      <c r="L293" s="2"/>
      <c r="M293" s="2" t="s">
        <v>51</v>
      </c>
      <c r="N293" s="2" t="s">
        <v>78</v>
      </c>
      <c r="O293" s="2" t="s">
        <v>53</v>
      </c>
    </row>
    <row r="294" spans="1:15" ht="21" customHeight="1" x14ac:dyDescent="0.3">
      <c r="A294" s="17"/>
      <c r="B294" s="12" t="s">
        <v>70</v>
      </c>
      <c r="C294" s="13">
        <v>12</v>
      </c>
      <c r="D294" s="14" t="s">
        <v>55</v>
      </c>
      <c r="E294" s="12" t="s">
        <v>16</v>
      </c>
      <c r="F294" s="12" t="s">
        <v>23</v>
      </c>
      <c r="G294" s="15">
        <v>0</v>
      </c>
      <c r="H294" s="21">
        <v>0</v>
      </c>
      <c r="I294" s="12">
        <v>1</v>
      </c>
      <c r="J294" s="16">
        <v>1.3888888888888889E-3</v>
      </c>
      <c r="K294" s="12"/>
      <c r="L294" s="12"/>
      <c r="M294" s="12" t="s">
        <v>33</v>
      </c>
      <c r="N294" s="12" t="s">
        <v>76</v>
      </c>
      <c r="O294" s="12" t="s">
        <v>75</v>
      </c>
    </row>
    <row r="295" spans="1:15" ht="21" customHeight="1" x14ac:dyDescent="0.3">
      <c r="A295" s="17"/>
      <c r="B295" s="2" t="s">
        <v>14</v>
      </c>
      <c r="C295" s="3">
        <v>11</v>
      </c>
      <c r="D295" s="4" t="s">
        <v>57</v>
      </c>
      <c r="E295" s="2" t="s">
        <v>38</v>
      </c>
      <c r="F295" s="2" t="s">
        <v>42</v>
      </c>
      <c r="G295" s="5">
        <v>2</v>
      </c>
      <c r="H295" s="20">
        <v>38000000</v>
      </c>
      <c r="I295" s="2">
        <v>5</v>
      </c>
      <c r="J295" s="6">
        <v>1.3888888888888889E-3</v>
      </c>
      <c r="K295" s="2" t="s">
        <v>46</v>
      </c>
      <c r="L295" s="2" t="s">
        <v>50</v>
      </c>
      <c r="M295" s="2" t="s">
        <v>33</v>
      </c>
      <c r="N295" s="2" t="s">
        <v>76</v>
      </c>
      <c r="O295" s="2" t="s">
        <v>26</v>
      </c>
    </row>
    <row r="296" spans="1:15" ht="21" customHeight="1" x14ac:dyDescent="0.3">
      <c r="A296" s="17"/>
      <c r="B296" s="12" t="s">
        <v>14</v>
      </c>
      <c r="C296" s="13">
        <v>15</v>
      </c>
      <c r="D296" s="14" t="s">
        <v>22</v>
      </c>
      <c r="E296" s="12" t="s">
        <v>16</v>
      </c>
      <c r="F296" s="12" t="s">
        <v>23</v>
      </c>
      <c r="G296" s="15">
        <v>3</v>
      </c>
      <c r="H296" s="21">
        <v>15000000</v>
      </c>
      <c r="I296" s="12">
        <v>2</v>
      </c>
      <c r="J296" s="16">
        <v>1.3888888888888889E-3</v>
      </c>
      <c r="K296" s="12" t="s">
        <v>18</v>
      </c>
      <c r="L296" s="12" t="s">
        <v>56</v>
      </c>
      <c r="M296" s="12" t="s">
        <v>43</v>
      </c>
      <c r="N296" s="12" t="s">
        <v>78</v>
      </c>
      <c r="O296" s="12" t="s">
        <v>53</v>
      </c>
    </row>
    <row r="297" spans="1:15" ht="21" customHeight="1" x14ac:dyDescent="0.3">
      <c r="A297" s="17"/>
      <c r="B297" s="2" t="s">
        <v>14</v>
      </c>
      <c r="C297" s="3">
        <v>30</v>
      </c>
      <c r="D297" s="4" t="s">
        <v>27</v>
      </c>
      <c r="E297" s="2" t="s">
        <v>38</v>
      </c>
      <c r="F297" s="2" t="s">
        <v>23</v>
      </c>
      <c r="G297" s="5">
        <v>1</v>
      </c>
      <c r="H297" s="20">
        <v>19000000</v>
      </c>
      <c r="I297" s="2">
        <v>4</v>
      </c>
      <c r="J297" s="6">
        <v>1.3888888888888889E-3</v>
      </c>
      <c r="K297" s="2" t="s">
        <v>46</v>
      </c>
      <c r="L297" s="2" t="s">
        <v>29</v>
      </c>
      <c r="M297" s="2" t="s">
        <v>51</v>
      </c>
      <c r="N297" s="2" t="s">
        <v>78</v>
      </c>
      <c r="O297" s="2" t="s">
        <v>21</v>
      </c>
    </row>
    <row r="298" spans="1:15" ht="21" customHeight="1" x14ac:dyDescent="0.3">
      <c r="A298" s="17"/>
      <c r="B298" s="12" t="s">
        <v>14</v>
      </c>
      <c r="C298" s="13">
        <v>23</v>
      </c>
      <c r="D298" s="14" t="s">
        <v>27</v>
      </c>
      <c r="E298" s="12" t="s">
        <v>16</v>
      </c>
      <c r="F298" s="12" t="s">
        <v>23</v>
      </c>
      <c r="G298" s="15">
        <v>2</v>
      </c>
      <c r="H298" s="21">
        <v>12000000</v>
      </c>
      <c r="I298" s="12">
        <v>2</v>
      </c>
      <c r="J298" s="16">
        <v>1.3888888888888889E-3</v>
      </c>
      <c r="K298" s="12" t="s">
        <v>18</v>
      </c>
      <c r="L298" s="12" t="s">
        <v>39</v>
      </c>
      <c r="M298" s="12" t="s">
        <v>25</v>
      </c>
      <c r="N298" s="12" t="s">
        <v>77</v>
      </c>
      <c r="O298" s="12" t="s">
        <v>54</v>
      </c>
    </row>
    <row r="299" spans="1:15" ht="21" customHeight="1" x14ac:dyDescent="0.3">
      <c r="A299" s="17"/>
      <c r="B299" s="2" t="s">
        <v>14</v>
      </c>
      <c r="C299" s="3">
        <v>30</v>
      </c>
      <c r="D299" s="4" t="s">
        <v>27</v>
      </c>
      <c r="E299" s="2" t="s">
        <v>38</v>
      </c>
      <c r="F299" s="2" t="s">
        <v>42</v>
      </c>
      <c r="G299" s="5">
        <v>4</v>
      </c>
      <c r="H299" s="20">
        <v>20000000</v>
      </c>
      <c r="I299" s="2">
        <v>4</v>
      </c>
      <c r="J299" s="6">
        <v>1.3888888888888889E-3</v>
      </c>
      <c r="K299" s="2" t="s">
        <v>18</v>
      </c>
      <c r="L299" s="2" t="s">
        <v>19</v>
      </c>
      <c r="M299" s="2" t="s">
        <v>30</v>
      </c>
      <c r="N299" s="2" t="s">
        <v>78</v>
      </c>
      <c r="O299" s="2" t="s">
        <v>41</v>
      </c>
    </row>
    <row r="300" spans="1:15" ht="21" customHeight="1" x14ac:dyDescent="0.3">
      <c r="A300" s="17"/>
      <c r="B300" s="12" t="s">
        <v>14</v>
      </c>
      <c r="C300" s="13">
        <v>11</v>
      </c>
      <c r="D300" s="14" t="s">
        <v>27</v>
      </c>
      <c r="E300" s="12" t="s">
        <v>38</v>
      </c>
      <c r="F300" s="12" t="s">
        <v>23</v>
      </c>
      <c r="G300" s="15">
        <v>3</v>
      </c>
      <c r="H300" s="21">
        <v>15000000</v>
      </c>
      <c r="I300" s="12">
        <v>3</v>
      </c>
      <c r="J300" s="16">
        <v>1.3888888888888889E-3</v>
      </c>
      <c r="K300" s="12" t="s">
        <v>18</v>
      </c>
      <c r="L300" s="12" t="s">
        <v>29</v>
      </c>
      <c r="M300" s="12" t="s">
        <v>40</v>
      </c>
      <c r="N300" s="12" t="s">
        <v>76</v>
      </c>
      <c r="O300" s="12" t="s">
        <v>52</v>
      </c>
    </row>
    <row r="301" spans="1:15" ht="21" customHeight="1" x14ac:dyDescent="0.3">
      <c r="A301" s="17"/>
      <c r="B301" s="2" t="s">
        <v>14</v>
      </c>
      <c r="C301" s="3">
        <v>4</v>
      </c>
      <c r="D301" s="4" t="s">
        <v>27</v>
      </c>
      <c r="E301" s="2" t="s">
        <v>16</v>
      </c>
      <c r="F301" s="2" t="s">
        <v>17</v>
      </c>
      <c r="G301" s="5">
        <v>3</v>
      </c>
      <c r="H301" s="20">
        <v>11000000</v>
      </c>
      <c r="I301" s="2">
        <v>2</v>
      </c>
      <c r="J301" s="6">
        <v>1.3888888888888889E-3</v>
      </c>
      <c r="K301" s="2" t="s">
        <v>18</v>
      </c>
      <c r="L301" s="2" t="s">
        <v>29</v>
      </c>
      <c r="M301" s="2" t="s">
        <v>48</v>
      </c>
      <c r="N301" s="2" t="s">
        <v>66</v>
      </c>
      <c r="O301" s="2" t="s">
        <v>67</v>
      </c>
    </row>
    <row r="302" spans="1:15" ht="21" customHeight="1" x14ac:dyDescent="0.3">
      <c r="A302" s="17"/>
      <c r="B302" s="12" t="s">
        <v>14</v>
      </c>
      <c r="C302" s="13">
        <v>12</v>
      </c>
      <c r="D302" s="14" t="s">
        <v>27</v>
      </c>
      <c r="E302" s="12" t="s">
        <v>16</v>
      </c>
      <c r="F302" s="12" t="s">
        <v>23</v>
      </c>
      <c r="G302" s="15">
        <v>2</v>
      </c>
      <c r="H302" s="21">
        <v>12000000</v>
      </c>
      <c r="I302" s="12">
        <v>1</v>
      </c>
      <c r="J302" s="16">
        <v>1.3888888888888889E-3</v>
      </c>
      <c r="K302" s="12" t="s">
        <v>18</v>
      </c>
      <c r="L302" s="12" t="s">
        <v>56</v>
      </c>
      <c r="M302" s="12" t="s">
        <v>48</v>
      </c>
      <c r="N302" s="12" t="s">
        <v>76</v>
      </c>
      <c r="O302" s="12" t="s">
        <v>52</v>
      </c>
    </row>
    <row r="303" spans="1:15" ht="21" customHeight="1" x14ac:dyDescent="0.3">
      <c r="A303" s="17"/>
      <c r="B303" s="2" t="s">
        <v>14</v>
      </c>
      <c r="C303" s="3">
        <v>9</v>
      </c>
      <c r="D303" s="4" t="s">
        <v>27</v>
      </c>
      <c r="E303" s="2" t="s">
        <v>38</v>
      </c>
      <c r="F303" s="2" t="s">
        <v>68</v>
      </c>
      <c r="G303" s="5">
        <v>5</v>
      </c>
      <c r="H303" s="20">
        <v>21000000</v>
      </c>
      <c r="I303" s="2">
        <v>1</v>
      </c>
      <c r="J303" s="6">
        <v>1.3888888888888889E-3</v>
      </c>
      <c r="K303" s="2" t="s">
        <v>18</v>
      </c>
      <c r="L303" s="2" t="s">
        <v>35</v>
      </c>
      <c r="M303" s="2" t="s">
        <v>51</v>
      </c>
      <c r="N303" s="2" t="s">
        <v>76</v>
      </c>
      <c r="O303" s="2" t="s">
        <v>52</v>
      </c>
    </row>
    <row r="304" spans="1:15" ht="21" customHeight="1" x14ac:dyDescent="0.3">
      <c r="A304" s="17"/>
      <c r="B304" s="12" t="s">
        <v>14</v>
      </c>
      <c r="C304" s="13">
        <v>26</v>
      </c>
      <c r="D304" s="14" t="s">
        <v>37</v>
      </c>
      <c r="E304" s="12" t="s">
        <v>32</v>
      </c>
      <c r="F304" s="12" t="s">
        <v>42</v>
      </c>
      <c r="G304" s="15">
        <v>2</v>
      </c>
      <c r="H304" s="21">
        <v>38000000</v>
      </c>
      <c r="I304" s="12">
        <v>3</v>
      </c>
      <c r="J304" s="16">
        <v>1.3888888888888889E-3</v>
      </c>
      <c r="K304" s="12" t="s">
        <v>46</v>
      </c>
      <c r="L304" s="12" t="s">
        <v>39</v>
      </c>
      <c r="M304" s="12" t="s">
        <v>48</v>
      </c>
      <c r="N304" s="12" t="s">
        <v>78</v>
      </c>
      <c r="O304" s="12" t="s">
        <v>53</v>
      </c>
    </row>
    <row r="305" spans="1:15" ht="21" customHeight="1" x14ac:dyDescent="0.3">
      <c r="A305" s="17"/>
      <c r="B305" s="2" t="s">
        <v>14</v>
      </c>
      <c r="C305" s="3">
        <v>18</v>
      </c>
      <c r="D305" s="4" t="s">
        <v>37</v>
      </c>
      <c r="E305" s="2" t="s">
        <v>49</v>
      </c>
      <c r="F305" s="2" t="s">
        <v>42</v>
      </c>
      <c r="G305" s="5">
        <v>4</v>
      </c>
      <c r="H305" s="20">
        <v>11000000</v>
      </c>
      <c r="I305" s="2">
        <v>2</v>
      </c>
      <c r="J305" s="6">
        <v>1.3888888888888889E-3</v>
      </c>
      <c r="K305" s="2" t="s">
        <v>61</v>
      </c>
      <c r="L305" s="2" t="s">
        <v>64</v>
      </c>
      <c r="M305" s="2" t="s">
        <v>20</v>
      </c>
      <c r="N305" s="2" t="s">
        <v>66</v>
      </c>
      <c r="O305" s="2" t="s">
        <v>36</v>
      </c>
    </row>
    <row r="306" spans="1:15" ht="21" customHeight="1" x14ac:dyDescent="0.3">
      <c r="A306" s="17"/>
      <c r="B306" s="12" t="s">
        <v>14</v>
      </c>
      <c r="C306" s="13">
        <v>29</v>
      </c>
      <c r="D306" s="14" t="s">
        <v>37</v>
      </c>
      <c r="E306" s="12" t="s">
        <v>49</v>
      </c>
      <c r="F306" s="12" t="s">
        <v>23</v>
      </c>
      <c r="G306" s="15">
        <v>3</v>
      </c>
      <c r="H306" s="21">
        <v>15000000</v>
      </c>
      <c r="I306" s="12">
        <v>2</v>
      </c>
      <c r="J306" s="16">
        <v>1.3888888888888889E-3</v>
      </c>
      <c r="K306" s="12" t="s">
        <v>18</v>
      </c>
      <c r="L306" s="12" t="s">
        <v>19</v>
      </c>
      <c r="M306" s="12" t="s">
        <v>33</v>
      </c>
      <c r="N306" s="12" t="s">
        <v>77</v>
      </c>
      <c r="O306" s="12" t="s">
        <v>34</v>
      </c>
    </row>
    <row r="307" spans="1:15" ht="21" customHeight="1" x14ac:dyDescent="0.3">
      <c r="A307" s="17"/>
      <c r="B307" s="2" t="s">
        <v>14</v>
      </c>
      <c r="C307" s="3">
        <v>27</v>
      </c>
      <c r="D307" s="4" t="s">
        <v>37</v>
      </c>
      <c r="E307" s="2" t="s">
        <v>49</v>
      </c>
      <c r="F307" s="2" t="s">
        <v>42</v>
      </c>
      <c r="G307" s="5">
        <v>5</v>
      </c>
      <c r="H307" s="20">
        <v>25000000</v>
      </c>
      <c r="I307" s="2">
        <v>4</v>
      </c>
      <c r="J307" s="6">
        <v>1.3888888888888889E-3</v>
      </c>
      <c r="K307" s="2" t="s">
        <v>18</v>
      </c>
      <c r="L307" s="2" t="s">
        <v>56</v>
      </c>
      <c r="M307" s="2" t="s">
        <v>43</v>
      </c>
      <c r="N307" s="2" t="s">
        <v>76</v>
      </c>
      <c r="O307" s="2" t="s">
        <v>31</v>
      </c>
    </row>
    <row r="308" spans="1:15" ht="21" customHeight="1" x14ac:dyDescent="0.3">
      <c r="A308" s="17"/>
      <c r="B308" s="12" t="s">
        <v>14</v>
      </c>
      <c r="C308" s="13">
        <v>15</v>
      </c>
      <c r="D308" s="14" t="s">
        <v>44</v>
      </c>
      <c r="E308" s="12" t="s">
        <v>38</v>
      </c>
      <c r="F308" s="12" t="s">
        <v>17</v>
      </c>
      <c r="G308" s="15">
        <v>4</v>
      </c>
      <c r="H308" s="21">
        <v>15000000</v>
      </c>
      <c r="I308" s="12">
        <v>1</v>
      </c>
      <c r="J308" s="16">
        <v>1.3888888888888889E-3</v>
      </c>
      <c r="K308" s="12" t="s">
        <v>18</v>
      </c>
      <c r="L308" s="12" t="s">
        <v>56</v>
      </c>
      <c r="M308" s="12" t="s">
        <v>30</v>
      </c>
      <c r="N308" s="12" t="s">
        <v>76</v>
      </c>
      <c r="O308" s="12" t="s">
        <v>52</v>
      </c>
    </row>
    <row r="309" spans="1:15" ht="21" customHeight="1" x14ac:dyDescent="0.3">
      <c r="A309" s="17"/>
      <c r="B309" s="2" t="s">
        <v>14</v>
      </c>
      <c r="C309" s="3">
        <v>16</v>
      </c>
      <c r="D309" s="4" t="s">
        <v>44</v>
      </c>
      <c r="E309" s="2" t="s">
        <v>73</v>
      </c>
      <c r="F309" s="2" t="s">
        <v>23</v>
      </c>
      <c r="G309" s="5">
        <v>2</v>
      </c>
      <c r="H309" s="20">
        <v>12000000</v>
      </c>
      <c r="I309" s="2">
        <v>3</v>
      </c>
      <c r="J309" s="6">
        <v>1.3888888888888889E-3</v>
      </c>
      <c r="K309" s="2" t="s">
        <v>18</v>
      </c>
      <c r="L309" s="2" t="s">
        <v>50</v>
      </c>
      <c r="M309" s="2" t="s">
        <v>43</v>
      </c>
      <c r="N309" s="2" t="s">
        <v>66</v>
      </c>
      <c r="O309" s="2" t="s">
        <v>36</v>
      </c>
    </row>
    <row r="310" spans="1:15" ht="21" customHeight="1" x14ac:dyDescent="0.3">
      <c r="A310" s="17"/>
      <c r="B310" s="12" t="s">
        <v>14</v>
      </c>
      <c r="C310" s="13">
        <v>27</v>
      </c>
      <c r="D310" s="14" t="s">
        <v>44</v>
      </c>
      <c r="E310" s="12" t="s">
        <v>49</v>
      </c>
      <c r="F310" s="12" t="s">
        <v>17</v>
      </c>
      <c r="G310" s="15">
        <v>5</v>
      </c>
      <c r="H310" s="21">
        <v>20000000</v>
      </c>
      <c r="I310" s="12">
        <v>1</v>
      </c>
      <c r="J310" s="16">
        <v>1.3888888888888889E-3</v>
      </c>
      <c r="K310" s="12" t="s">
        <v>18</v>
      </c>
      <c r="L310" s="12" t="s">
        <v>19</v>
      </c>
      <c r="M310" s="12" t="s">
        <v>30</v>
      </c>
      <c r="N310" s="12" t="s">
        <v>78</v>
      </c>
      <c r="O310" s="12" t="s">
        <v>63</v>
      </c>
    </row>
    <row r="311" spans="1:15" ht="21" customHeight="1" x14ac:dyDescent="0.3">
      <c r="A311" s="17"/>
      <c r="B311" s="2" t="s">
        <v>14</v>
      </c>
      <c r="C311" s="3">
        <v>3</v>
      </c>
      <c r="D311" s="4" t="s">
        <v>44</v>
      </c>
      <c r="E311" s="2" t="s">
        <v>32</v>
      </c>
      <c r="F311" s="2" t="s">
        <v>23</v>
      </c>
      <c r="G311" s="5">
        <v>2</v>
      </c>
      <c r="H311" s="20">
        <v>12000000</v>
      </c>
      <c r="I311" s="2">
        <v>4</v>
      </c>
      <c r="J311" s="6">
        <v>1.3888888888888889E-3</v>
      </c>
      <c r="K311" s="2" t="s">
        <v>18</v>
      </c>
      <c r="L311" s="2" t="s">
        <v>19</v>
      </c>
      <c r="M311" s="2" t="s">
        <v>43</v>
      </c>
      <c r="N311" s="2" t="s">
        <v>66</v>
      </c>
      <c r="O311" s="2" t="s">
        <v>67</v>
      </c>
    </row>
    <row r="312" spans="1:15" ht="21" customHeight="1" x14ac:dyDescent="0.3">
      <c r="A312" s="17"/>
      <c r="B312" s="12" t="s">
        <v>14</v>
      </c>
      <c r="C312" s="13">
        <v>26</v>
      </c>
      <c r="D312" s="14" t="s">
        <v>44</v>
      </c>
      <c r="E312" s="12" t="s">
        <v>38</v>
      </c>
      <c r="F312" s="12" t="s">
        <v>23</v>
      </c>
      <c r="G312" s="15">
        <v>3</v>
      </c>
      <c r="H312" s="21">
        <v>12000000</v>
      </c>
      <c r="I312" s="12">
        <v>1</v>
      </c>
      <c r="J312" s="16">
        <v>1.3888888888888889E-3</v>
      </c>
      <c r="K312" s="12" t="s">
        <v>18</v>
      </c>
      <c r="L312" s="12" t="s">
        <v>19</v>
      </c>
      <c r="M312" s="12" t="s">
        <v>51</v>
      </c>
      <c r="N312" s="12" t="s">
        <v>77</v>
      </c>
      <c r="O312" s="12" t="s">
        <v>65</v>
      </c>
    </row>
    <row r="313" spans="1:15" ht="21" customHeight="1" x14ac:dyDescent="0.3">
      <c r="A313" s="17"/>
      <c r="B313" s="2" t="s">
        <v>14</v>
      </c>
      <c r="C313" s="3">
        <v>22</v>
      </c>
      <c r="D313" s="4" t="s">
        <v>69</v>
      </c>
      <c r="E313" s="2" t="s">
        <v>16</v>
      </c>
      <c r="F313" s="2" t="s">
        <v>42</v>
      </c>
      <c r="G313" s="5">
        <v>2</v>
      </c>
      <c r="H313" s="20">
        <v>12000000</v>
      </c>
      <c r="I313" s="2">
        <v>4</v>
      </c>
      <c r="J313" s="6">
        <v>1.3888888888888889E-3</v>
      </c>
      <c r="K313" s="2" t="s">
        <v>18</v>
      </c>
      <c r="L313" s="2" t="s">
        <v>64</v>
      </c>
      <c r="M313" s="2" t="s">
        <v>33</v>
      </c>
      <c r="N313" s="2" t="s">
        <v>78</v>
      </c>
      <c r="O313" s="2" t="s">
        <v>53</v>
      </c>
    </row>
    <row r="314" spans="1:15" ht="21" customHeight="1" x14ac:dyDescent="0.3">
      <c r="A314" s="17"/>
      <c r="B314" s="12" t="s">
        <v>14</v>
      </c>
      <c r="C314" s="13">
        <v>24</v>
      </c>
      <c r="D314" s="14" t="s">
        <v>69</v>
      </c>
      <c r="E314" s="12" t="s">
        <v>16</v>
      </c>
      <c r="F314" s="12" t="s">
        <v>42</v>
      </c>
      <c r="G314" s="15">
        <v>1</v>
      </c>
      <c r="H314" s="21">
        <v>7000000</v>
      </c>
      <c r="I314" s="12">
        <v>2</v>
      </c>
      <c r="J314" s="16">
        <v>1.3888888888888889E-3</v>
      </c>
      <c r="K314" s="12" t="s">
        <v>18</v>
      </c>
      <c r="L314" s="12" t="s">
        <v>56</v>
      </c>
      <c r="M314" s="12" t="s">
        <v>33</v>
      </c>
      <c r="N314" s="12" t="s">
        <v>77</v>
      </c>
      <c r="O314" s="12" t="s">
        <v>65</v>
      </c>
    </row>
    <row r="315" spans="1:15" ht="21" customHeight="1" x14ac:dyDescent="0.3">
      <c r="A315" s="17"/>
      <c r="B315" s="2" t="s">
        <v>14</v>
      </c>
      <c r="C315" s="3">
        <v>24</v>
      </c>
      <c r="D315" s="4" t="s">
        <v>69</v>
      </c>
      <c r="E315" s="2" t="s">
        <v>16</v>
      </c>
      <c r="F315" s="2" t="s">
        <v>68</v>
      </c>
      <c r="G315" s="5">
        <v>5</v>
      </c>
      <c r="H315" s="20">
        <v>25000000</v>
      </c>
      <c r="I315" s="2">
        <v>2</v>
      </c>
      <c r="J315" s="6">
        <v>1.3888888888888889E-3</v>
      </c>
      <c r="K315" s="2" t="s">
        <v>18</v>
      </c>
      <c r="L315" s="2" t="s">
        <v>19</v>
      </c>
      <c r="M315" s="2" t="s">
        <v>43</v>
      </c>
      <c r="N315" s="2" t="s">
        <v>66</v>
      </c>
      <c r="O315" s="2" t="s">
        <v>36</v>
      </c>
    </row>
    <row r="316" spans="1:15" ht="21" customHeight="1" x14ac:dyDescent="0.3">
      <c r="A316" s="17"/>
      <c r="B316" s="12" t="s">
        <v>14</v>
      </c>
      <c r="C316" s="13">
        <v>11</v>
      </c>
      <c r="D316" s="14" t="s">
        <v>57</v>
      </c>
      <c r="E316" s="12" t="s">
        <v>38</v>
      </c>
      <c r="F316" s="12" t="s">
        <v>42</v>
      </c>
      <c r="G316" s="15">
        <v>2</v>
      </c>
      <c r="H316" s="21">
        <v>38000000</v>
      </c>
      <c r="I316" s="12">
        <v>5</v>
      </c>
      <c r="J316" s="16">
        <v>1.3888888888888889E-3</v>
      </c>
      <c r="K316" s="12" t="s">
        <v>46</v>
      </c>
      <c r="L316" s="12" t="s">
        <v>50</v>
      </c>
      <c r="M316" s="12" t="s">
        <v>33</v>
      </c>
      <c r="N316" s="12" t="s">
        <v>76</v>
      </c>
      <c r="O316" s="12" t="s">
        <v>26</v>
      </c>
    </row>
    <row r="317" spans="1:15" ht="21" customHeight="1" x14ac:dyDescent="0.3">
      <c r="A317" s="17"/>
      <c r="B317" s="2" t="s">
        <v>14</v>
      </c>
      <c r="C317" s="3">
        <v>15</v>
      </c>
      <c r="D317" s="4" t="s">
        <v>22</v>
      </c>
      <c r="E317" s="2" t="s">
        <v>16</v>
      </c>
      <c r="F317" s="2" t="s">
        <v>23</v>
      </c>
      <c r="G317" s="5">
        <v>3</v>
      </c>
      <c r="H317" s="20">
        <v>15000000</v>
      </c>
      <c r="I317" s="2">
        <v>2</v>
      </c>
      <c r="J317" s="6">
        <v>1.3888888888888889E-3</v>
      </c>
      <c r="K317" s="2" t="s">
        <v>18</v>
      </c>
      <c r="L317" s="2" t="s">
        <v>56</v>
      </c>
      <c r="M317" s="2" t="s">
        <v>43</v>
      </c>
      <c r="N317" s="2" t="s">
        <v>78</v>
      </c>
      <c r="O317" s="2" t="s">
        <v>53</v>
      </c>
    </row>
    <row r="318" spans="1:15" ht="21" customHeight="1" x14ac:dyDescent="0.3">
      <c r="A318" s="17"/>
      <c r="B318" s="12" t="s">
        <v>70</v>
      </c>
      <c r="C318" s="13">
        <v>17</v>
      </c>
      <c r="D318" s="14" t="s">
        <v>58</v>
      </c>
      <c r="E318" s="12" t="s">
        <v>28</v>
      </c>
      <c r="F318" s="12" t="s">
        <v>23</v>
      </c>
      <c r="G318" s="15">
        <v>0</v>
      </c>
      <c r="H318" s="21">
        <v>0</v>
      </c>
      <c r="I318" s="12">
        <v>2</v>
      </c>
      <c r="J318" s="16">
        <v>1.3888888888888889E-3</v>
      </c>
      <c r="K318" s="12"/>
      <c r="L318" s="12"/>
      <c r="M318" s="12" t="s">
        <v>30</v>
      </c>
      <c r="N318" s="12" t="s">
        <v>76</v>
      </c>
      <c r="O318" s="12" t="s">
        <v>31</v>
      </c>
    </row>
    <row r="319" spans="1:15" ht="21" customHeight="1" x14ac:dyDescent="0.3">
      <c r="A319" s="17"/>
      <c r="B319" s="2" t="s">
        <v>70</v>
      </c>
      <c r="C319" s="3">
        <v>6</v>
      </c>
      <c r="D319" s="4" t="s">
        <v>22</v>
      </c>
      <c r="E319" s="2" t="s">
        <v>16</v>
      </c>
      <c r="F319" s="2" t="s">
        <v>17</v>
      </c>
      <c r="G319" s="5">
        <v>0</v>
      </c>
      <c r="H319" s="20">
        <v>0</v>
      </c>
      <c r="I319" s="2">
        <v>1</v>
      </c>
      <c r="J319" s="6">
        <v>1.3888888888888889E-3</v>
      </c>
      <c r="K319" s="2"/>
      <c r="L319" s="2"/>
      <c r="M319" s="2" t="s">
        <v>43</v>
      </c>
      <c r="N319" s="2" t="s">
        <v>77</v>
      </c>
      <c r="O319" s="2" t="s">
        <v>65</v>
      </c>
    </row>
    <row r="320" spans="1:15" ht="21" customHeight="1" x14ac:dyDescent="0.3">
      <c r="A320" s="17"/>
      <c r="B320" s="12" t="s">
        <v>70</v>
      </c>
      <c r="C320" s="13">
        <v>18</v>
      </c>
      <c r="D320" s="14" t="s">
        <v>27</v>
      </c>
      <c r="E320" s="12" t="s">
        <v>16</v>
      </c>
      <c r="F320" s="12" t="s">
        <v>23</v>
      </c>
      <c r="G320" s="15">
        <v>0</v>
      </c>
      <c r="H320" s="21">
        <v>0</v>
      </c>
      <c r="I320" s="12">
        <v>1</v>
      </c>
      <c r="J320" s="16">
        <v>1.3888888888888889E-3</v>
      </c>
      <c r="K320" s="12"/>
      <c r="L320" s="12"/>
      <c r="M320" s="12" t="s">
        <v>51</v>
      </c>
      <c r="N320" s="12" t="s">
        <v>77</v>
      </c>
      <c r="O320" s="12" t="s">
        <v>54</v>
      </c>
    </row>
    <row r="321" spans="1:15" ht="21" customHeight="1" x14ac:dyDescent="0.3">
      <c r="A321" s="17"/>
      <c r="B321" s="2" t="s">
        <v>70</v>
      </c>
      <c r="C321" s="3">
        <v>11</v>
      </c>
      <c r="D321" s="4" t="s">
        <v>44</v>
      </c>
      <c r="E321" s="2" t="s">
        <v>73</v>
      </c>
      <c r="F321" s="2" t="s">
        <v>42</v>
      </c>
      <c r="G321" s="5">
        <v>0</v>
      </c>
      <c r="H321" s="20">
        <v>0</v>
      </c>
      <c r="I321" s="2">
        <v>4</v>
      </c>
      <c r="J321" s="6">
        <v>1.3888888888888889E-3</v>
      </c>
      <c r="K321" s="2"/>
      <c r="L321" s="2"/>
      <c r="M321" s="2" t="s">
        <v>48</v>
      </c>
      <c r="N321" s="2" t="s">
        <v>76</v>
      </c>
      <c r="O321" s="2" t="s">
        <v>26</v>
      </c>
    </row>
    <row r="322" spans="1:15" ht="21" customHeight="1" x14ac:dyDescent="0.3">
      <c r="A322" s="17"/>
      <c r="B322" s="12" t="s">
        <v>70</v>
      </c>
      <c r="C322" s="13">
        <v>21</v>
      </c>
      <c r="D322" s="14" t="s">
        <v>69</v>
      </c>
      <c r="E322" s="12" t="s">
        <v>49</v>
      </c>
      <c r="F322" s="12" t="s">
        <v>23</v>
      </c>
      <c r="G322" s="15">
        <v>0</v>
      </c>
      <c r="H322" s="21">
        <v>0</v>
      </c>
      <c r="I322" s="12">
        <v>1</v>
      </c>
      <c r="J322" s="16">
        <v>1.3888888888888889E-3</v>
      </c>
      <c r="K322" s="12"/>
      <c r="L322" s="12"/>
      <c r="M322" s="12" t="s">
        <v>40</v>
      </c>
      <c r="N322" s="12" t="s">
        <v>78</v>
      </c>
      <c r="O322" s="12" t="s">
        <v>63</v>
      </c>
    </row>
    <row r="323" spans="1:15" ht="21" customHeight="1" x14ac:dyDescent="0.3">
      <c r="A323" s="17"/>
      <c r="B323" s="2" t="s">
        <v>70</v>
      </c>
      <c r="C323" s="3">
        <v>17</v>
      </c>
      <c r="D323" s="4" t="s">
        <v>58</v>
      </c>
      <c r="E323" s="2" t="s">
        <v>28</v>
      </c>
      <c r="F323" s="2" t="s">
        <v>23</v>
      </c>
      <c r="G323" s="5">
        <v>0</v>
      </c>
      <c r="H323" s="20">
        <v>0</v>
      </c>
      <c r="I323" s="2">
        <v>2</v>
      </c>
      <c r="J323" s="6">
        <v>1.3888888888888889E-3</v>
      </c>
      <c r="K323" s="2"/>
      <c r="L323" s="2"/>
      <c r="M323" s="2" t="s">
        <v>30</v>
      </c>
      <c r="N323" s="2" t="s">
        <v>76</v>
      </c>
      <c r="O323" s="2" t="s">
        <v>31</v>
      </c>
    </row>
    <row r="324" spans="1:15" ht="21" customHeight="1" x14ac:dyDescent="0.3">
      <c r="A324" s="17"/>
      <c r="B324" s="12" t="s">
        <v>14</v>
      </c>
      <c r="C324" s="13">
        <v>12</v>
      </c>
      <c r="D324" s="14" t="s">
        <v>55</v>
      </c>
      <c r="E324" s="12" t="s">
        <v>28</v>
      </c>
      <c r="F324" s="12" t="s">
        <v>23</v>
      </c>
      <c r="G324" s="15">
        <v>2</v>
      </c>
      <c r="H324" s="21">
        <v>12000000</v>
      </c>
      <c r="I324" s="12">
        <v>1</v>
      </c>
      <c r="J324" s="16">
        <v>1.3888888888888889E-3</v>
      </c>
      <c r="K324" s="12" t="s">
        <v>18</v>
      </c>
      <c r="L324" s="12" t="s">
        <v>29</v>
      </c>
      <c r="M324" s="12" t="s">
        <v>33</v>
      </c>
      <c r="N324" s="12" t="s">
        <v>76</v>
      </c>
      <c r="O324" s="12" t="s">
        <v>71</v>
      </c>
    </row>
    <row r="325" spans="1:15" ht="21" customHeight="1" x14ac:dyDescent="0.3">
      <c r="A325" s="17"/>
      <c r="B325" s="2" t="s">
        <v>14</v>
      </c>
      <c r="C325" s="3">
        <v>1</v>
      </c>
      <c r="D325" s="4" t="s">
        <v>15</v>
      </c>
      <c r="E325" s="2" t="s">
        <v>32</v>
      </c>
      <c r="F325" s="2" t="s">
        <v>42</v>
      </c>
      <c r="G325" s="5">
        <v>4</v>
      </c>
      <c r="H325" s="20">
        <v>20000000</v>
      </c>
      <c r="I325" s="2">
        <v>1</v>
      </c>
      <c r="J325" s="6">
        <v>1.3888888888888889E-3</v>
      </c>
      <c r="K325" s="2" t="s">
        <v>18</v>
      </c>
      <c r="L325" s="2" t="s">
        <v>35</v>
      </c>
      <c r="M325" s="2" t="s">
        <v>33</v>
      </c>
      <c r="N325" s="2" t="s">
        <v>76</v>
      </c>
      <c r="O325" s="2" t="s">
        <v>75</v>
      </c>
    </row>
    <row r="326" spans="1:15" ht="21" customHeight="1" x14ac:dyDescent="0.3">
      <c r="A326" s="17"/>
      <c r="B326" s="12" t="s">
        <v>14</v>
      </c>
      <c r="C326" s="13">
        <v>27</v>
      </c>
      <c r="D326" s="14" t="s">
        <v>22</v>
      </c>
      <c r="E326" s="12" t="s">
        <v>16</v>
      </c>
      <c r="F326" s="12" t="s">
        <v>23</v>
      </c>
      <c r="G326" s="15">
        <v>4</v>
      </c>
      <c r="H326" s="21">
        <v>11000000</v>
      </c>
      <c r="I326" s="12">
        <v>1</v>
      </c>
      <c r="J326" s="16">
        <v>1.3888888888888889E-3</v>
      </c>
      <c r="K326" s="12" t="s">
        <v>61</v>
      </c>
      <c r="L326" s="12" t="s">
        <v>47</v>
      </c>
      <c r="M326" s="12" t="s">
        <v>25</v>
      </c>
      <c r="N326" s="12" t="s">
        <v>77</v>
      </c>
      <c r="O326" s="12" t="s">
        <v>54</v>
      </c>
    </row>
    <row r="327" spans="1:15" ht="21" customHeight="1" x14ac:dyDescent="0.3">
      <c r="A327" s="17"/>
      <c r="B327" s="2" t="s">
        <v>14</v>
      </c>
      <c r="C327" s="3">
        <v>26</v>
      </c>
      <c r="D327" s="4" t="s">
        <v>22</v>
      </c>
      <c r="E327" s="2" t="s">
        <v>73</v>
      </c>
      <c r="F327" s="2" t="s">
        <v>17</v>
      </c>
      <c r="G327" s="5">
        <v>3</v>
      </c>
      <c r="H327" s="20">
        <v>15000000</v>
      </c>
      <c r="I327" s="2">
        <v>1</v>
      </c>
      <c r="J327" s="6">
        <v>1.3888888888888889E-3</v>
      </c>
      <c r="K327" s="2" t="s">
        <v>18</v>
      </c>
      <c r="L327" s="2" t="s">
        <v>64</v>
      </c>
      <c r="M327" s="2" t="s">
        <v>43</v>
      </c>
      <c r="N327" s="2" t="s">
        <v>76</v>
      </c>
      <c r="O327" s="2" t="s">
        <v>31</v>
      </c>
    </row>
    <row r="328" spans="1:15" ht="21" customHeight="1" x14ac:dyDescent="0.3">
      <c r="A328" s="17"/>
      <c r="B328" s="12" t="s">
        <v>14</v>
      </c>
      <c r="C328" s="13">
        <v>30</v>
      </c>
      <c r="D328" s="14" t="s">
        <v>27</v>
      </c>
      <c r="E328" s="12" t="s">
        <v>32</v>
      </c>
      <c r="F328" s="12" t="s">
        <v>42</v>
      </c>
      <c r="G328" s="15">
        <v>3</v>
      </c>
      <c r="H328" s="21">
        <v>15000000</v>
      </c>
      <c r="I328" s="12">
        <v>1</v>
      </c>
      <c r="J328" s="16">
        <v>1.3888888888888889E-3</v>
      </c>
      <c r="K328" s="12" t="s">
        <v>18</v>
      </c>
      <c r="L328" s="12" t="s">
        <v>29</v>
      </c>
      <c r="M328" s="12" t="s">
        <v>43</v>
      </c>
      <c r="N328" s="12" t="s">
        <v>77</v>
      </c>
      <c r="O328" s="12" t="s">
        <v>65</v>
      </c>
    </row>
    <row r="329" spans="1:15" ht="21" customHeight="1" x14ac:dyDescent="0.3">
      <c r="A329" s="17"/>
      <c r="B329" s="2" t="s">
        <v>14</v>
      </c>
      <c r="C329" s="3">
        <v>11</v>
      </c>
      <c r="D329" s="4" t="s">
        <v>27</v>
      </c>
      <c r="E329" s="2" t="s">
        <v>32</v>
      </c>
      <c r="F329" s="2" t="s">
        <v>17</v>
      </c>
      <c r="G329" s="5">
        <v>2</v>
      </c>
      <c r="H329" s="20">
        <v>12000000</v>
      </c>
      <c r="I329" s="2">
        <v>5</v>
      </c>
      <c r="J329" s="6">
        <v>1.3888888888888889E-3</v>
      </c>
      <c r="K329" s="2" t="s">
        <v>18</v>
      </c>
      <c r="L329" s="2" t="s">
        <v>24</v>
      </c>
      <c r="M329" s="2" t="s">
        <v>48</v>
      </c>
      <c r="N329" s="2" t="s">
        <v>78</v>
      </c>
      <c r="O329" s="2" t="s">
        <v>62</v>
      </c>
    </row>
    <row r="330" spans="1:15" ht="21" customHeight="1" x14ac:dyDescent="0.3">
      <c r="A330" s="17"/>
      <c r="B330" s="12" t="s">
        <v>14</v>
      </c>
      <c r="C330" s="13">
        <v>28</v>
      </c>
      <c r="D330" s="14" t="s">
        <v>37</v>
      </c>
      <c r="E330" s="12" t="s">
        <v>16</v>
      </c>
      <c r="F330" s="12" t="s">
        <v>17</v>
      </c>
      <c r="G330" s="15">
        <v>5</v>
      </c>
      <c r="H330" s="21">
        <v>21000000</v>
      </c>
      <c r="I330" s="12">
        <v>3</v>
      </c>
      <c r="J330" s="16">
        <v>1.3888888888888889E-3</v>
      </c>
      <c r="K330" s="12" t="s">
        <v>18</v>
      </c>
      <c r="L330" s="12" t="s">
        <v>39</v>
      </c>
      <c r="M330" s="12" t="s">
        <v>25</v>
      </c>
      <c r="N330" s="12" t="s">
        <v>76</v>
      </c>
      <c r="O330" s="12" t="s">
        <v>52</v>
      </c>
    </row>
    <row r="331" spans="1:15" ht="21" customHeight="1" x14ac:dyDescent="0.3">
      <c r="A331" s="17"/>
      <c r="B331" s="2" t="s">
        <v>14</v>
      </c>
      <c r="C331" s="3">
        <v>8</v>
      </c>
      <c r="D331" s="4" t="s">
        <v>37</v>
      </c>
      <c r="E331" s="2" t="s">
        <v>49</v>
      </c>
      <c r="F331" s="2" t="s">
        <v>17</v>
      </c>
      <c r="G331" s="5">
        <v>2</v>
      </c>
      <c r="H331" s="20">
        <v>12000000</v>
      </c>
      <c r="I331" s="2">
        <v>2</v>
      </c>
      <c r="J331" s="6">
        <v>1.3888888888888889E-3</v>
      </c>
      <c r="K331" s="2" t="s">
        <v>18</v>
      </c>
      <c r="L331" s="2" t="s">
        <v>39</v>
      </c>
      <c r="M331" s="2" t="s">
        <v>33</v>
      </c>
      <c r="N331" s="2" t="s">
        <v>78</v>
      </c>
      <c r="O331" s="2" t="s">
        <v>66</v>
      </c>
    </row>
    <row r="332" spans="1:15" ht="21" customHeight="1" x14ac:dyDescent="0.3">
      <c r="A332" s="17"/>
      <c r="B332" s="12" t="s">
        <v>14</v>
      </c>
      <c r="C332" s="13">
        <v>25</v>
      </c>
      <c r="D332" s="14" t="s">
        <v>37</v>
      </c>
      <c r="E332" s="12" t="s">
        <v>16</v>
      </c>
      <c r="F332" s="12" t="s">
        <v>23</v>
      </c>
      <c r="G332" s="15">
        <v>5</v>
      </c>
      <c r="H332" s="21">
        <v>25000000</v>
      </c>
      <c r="I332" s="12">
        <v>1</v>
      </c>
      <c r="J332" s="16">
        <v>1.3888888888888889E-3</v>
      </c>
      <c r="K332" s="12" t="s">
        <v>18</v>
      </c>
      <c r="L332" s="12" t="s">
        <v>19</v>
      </c>
      <c r="M332" s="12" t="s">
        <v>48</v>
      </c>
      <c r="N332" s="12" t="s">
        <v>66</v>
      </c>
      <c r="O332" s="12" t="s">
        <v>36</v>
      </c>
    </row>
    <row r="333" spans="1:15" ht="21" customHeight="1" x14ac:dyDescent="0.3">
      <c r="A333" s="17"/>
      <c r="B333" s="2" t="s">
        <v>14</v>
      </c>
      <c r="C333" s="3">
        <v>2</v>
      </c>
      <c r="D333" s="4" t="s">
        <v>37</v>
      </c>
      <c r="E333" s="2" t="s">
        <v>32</v>
      </c>
      <c r="F333" s="2" t="s">
        <v>23</v>
      </c>
      <c r="G333" s="5">
        <v>3</v>
      </c>
      <c r="H333" s="20">
        <v>15000000</v>
      </c>
      <c r="I333" s="2">
        <v>3</v>
      </c>
      <c r="J333" s="6">
        <v>1.3888888888888889E-3</v>
      </c>
      <c r="K333" s="2" t="s">
        <v>18</v>
      </c>
      <c r="L333" s="2" t="s">
        <v>19</v>
      </c>
      <c r="M333" s="2" t="s">
        <v>51</v>
      </c>
      <c r="N333" s="2" t="s">
        <v>78</v>
      </c>
      <c r="O333" s="2" t="s">
        <v>66</v>
      </c>
    </row>
    <row r="334" spans="1:15" ht="21" customHeight="1" x14ac:dyDescent="0.3">
      <c r="A334" s="17"/>
      <c r="B334" s="12" t="s">
        <v>14</v>
      </c>
      <c r="C334" s="13">
        <v>29</v>
      </c>
      <c r="D334" s="14" t="s">
        <v>37</v>
      </c>
      <c r="E334" s="12" t="s">
        <v>16</v>
      </c>
      <c r="F334" s="12" t="s">
        <v>23</v>
      </c>
      <c r="G334" s="15">
        <v>2</v>
      </c>
      <c r="H334" s="21">
        <v>12000000</v>
      </c>
      <c r="I334" s="12">
        <v>1</v>
      </c>
      <c r="J334" s="16">
        <v>1.3888888888888889E-3</v>
      </c>
      <c r="K334" s="12" t="s">
        <v>18</v>
      </c>
      <c r="L334" s="12" t="s">
        <v>56</v>
      </c>
      <c r="M334" s="12" t="s">
        <v>51</v>
      </c>
      <c r="N334" s="12" t="s">
        <v>76</v>
      </c>
      <c r="O334" s="12" t="s">
        <v>31</v>
      </c>
    </row>
    <row r="335" spans="1:15" ht="21" customHeight="1" x14ac:dyDescent="0.3">
      <c r="A335" s="17"/>
      <c r="B335" s="2" t="s">
        <v>14</v>
      </c>
      <c r="C335" s="3">
        <v>6</v>
      </c>
      <c r="D335" s="4" t="s">
        <v>44</v>
      </c>
      <c r="E335" s="2" t="s">
        <v>28</v>
      </c>
      <c r="F335" s="2" t="s">
        <v>23</v>
      </c>
      <c r="G335" s="5">
        <v>3</v>
      </c>
      <c r="H335" s="20">
        <v>15000000</v>
      </c>
      <c r="I335" s="2">
        <v>1</v>
      </c>
      <c r="J335" s="6">
        <v>1.3888888888888889E-3</v>
      </c>
      <c r="K335" s="2" t="s">
        <v>18</v>
      </c>
      <c r="L335" s="2" t="s">
        <v>19</v>
      </c>
      <c r="M335" s="2" t="s">
        <v>30</v>
      </c>
      <c r="N335" s="2" t="s">
        <v>76</v>
      </c>
      <c r="O335" s="2" t="s">
        <v>52</v>
      </c>
    </row>
    <row r="336" spans="1:15" ht="21" customHeight="1" x14ac:dyDescent="0.3">
      <c r="A336" s="17"/>
      <c r="B336" s="12" t="s">
        <v>14</v>
      </c>
      <c r="C336" s="13">
        <v>19</v>
      </c>
      <c r="D336" s="14" t="s">
        <v>44</v>
      </c>
      <c r="E336" s="12" t="s">
        <v>16</v>
      </c>
      <c r="F336" s="12" t="s">
        <v>23</v>
      </c>
      <c r="G336" s="15">
        <v>3</v>
      </c>
      <c r="H336" s="21">
        <v>15000000</v>
      </c>
      <c r="I336" s="12">
        <v>5</v>
      </c>
      <c r="J336" s="16">
        <v>1.3888888888888889E-3</v>
      </c>
      <c r="K336" s="12" t="s">
        <v>18</v>
      </c>
      <c r="L336" s="12" t="s">
        <v>56</v>
      </c>
      <c r="M336" s="12" t="s">
        <v>30</v>
      </c>
      <c r="N336" s="12" t="s">
        <v>76</v>
      </c>
      <c r="O336" s="12" t="s">
        <v>52</v>
      </c>
    </row>
    <row r="337" spans="1:15" ht="21" customHeight="1" x14ac:dyDescent="0.3">
      <c r="A337" s="17"/>
      <c r="B337" s="2" t="s">
        <v>14</v>
      </c>
      <c r="C337" s="3">
        <v>22</v>
      </c>
      <c r="D337" s="4" t="s">
        <v>44</v>
      </c>
      <c r="E337" s="2" t="s">
        <v>49</v>
      </c>
      <c r="F337" s="2" t="s">
        <v>23</v>
      </c>
      <c r="G337" s="5">
        <v>2</v>
      </c>
      <c r="H337" s="20">
        <v>12000000</v>
      </c>
      <c r="I337" s="2">
        <v>2</v>
      </c>
      <c r="J337" s="6">
        <v>1.3888888888888889E-3</v>
      </c>
      <c r="K337" s="2" t="s">
        <v>18</v>
      </c>
      <c r="L337" s="2" t="s">
        <v>29</v>
      </c>
      <c r="M337" s="2" t="s">
        <v>25</v>
      </c>
      <c r="N337" s="2" t="s">
        <v>78</v>
      </c>
      <c r="O337" s="2" t="s">
        <v>53</v>
      </c>
    </row>
    <row r="338" spans="1:15" ht="21" customHeight="1" x14ac:dyDescent="0.3">
      <c r="A338" s="17"/>
      <c r="B338" s="12" t="s">
        <v>14</v>
      </c>
      <c r="C338" s="13">
        <v>3</v>
      </c>
      <c r="D338" s="14" t="s">
        <v>44</v>
      </c>
      <c r="E338" s="12" t="s">
        <v>28</v>
      </c>
      <c r="F338" s="12" t="s">
        <v>42</v>
      </c>
      <c r="G338" s="15">
        <v>5</v>
      </c>
      <c r="H338" s="21">
        <v>25000000</v>
      </c>
      <c r="I338" s="12">
        <v>3</v>
      </c>
      <c r="J338" s="16">
        <v>1.3888888888888889E-3</v>
      </c>
      <c r="K338" s="12" t="s">
        <v>18</v>
      </c>
      <c r="L338" s="12" t="s">
        <v>39</v>
      </c>
      <c r="M338" s="12" t="s">
        <v>40</v>
      </c>
      <c r="N338" s="12" t="s">
        <v>78</v>
      </c>
      <c r="O338" s="12" t="s">
        <v>41</v>
      </c>
    </row>
    <row r="339" spans="1:15" ht="21" customHeight="1" x14ac:dyDescent="0.3">
      <c r="A339" s="17"/>
      <c r="B339" s="2" t="s">
        <v>14</v>
      </c>
      <c r="C339" s="3">
        <v>2</v>
      </c>
      <c r="D339" s="4" t="s">
        <v>44</v>
      </c>
      <c r="E339" s="2" t="s">
        <v>28</v>
      </c>
      <c r="F339" s="2" t="s">
        <v>42</v>
      </c>
      <c r="G339" s="5">
        <v>5</v>
      </c>
      <c r="H339" s="20">
        <v>25000000</v>
      </c>
      <c r="I339" s="2">
        <v>1</v>
      </c>
      <c r="J339" s="6">
        <v>1.3888888888888889E-3</v>
      </c>
      <c r="K339" s="2" t="s">
        <v>18</v>
      </c>
      <c r="L339" s="2" t="s">
        <v>56</v>
      </c>
      <c r="M339" s="2" t="s">
        <v>51</v>
      </c>
      <c r="N339" s="2" t="s">
        <v>78</v>
      </c>
      <c r="O339" s="2" t="s">
        <v>66</v>
      </c>
    </row>
    <row r="340" spans="1:15" ht="21" customHeight="1" x14ac:dyDescent="0.3">
      <c r="A340" s="17"/>
      <c r="B340" s="12" t="s">
        <v>14</v>
      </c>
      <c r="C340" s="13">
        <v>1</v>
      </c>
      <c r="D340" s="14" t="s">
        <v>69</v>
      </c>
      <c r="E340" s="12" t="s">
        <v>32</v>
      </c>
      <c r="F340" s="12" t="s">
        <v>42</v>
      </c>
      <c r="G340" s="15">
        <v>4</v>
      </c>
      <c r="H340" s="21">
        <v>20000000</v>
      </c>
      <c r="I340" s="12">
        <v>4</v>
      </c>
      <c r="J340" s="16">
        <v>1.3888888888888889E-3</v>
      </c>
      <c r="K340" s="12" t="s">
        <v>18</v>
      </c>
      <c r="L340" s="12" t="s">
        <v>24</v>
      </c>
      <c r="M340" s="12" t="s">
        <v>51</v>
      </c>
      <c r="N340" s="12" t="s">
        <v>76</v>
      </c>
      <c r="O340" s="12" t="s">
        <v>52</v>
      </c>
    </row>
    <row r="341" spans="1:15" ht="21" customHeight="1" x14ac:dyDescent="0.3">
      <c r="A341" s="17"/>
      <c r="B341" s="2" t="s">
        <v>14</v>
      </c>
      <c r="C341" s="3">
        <v>17</v>
      </c>
      <c r="D341" s="4" t="s">
        <v>69</v>
      </c>
      <c r="E341" s="2" t="s">
        <v>73</v>
      </c>
      <c r="F341" s="2" t="s">
        <v>17</v>
      </c>
      <c r="G341" s="5">
        <v>3</v>
      </c>
      <c r="H341" s="20">
        <v>15000000</v>
      </c>
      <c r="I341" s="2">
        <v>5</v>
      </c>
      <c r="J341" s="6">
        <v>1.3888888888888889E-3</v>
      </c>
      <c r="K341" s="2" t="s">
        <v>18</v>
      </c>
      <c r="L341" s="2" t="s">
        <v>39</v>
      </c>
      <c r="M341" s="2" t="s">
        <v>51</v>
      </c>
      <c r="N341" s="2" t="s">
        <v>77</v>
      </c>
      <c r="O341" s="2" t="s">
        <v>54</v>
      </c>
    </row>
    <row r="342" spans="1:15" ht="21" customHeight="1" x14ac:dyDescent="0.3">
      <c r="A342" s="17"/>
      <c r="B342" s="12" t="s">
        <v>14</v>
      </c>
      <c r="C342" s="13">
        <v>2</v>
      </c>
      <c r="D342" s="14" t="s">
        <v>69</v>
      </c>
      <c r="E342" s="12" t="s">
        <v>32</v>
      </c>
      <c r="F342" s="12" t="s">
        <v>17</v>
      </c>
      <c r="G342" s="15">
        <v>2</v>
      </c>
      <c r="H342" s="21">
        <v>12000000</v>
      </c>
      <c r="I342" s="12">
        <v>2</v>
      </c>
      <c r="J342" s="16">
        <v>1.3888888888888889E-3</v>
      </c>
      <c r="K342" s="12" t="s">
        <v>18</v>
      </c>
      <c r="L342" s="12" t="s">
        <v>56</v>
      </c>
      <c r="M342" s="12" t="s">
        <v>20</v>
      </c>
      <c r="N342" s="12" t="s">
        <v>78</v>
      </c>
      <c r="O342" s="12" t="s">
        <v>41</v>
      </c>
    </row>
    <row r="343" spans="1:15" ht="21" customHeight="1" x14ac:dyDescent="0.3">
      <c r="A343" s="17"/>
      <c r="B343" s="2" t="s">
        <v>14</v>
      </c>
      <c r="C343" s="3">
        <v>12</v>
      </c>
      <c r="D343" s="4" t="s">
        <v>55</v>
      </c>
      <c r="E343" s="2" t="s">
        <v>28</v>
      </c>
      <c r="F343" s="2" t="s">
        <v>23</v>
      </c>
      <c r="G343" s="5">
        <v>2</v>
      </c>
      <c r="H343" s="20">
        <v>12000000</v>
      </c>
      <c r="I343" s="2">
        <v>1</v>
      </c>
      <c r="J343" s="6">
        <v>1.3888888888888889E-3</v>
      </c>
      <c r="K343" s="2" t="s">
        <v>18</v>
      </c>
      <c r="L343" s="2" t="s">
        <v>29</v>
      </c>
      <c r="M343" s="2" t="s">
        <v>33</v>
      </c>
      <c r="N343" s="2" t="s">
        <v>76</v>
      </c>
      <c r="O343" s="2" t="s">
        <v>71</v>
      </c>
    </row>
    <row r="344" spans="1:15" ht="21" customHeight="1" x14ac:dyDescent="0.3">
      <c r="A344" s="17"/>
      <c r="B344" s="12" t="s">
        <v>14</v>
      </c>
      <c r="C344" s="13">
        <v>1</v>
      </c>
      <c r="D344" s="14" t="s">
        <v>15</v>
      </c>
      <c r="E344" s="12" t="s">
        <v>32</v>
      </c>
      <c r="F344" s="12" t="s">
        <v>42</v>
      </c>
      <c r="G344" s="15">
        <v>4</v>
      </c>
      <c r="H344" s="21">
        <v>20000000</v>
      </c>
      <c r="I344" s="12">
        <v>1</v>
      </c>
      <c r="J344" s="16">
        <v>1.3888888888888889E-3</v>
      </c>
      <c r="K344" s="12" t="s">
        <v>18</v>
      </c>
      <c r="L344" s="12" t="s">
        <v>35</v>
      </c>
      <c r="M344" s="12" t="s">
        <v>33</v>
      </c>
      <c r="N344" s="12" t="s">
        <v>76</v>
      </c>
      <c r="O344" s="12" t="s">
        <v>75</v>
      </c>
    </row>
    <row r="345" spans="1:15" ht="21" customHeight="1" x14ac:dyDescent="0.3">
      <c r="A345" s="17"/>
      <c r="B345" s="2" t="s">
        <v>14</v>
      </c>
      <c r="C345" s="3">
        <v>27</v>
      </c>
      <c r="D345" s="4" t="s">
        <v>22</v>
      </c>
      <c r="E345" s="2" t="s">
        <v>16</v>
      </c>
      <c r="F345" s="2" t="s">
        <v>23</v>
      </c>
      <c r="G345" s="5">
        <v>4</v>
      </c>
      <c r="H345" s="20">
        <v>11000000</v>
      </c>
      <c r="I345" s="2">
        <v>1</v>
      </c>
      <c r="J345" s="6">
        <v>1.3888888888888889E-3</v>
      </c>
      <c r="K345" s="2" t="s">
        <v>61</v>
      </c>
      <c r="L345" s="2" t="s">
        <v>47</v>
      </c>
      <c r="M345" s="2" t="s">
        <v>25</v>
      </c>
      <c r="N345" s="2" t="s">
        <v>77</v>
      </c>
      <c r="O345" s="2" t="s">
        <v>54</v>
      </c>
    </row>
    <row r="346" spans="1:15" ht="21" customHeight="1" x14ac:dyDescent="0.3">
      <c r="A346" s="17"/>
      <c r="B346" s="12" t="s">
        <v>70</v>
      </c>
      <c r="C346" s="13">
        <v>6</v>
      </c>
      <c r="D346" s="14" t="s">
        <v>55</v>
      </c>
      <c r="E346" s="12" t="s">
        <v>16</v>
      </c>
      <c r="F346" s="12" t="s">
        <v>17</v>
      </c>
      <c r="G346" s="15">
        <v>0</v>
      </c>
      <c r="H346" s="21">
        <v>0</v>
      </c>
      <c r="I346" s="12">
        <v>4</v>
      </c>
      <c r="J346" s="16">
        <v>1.3888888888888889E-3</v>
      </c>
      <c r="K346" s="12"/>
      <c r="L346" s="12"/>
      <c r="M346" s="12" t="s">
        <v>51</v>
      </c>
      <c r="N346" s="12" t="s">
        <v>78</v>
      </c>
      <c r="O346" s="12" t="s">
        <v>53</v>
      </c>
    </row>
    <row r="347" spans="1:15" ht="21" customHeight="1" x14ac:dyDescent="0.3">
      <c r="A347" s="17"/>
      <c r="B347" s="2" t="s">
        <v>70</v>
      </c>
      <c r="C347" s="3">
        <v>28</v>
      </c>
      <c r="D347" s="4" t="s">
        <v>59</v>
      </c>
      <c r="E347" s="2" t="s">
        <v>38</v>
      </c>
      <c r="F347" s="2" t="s">
        <v>17</v>
      </c>
      <c r="G347" s="5">
        <v>0</v>
      </c>
      <c r="H347" s="20">
        <v>0</v>
      </c>
      <c r="I347" s="2">
        <v>1</v>
      </c>
      <c r="J347" s="6">
        <v>1.3888888888888889E-3</v>
      </c>
      <c r="K347" s="2"/>
      <c r="L347" s="2"/>
      <c r="M347" s="2" t="s">
        <v>48</v>
      </c>
      <c r="N347" s="2" t="s">
        <v>78</v>
      </c>
      <c r="O347" s="2" t="s">
        <v>41</v>
      </c>
    </row>
    <row r="348" spans="1:15" ht="21" customHeight="1" x14ac:dyDescent="0.3">
      <c r="A348" s="17"/>
      <c r="B348" s="12" t="s">
        <v>70</v>
      </c>
      <c r="C348" s="13">
        <v>5</v>
      </c>
      <c r="D348" s="14" t="s">
        <v>37</v>
      </c>
      <c r="E348" s="12" t="s">
        <v>32</v>
      </c>
      <c r="F348" s="12" t="s">
        <v>42</v>
      </c>
      <c r="G348" s="15">
        <v>0</v>
      </c>
      <c r="H348" s="21">
        <v>0</v>
      </c>
      <c r="I348" s="12">
        <v>3</v>
      </c>
      <c r="J348" s="16">
        <v>1.3888888888888889E-3</v>
      </c>
      <c r="K348" s="12"/>
      <c r="L348" s="12"/>
      <c r="M348" s="12" t="s">
        <v>30</v>
      </c>
      <c r="N348" s="12" t="s">
        <v>66</v>
      </c>
      <c r="O348" s="12" t="s">
        <v>36</v>
      </c>
    </row>
    <row r="349" spans="1:15" ht="21" customHeight="1" x14ac:dyDescent="0.3">
      <c r="A349" s="17"/>
      <c r="B349" s="2" t="s">
        <v>70</v>
      </c>
      <c r="C349" s="3">
        <v>4</v>
      </c>
      <c r="D349" s="4" t="s">
        <v>69</v>
      </c>
      <c r="E349" s="2" t="s">
        <v>38</v>
      </c>
      <c r="F349" s="2" t="s">
        <v>68</v>
      </c>
      <c r="G349" s="5">
        <v>0</v>
      </c>
      <c r="H349" s="20">
        <v>0</v>
      </c>
      <c r="I349" s="2">
        <v>4</v>
      </c>
      <c r="J349" s="6">
        <v>1.3888888888888889E-3</v>
      </c>
      <c r="K349" s="2"/>
      <c r="L349" s="2"/>
      <c r="M349" s="2" t="s">
        <v>33</v>
      </c>
      <c r="N349" s="2" t="s">
        <v>77</v>
      </c>
      <c r="O349" s="2" t="s">
        <v>54</v>
      </c>
    </row>
    <row r="350" spans="1:15" ht="21" customHeight="1" x14ac:dyDescent="0.3">
      <c r="A350" s="17"/>
      <c r="B350" s="12" t="s">
        <v>70</v>
      </c>
      <c r="C350" s="13">
        <v>28</v>
      </c>
      <c r="D350" s="14" t="s">
        <v>69</v>
      </c>
      <c r="E350" s="12" t="s">
        <v>38</v>
      </c>
      <c r="F350" s="12" t="s">
        <v>45</v>
      </c>
      <c r="G350" s="15">
        <v>0</v>
      </c>
      <c r="H350" s="21">
        <v>0</v>
      </c>
      <c r="I350" s="12">
        <v>2</v>
      </c>
      <c r="J350" s="16">
        <v>1.3888888888888889E-3</v>
      </c>
      <c r="K350" s="12"/>
      <c r="L350" s="12"/>
      <c r="M350" s="12" t="s">
        <v>33</v>
      </c>
      <c r="N350" s="12" t="s">
        <v>76</v>
      </c>
      <c r="O350" s="12" t="s">
        <v>31</v>
      </c>
    </row>
    <row r="351" spans="1:15" ht="21" customHeight="1" x14ac:dyDescent="0.3">
      <c r="A351" s="17"/>
      <c r="B351" s="2" t="s">
        <v>70</v>
      </c>
      <c r="C351" s="3">
        <v>10</v>
      </c>
      <c r="D351" s="4" t="s">
        <v>69</v>
      </c>
      <c r="E351" s="2" t="s">
        <v>16</v>
      </c>
      <c r="F351" s="2" t="s">
        <v>23</v>
      </c>
      <c r="G351" s="5">
        <v>0</v>
      </c>
      <c r="H351" s="20">
        <v>0</v>
      </c>
      <c r="I351" s="2">
        <v>1</v>
      </c>
      <c r="J351" s="6">
        <v>1.3888888888888889E-3</v>
      </c>
      <c r="K351" s="2"/>
      <c r="L351" s="2"/>
      <c r="M351" s="2" t="s">
        <v>40</v>
      </c>
      <c r="N351" s="2" t="s">
        <v>76</v>
      </c>
      <c r="O351" s="2" t="s">
        <v>26</v>
      </c>
    </row>
    <row r="352" spans="1:15" ht="21" customHeight="1" x14ac:dyDescent="0.3">
      <c r="A352" s="17"/>
      <c r="B352" s="12" t="s">
        <v>70</v>
      </c>
      <c r="C352" s="13">
        <v>30</v>
      </c>
      <c r="D352" s="14" t="s">
        <v>69</v>
      </c>
      <c r="E352" s="12" t="s">
        <v>38</v>
      </c>
      <c r="F352" s="12" t="s">
        <v>23</v>
      </c>
      <c r="G352" s="15">
        <v>0</v>
      </c>
      <c r="H352" s="21">
        <v>0</v>
      </c>
      <c r="I352" s="12">
        <v>2</v>
      </c>
      <c r="J352" s="16">
        <v>1.3888888888888889E-3</v>
      </c>
      <c r="K352" s="12"/>
      <c r="L352" s="12"/>
      <c r="M352" s="12" t="s">
        <v>20</v>
      </c>
      <c r="N352" s="12" t="s">
        <v>78</v>
      </c>
      <c r="O352" s="12" t="s">
        <v>62</v>
      </c>
    </row>
    <row r="353" spans="1:15" ht="21" customHeight="1" x14ac:dyDescent="0.3">
      <c r="A353" s="17"/>
      <c r="B353" s="2" t="s">
        <v>70</v>
      </c>
      <c r="C353" s="3">
        <v>6</v>
      </c>
      <c r="D353" s="4" t="s">
        <v>55</v>
      </c>
      <c r="E353" s="2" t="s">
        <v>16</v>
      </c>
      <c r="F353" s="2" t="s">
        <v>17</v>
      </c>
      <c r="G353" s="5">
        <v>0</v>
      </c>
      <c r="H353" s="20">
        <v>0</v>
      </c>
      <c r="I353" s="2">
        <v>4</v>
      </c>
      <c r="J353" s="6">
        <v>1.3888888888888889E-3</v>
      </c>
      <c r="K353" s="2"/>
      <c r="L353" s="2"/>
      <c r="M353" s="2" t="s">
        <v>51</v>
      </c>
      <c r="N353" s="2" t="s">
        <v>78</v>
      </c>
      <c r="O353" s="2" t="s">
        <v>53</v>
      </c>
    </row>
    <row r="354" spans="1:15" ht="21" customHeight="1" x14ac:dyDescent="0.3">
      <c r="A354" s="17"/>
      <c r="B354" s="12" t="s">
        <v>70</v>
      </c>
      <c r="C354" s="13">
        <v>28</v>
      </c>
      <c r="D354" s="14" t="s">
        <v>59</v>
      </c>
      <c r="E354" s="12" t="s">
        <v>38</v>
      </c>
      <c r="F354" s="12" t="s">
        <v>17</v>
      </c>
      <c r="G354" s="15">
        <v>0</v>
      </c>
      <c r="H354" s="21">
        <v>0</v>
      </c>
      <c r="I354" s="12">
        <v>1</v>
      </c>
      <c r="J354" s="16">
        <v>1.3888888888888889E-3</v>
      </c>
      <c r="K354" s="12"/>
      <c r="L354" s="12"/>
      <c r="M354" s="12" t="s">
        <v>48</v>
      </c>
      <c r="N354" s="12" t="s">
        <v>78</v>
      </c>
      <c r="O354" s="12" t="s">
        <v>41</v>
      </c>
    </row>
    <row r="355" spans="1:15" ht="21" customHeight="1" x14ac:dyDescent="0.3">
      <c r="A355" s="17"/>
      <c r="B355" s="2" t="s">
        <v>14</v>
      </c>
      <c r="C355" s="3">
        <v>4</v>
      </c>
      <c r="D355" s="4" t="s">
        <v>15</v>
      </c>
      <c r="E355" s="2" t="s">
        <v>28</v>
      </c>
      <c r="F355" s="2" t="s">
        <v>42</v>
      </c>
      <c r="G355" s="5">
        <v>5</v>
      </c>
      <c r="H355" s="20">
        <v>20000000</v>
      </c>
      <c r="I355" s="2">
        <v>1</v>
      </c>
      <c r="J355" s="6">
        <v>1.3888888888888889E-3</v>
      </c>
      <c r="K355" s="2" t="s">
        <v>18</v>
      </c>
      <c r="L355" s="2" t="s">
        <v>35</v>
      </c>
      <c r="M355" s="2" t="s">
        <v>51</v>
      </c>
      <c r="N355" s="2" t="s">
        <v>77</v>
      </c>
      <c r="O355" s="2" t="s">
        <v>54</v>
      </c>
    </row>
    <row r="356" spans="1:15" ht="21" customHeight="1" x14ac:dyDescent="0.3">
      <c r="A356" s="17"/>
      <c r="B356" s="12" t="s">
        <v>14</v>
      </c>
      <c r="C356" s="13">
        <v>6</v>
      </c>
      <c r="D356" s="14" t="s">
        <v>59</v>
      </c>
      <c r="E356" s="12" t="s">
        <v>28</v>
      </c>
      <c r="F356" s="12" t="s">
        <v>68</v>
      </c>
      <c r="G356" s="15">
        <v>2</v>
      </c>
      <c r="H356" s="21">
        <v>12000000</v>
      </c>
      <c r="I356" s="12">
        <v>1</v>
      </c>
      <c r="J356" s="16">
        <v>1.3888888888888889E-3</v>
      </c>
      <c r="K356" s="12" t="s">
        <v>18</v>
      </c>
      <c r="L356" s="12" t="s">
        <v>35</v>
      </c>
      <c r="M356" s="12" t="s">
        <v>33</v>
      </c>
      <c r="N356" s="12" t="s">
        <v>76</v>
      </c>
      <c r="O356" s="12" t="s">
        <v>52</v>
      </c>
    </row>
    <row r="357" spans="1:15" ht="21" customHeight="1" x14ac:dyDescent="0.3">
      <c r="A357" s="17"/>
      <c r="B357" s="2" t="s">
        <v>14</v>
      </c>
      <c r="C357" s="3">
        <v>12</v>
      </c>
      <c r="D357" s="4" t="s">
        <v>60</v>
      </c>
      <c r="E357" s="2" t="s">
        <v>32</v>
      </c>
      <c r="F357" s="2" t="s">
        <v>45</v>
      </c>
      <c r="G357" s="5">
        <v>2</v>
      </c>
      <c r="H357" s="20">
        <v>12000000</v>
      </c>
      <c r="I357" s="2">
        <v>5</v>
      </c>
      <c r="J357" s="6">
        <v>1.3888888888888889E-3</v>
      </c>
      <c r="K357" s="2" t="s">
        <v>18</v>
      </c>
      <c r="L357" s="2" t="s">
        <v>39</v>
      </c>
      <c r="M357" s="2" t="s">
        <v>30</v>
      </c>
      <c r="N357" s="2" t="s">
        <v>66</v>
      </c>
      <c r="O357" s="2" t="s">
        <v>67</v>
      </c>
    </row>
    <row r="358" spans="1:15" ht="21" customHeight="1" x14ac:dyDescent="0.3">
      <c r="A358" s="17"/>
      <c r="B358" s="12" t="s">
        <v>14</v>
      </c>
      <c r="C358" s="13">
        <v>11</v>
      </c>
      <c r="D358" s="14" t="s">
        <v>22</v>
      </c>
      <c r="E358" s="12" t="s">
        <v>38</v>
      </c>
      <c r="F358" s="12" t="s">
        <v>42</v>
      </c>
      <c r="G358" s="15">
        <v>2</v>
      </c>
      <c r="H358" s="21">
        <v>12000000</v>
      </c>
      <c r="I358" s="12">
        <v>1</v>
      </c>
      <c r="J358" s="16">
        <v>1.3888888888888889E-3</v>
      </c>
      <c r="K358" s="12" t="s">
        <v>18</v>
      </c>
      <c r="L358" s="12" t="s">
        <v>24</v>
      </c>
      <c r="M358" s="12" t="s">
        <v>43</v>
      </c>
      <c r="N358" s="12" t="s">
        <v>76</v>
      </c>
      <c r="O358" s="12" t="s">
        <v>26</v>
      </c>
    </row>
    <row r="359" spans="1:15" ht="21" customHeight="1" x14ac:dyDescent="0.3">
      <c r="A359" s="17"/>
      <c r="B359" s="2" t="s">
        <v>14</v>
      </c>
      <c r="C359" s="3">
        <v>2</v>
      </c>
      <c r="D359" s="4" t="s">
        <v>37</v>
      </c>
      <c r="E359" s="2" t="s">
        <v>16</v>
      </c>
      <c r="F359" s="2" t="s">
        <v>23</v>
      </c>
      <c r="G359" s="5">
        <v>3</v>
      </c>
      <c r="H359" s="20">
        <v>15000000</v>
      </c>
      <c r="I359" s="2">
        <v>1</v>
      </c>
      <c r="J359" s="6">
        <v>1.3888888888888889E-3</v>
      </c>
      <c r="K359" s="2" t="s">
        <v>18</v>
      </c>
      <c r="L359" s="2" t="s">
        <v>39</v>
      </c>
      <c r="M359" s="2" t="s">
        <v>20</v>
      </c>
      <c r="N359" s="2" t="s">
        <v>78</v>
      </c>
      <c r="O359" s="2" t="s">
        <v>66</v>
      </c>
    </row>
    <row r="360" spans="1:15" ht="21" customHeight="1" x14ac:dyDescent="0.3">
      <c r="A360" s="17"/>
      <c r="B360" s="12" t="s">
        <v>14</v>
      </c>
      <c r="C360" s="13">
        <v>8</v>
      </c>
      <c r="D360" s="14" t="s">
        <v>37</v>
      </c>
      <c r="E360" s="12" t="s">
        <v>16</v>
      </c>
      <c r="F360" s="12" t="s">
        <v>42</v>
      </c>
      <c r="G360" s="15">
        <v>3</v>
      </c>
      <c r="H360" s="21">
        <v>15000000</v>
      </c>
      <c r="I360" s="12">
        <v>4</v>
      </c>
      <c r="J360" s="16">
        <v>1.3888888888888889E-3</v>
      </c>
      <c r="K360" s="12" t="s">
        <v>18</v>
      </c>
      <c r="L360" s="12" t="s">
        <v>47</v>
      </c>
      <c r="M360" s="12" t="s">
        <v>51</v>
      </c>
      <c r="N360" s="12" t="s">
        <v>77</v>
      </c>
      <c r="O360" s="12" t="s">
        <v>54</v>
      </c>
    </row>
    <row r="361" spans="1:15" ht="21" customHeight="1" x14ac:dyDescent="0.3">
      <c r="A361" s="17"/>
      <c r="B361" s="2" t="s">
        <v>14</v>
      </c>
      <c r="C361" s="3">
        <v>17</v>
      </c>
      <c r="D361" s="4" t="s">
        <v>44</v>
      </c>
      <c r="E361" s="2" t="s">
        <v>32</v>
      </c>
      <c r="F361" s="2" t="s">
        <v>23</v>
      </c>
      <c r="G361" s="5">
        <v>4</v>
      </c>
      <c r="H361" s="20">
        <v>11000000</v>
      </c>
      <c r="I361" s="2">
        <v>2</v>
      </c>
      <c r="J361" s="6">
        <v>1.3888888888888889E-3</v>
      </c>
      <c r="K361" s="2" t="s">
        <v>61</v>
      </c>
      <c r="L361" s="2" t="s">
        <v>19</v>
      </c>
      <c r="M361" s="2" t="s">
        <v>51</v>
      </c>
      <c r="N361" s="2" t="s">
        <v>78</v>
      </c>
      <c r="O361" s="2" t="s">
        <v>21</v>
      </c>
    </row>
    <row r="362" spans="1:15" ht="21" customHeight="1" x14ac:dyDescent="0.3">
      <c r="A362" s="17"/>
      <c r="B362" s="12" t="s">
        <v>14</v>
      </c>
      <c r="C362" s="13">
        <v>10</v>
      </c>
      <c r="D362" s="14" t="s">
        <v>69</v>
      </c>
      <c r="E362" s="12" t="s">
        <v>32</v>
      </c>
      <c r="F362" s="12" t="s">
        <v>23</v>
      </c>
      <c r="G362" s="15">
        <v>4</v>
      </c>
      <c r="H362" s="21">
        <v>20000000</v>
      </c>
      <c r="I362" s="12">
        <v>1</v>
      </c>
      <c r="J362" s="16">
        <v>1.3888888888888889E-3</v>
      </c>
      <c r="K362" s="12" t="s">
        <v>18</v>
      </c>
      <c r="L362" s="12" t="s">
        <v>19</v>
      </c>
      <c r="M362" s="12" t="s">
        <v>48</v>
      </c>
      <c r="N362" s="12" t="s">
        <v>66</v>
      </c>
      <c r="O362" s="12" t="s">
        <v>67</v>
      </c>
    </row>
    <row r="363" spans="1:15" ht="21" customHeight="1" x14ac:dyDescent="0.3">
      <c r="A363" s="17"/>
      <c r="B363" s="2" t="s">
        <v>14</v>
      </c>
      <c r="C363" s="3">
        <v>17</v>
      </c>
      <c r="D363" s="4" t="s">
        <v>69</v>
      </c>
      <c r="E363" s="2" t="s">
        <v>49</v>
      </c>
      <c r="F363" s="2" t="s">
        <v>17</v>
      </c>
      <c r="G363" s="5">
        <v>1</v>
      </c>
      <c r="H363" s="20">
        <v>7000000</v>
      </c>
      <c r="I363" s="2">
        <v>5</v>
      </c>
      <c r="J363" s="6">
        <v>1.3888888888888889E-3</v>
      </c>
      <c r="K363" s="2" t="s">
        <v>18</v>
      </c>
      <c r="L363" s="2" t="s">
        <v>64</v>
      </c>
      <c r="M363" s="2" t="s">
        <v>48</v>
      </c>
      <c r="N363" s="2" t="s">
        <v>66</v>
      </c>
      <c r="O363" s="2" t="s">
        <v>36</v>
      </c>
    </row>
    <row r="364" spans="1:15" ht="21" customHeight="1" x14ac:dyDescent="0.3">
      <c r="A364" s="17"/>
      <c r="B364" s="12" t="s">
        <v>14</v>
      </c>
      <c r="C364" s="13">
        <v>4</v>
      </c>
      <c r="D364" s="14" t="s">
        <v>15</v>
      </c>
      <c r="E364" s="12" t="s">
        <v>28</v>
      </c>
      <c r="F364" s="12" t="s">
        <v>42</v>
      </c>
      <c r="G364" s="15">
        <v>5</v>
      </c>
      <c r="H364" s="21">
        <v>20000000</v>
      </c>
      <c r="I364" s="12">
        <v>1</v>
      </c>
      <c r="J364" s="16">
        <v>1.3888888888888889E-3</v>
      </c>
      <c r="K364" s="12" t="s">
        <v>18</v>
      </c>
      <c r="L364" s="12" t="s">
        <v>35</v>
      </c>
      <c r="M364" s="12" t="s">
        <v>51</v>
      </c>
      <c r="N364" s="12" t="s">
        <v>77</v>
      </c>
      <c r="O364" s="12" t="s">
        <v>54</v>
      </c>
    </row>
    <row r="365" spans="1:15" ht="21" customHeight="1" x14ac:dyDescent="0.3">
      <c r="A365" s="17"/>
      <c r="B365" s="2" t="s">
        <v>14</v>
      </c>
      <c r="C365" s="3">
        <v>6</v>
      </c>
      <c r="D365" s="4" t="s">
        <v>59</v>
      </c>
      <c r="E365" s="2" t="s">
        <v>28</v>
      </c>
      <c r="F365" s="2" t="s">
        <v>68</v>
      </c>
      <c r="G365" s="5">
        <v>2</v>
      </c>
      <c r="H365" s="20">
        <v>12000000</v>
      </c>
      <c r="I365" s="2">
        <v>1</v>
      </c>
      <c r="J365" s="6">
        <v>1.3888888888888889E-3</v>
      </c>
      <c r="K365" s="2" t="s">
        <v>18</v>
      </c>
      <c r="L365" s="2" t="s">
        <v>35</v>
      </c>
      <c r="M365" s="2" t="s">
        <v>33</v>
      </c>
      <c r="N365" s="2" t="s">
        <v>76</v>
      </c>
      <c r="O365" s="2" t="s">
        <v>52</v>
      </c>
    </row>
    <row r="366" spans="1:15" ht="21" customHeight="1" x14ac:dyDescent="0.3">
      <c r="A366" s="17"/>
      <c r="B366" s="12" t="s">
        <v>14</v>
      </c>
      <c r="C366" s="13">
        <v>12</v>
      </c>
      <c r="D366" s="14" t="s">
        <v>60</v>
      </c>
      <c r="E366" s="12" t="s">
        <v>32</v>
      </c>
      <c r="F366" s="12" t="s">
        <v>45</v>
      </c>
      <c r="G366" s="15">
        <v>2</v>
      </c>
      <c r="H366" s="21">
        <v>12000000</v>
      </c>
      <c r="I366" s="12">
        <v>5</v>
      </c>
      <c r="J366" s="16">
        <v>1.3888888888888889E-3</v>
      </c>
      <c r="K366" s="12" t="s">
        <v>18</v>
      </c>
      <c r="L366" s="12" t="s">
        <v>39</v>
      </c>
      <c r="M366" s="12" t="s">
        <v>30</v>
      </c>
      <c r="N366" s="12" t="s">
        <v>66</v>
      </c>
      <c r="O366" s="12" t="s">
        <v>67</v>
      </c>
    </row>
    <row r="367" spans="1:15" ht="21" customHeight="1" x14ac:dyDescent="0.3">
      <c r="A367" s="17"/>
      <c r="B367" s="2" t="s">
        <v>70</v>
      </c>
      <c r="C367" s="3">
        <v>2</v>
      </c>
      <c r="D367" s="4" t="s">
        <v>59</v>
      </c>
      <c r="E367" s="2" t="s">
        <v>16</v>
      </c>
      <c r="F367" s="2" t="s">
        <v>42</v>
      </c>
      <c r="G367" s="5">
        <v>0</v>
      </c>
      <c r="H367" s="20">
        <v>0</v>
      </c>
      <c r="I367" s="2">
        <v>1</v>
      </c>
      <c r="J367" s="6">
        <v>1.3888888888888889E-3</v>
      </c>
      <c r="K367" s="2"/>
      <c r="L367" s="2"/>
      <c r="M367" s="2" t="s">
        <v>25</v>
      </c>
      <c r="N367" s="2" t="s">
        <v>77</v>
      </c>
      <c r="O367" s="2" t="s">
        <v>65</v>
      </c>
    </row>
    <row r="368" spans="1:15" ht="21" customHeight="1" x14ac:dyDescent="0.3">
      <c r="A368" s="17"/>
      <c r="B368" s="12" t="s">
        <v>70</v>
      </c>
      <c r="C368" s="13">
        <v>30</v>
      </c>
      <c r="D368" s="14" t="s">
        <v>27</v>
      </c>
      <c r="E368" s="12" t="s">
        <v>16</v>
      </c>
      <c r="F368" s="12" t="s">
        <v>23</v>
      </c>
      <c r="G368" s="15">
        <v>0</v>
      </c>
      <c r="H368" s="21">
        <v>0</v>
      </c>
      <c r="I368" s="12">
        <v>2</v>
      </c>
      <c r="J368" s="16">
        <v>1.3888888888888889E-3</v>
      </c>
      <c r="K368" s="12"/>
      <c r="L368" s="12"/>
      <c r="M368" s="12" t="s">
        <v>43</v>
      </c>
      <c r="N368" s="12" t="s">
        <v>76</v>
      </c>
      <c r="O368" s="12" t="s">
        <v>31</v>
      </c>
    </row>
    <row r="369" spans="1:15" ht="21" customHeight="1" x14ac:dyDescent="0.3">
      <c r="A369" s="17"/>
      <c r="B369" s="2" t="s">
        <v>70</v>
      </c>
      <c r="C369" s="3">
        <v>8</v>
      </c>
      <c r="D369" s="4" t="s">
        <v>37</v>
      </c>
      <c r="E369" s="2" t="s">
        <v>38</v>
      </c>
      <c r="F369" s="2" t="s">
        <v>23</v>
      </c>
      <c r="G369" s="5">
        <v>0</v>
      </c>
      <c r="H369" s="20">
        <v>0</v>
      </c>
      <c r="I369" s="2">
        <v>1</v>
      </c>
      <c r="J369" s="6">
        <v>1.3888888888888889E-3</v>
      </c>
      <c r="K369" s="2"/>
      <c r="L369" s="2"/>
      <c r="M369" s="2" t="s">
        <v>30</v>
      </c>
      <c r="N369" s="2" t="s">
        <v>78</v>
      </c>
      <c r="O369" s="2" t="s">
        <v>62</v>
      </c>
    </row>
    <row r="370" spans="1:15" ht="21" customHeight="1" x14ac:dyDescent="0.3">
      <c r="A370" s="17"/>
      <c r="B370" s="12" t="s">
        <v>70</v>
      </c>
      <c r="C370" s="13">
        <v>20</v>
      </c>
      <c r="D370" s="14" t="s">
        <v>44</v>
      </c>
      <c r="E370" s="12" t="s">
        <v>32</v>
      </c>
      <c r="F370" s="12" t="s">
        <v>17</v>
      </c>
      <c r="G370" s="15">
        <v>0</v>
      </c>
      <c r="H370" s="21">
        <v>0</v>
      </c>
      <c r="I370" s="12">
        <v>2</v>
      </c>
      <c r="J370" s="16">
        <v>1.3888888888888889E-3</v>
      </c>
      <c r="K370" s="12"/>
      <c r="L370" s="12"/>
      <c r="M370" s="12" t="s">
        <v>33</v>
      </c>
      <c r="N370" s="12" t="s">
        <v>78</v>
      </c>
      <c r="O370" s="12" t="s">
        <v>62</v>
      </c>
    </row>
    <row r="371" spans="1:15" ht="21" customHeight="1" x14ac:dyDescent="0.3">
      <c r="A371" s="17"/>
      <c r="B371" s="2" t="s">
        <v>70</v>
      </c>
      <c r="C371" s="3">
        <v>2</v>
      </c>
      <c r="D371" s="4" t="s">
        <v>59</v>
      </c>
      <c r="E371" s="2" t="s">
        <v>16</v>
      </c>
      <c r="F371" s="2" t="s">
        <v>42</v>
      </c>
      <c r="G371" s="5">
        <v>0</v>
      </c>
      <c r="H371" s="20">
        <v>0</v>
      </c>
      <c r="I371" s="2">
        <v>1</v>
      </c>
      <c r="J371" s="6">
        <v>1.3888888888888889E-3</v>
      </c>
      <c r="K371" s="2"/>
      <c r="L371" s="2"/>
      <c r="M371" s="2" t="s">
        <v>25</v>
      </c>
      <c r="N371" s="2" t="s">
        <v>77</v>
      </c>
      <c r="O371" s="2" t="s">
        <v>65</v>
      </c>
    </row>
    <row r="372" spans="1:15" ht="21" customHeight="1" x14ac:dyDescent="0.3">
      <c r="A372" s="17"/>
      <c r="B372" s="12" t="s">
        <v>14</v>
      </c>
      <c r="C372" s="13">
        <v>10</v>
      </c>
      <c r="D372" s="14" t="s">
        <v>55</v>
      </c>
      <c r="E372" s="12" t="s">
        <v>32</v>
      </c>
      <c r="F372" s="12" t="s">
        <v>42</v>
      </c>
      <c r="G372" s="15">
        <v>2</v>
      </c>
      <c r="H372" s="21">
        <v>12000000</v>
      </c>
      <c r="I372" s="12">
        <v>1</v>
      </c>
      <c r="J372" s="16">
        <v>1.3888888888888889E-3</v>
      </c>
      <c r="K372" s="12" t="s">
        <v>18</v>
      </c>
      <c r="L372" s="12" t="s">
        <v>19</v>
      </c>
      <c r="M372" s="12" t="s">
        <v>20</v>
      </c>
      <c r="N372" s="12" t="s">
        <v>77</v>
      </c>
      <c r="O372" s="12" t="s">
        <v>34</v>
      </c>
    </row>
    <row r="373" spans="1:15" ht="21" customHeight="1" x14ac:dyDescent="0.3">
      <c r="A373" s="17"/>
      <c r="B373" s="2" t="s">
        <v>14</v>
      </c>
      <c r="C373" s="3">
        <v>1</v>
      </c>
      <c r="D373" s="4" t="s">
        <v>55</v>
      </c>
      <c r="E373" s="2" t="s">
        <v>32</v>
      </c>
      <c r="F373" s="2" t="s">
        <v>42</v>
      </c>
      <c r="G373" s="5">
        <v>3</v>
      </c>
      <c r="H373" s="20">
        <v>11000000</v>
      </c>
      <c r="I373" s="2">
        <v>2</v>
      </c>
      <c r="J373" s="6">
        <v>1.3888888888888889E-3</v>
      </c>
      <c r="K373" s="2" t="s">
        <v>18</v>
      </c>
      <c r="L373" s="2" t="s">
        <v>64</v>
      </c>
      <c r="M373" s="2" t="s">
        <v>20</v>
      </c>
      <c r="N373" s="2" t="s">
        <v>78</v>
      </c>
      <c r="O373" s="2" t="s">
        <v>63</v>
      </c>
    </row>
    <row r="374" spans="1:15" ht="21" customHeight="1" x14ac:dyDescent="0.3">
      <c r="A374" s="17"/>
      <c r="B374" s="12" t="s">
        <v>14</v>
      </c>
      <c r="C374" s="13">
        <v>11</v>
      </c>
      <c r="D374" s="14" t="s">
        <v>57</v>
      </c>
      <c r="E374" s="12" t="s">
        <v>16</v>
      </c>
      <c r="F374" s="12" t="s">
        <v>17</v>
      </c>
      <c r="G374" s="15">
        <v>2</v>
      </c>
      <c r="H374" s="21">
        <v>10000000</v>
      </c>
      <c r="I374" s="12">
        <v>2</v>
      </c>
      <c r="J374" s="16">
        <v>1.3888888888888889E-3</v>
      </c>
      <c r="K374" s="12" t="s">
        <v>18</v>
      </c>
      <c r="L374" s="12" t="s">
        <v>56</v>
      </c>
      <c r="M374" s="12" t="s">
        <v>48</v>
      </c>
      <c r="N374" s="12" t="s">
        <v>66</v>
      </c>
      <c r="O374" s="12" t="s">
        <v>36</v>
      </c>
    </row>
    <row r="375" spans="1:15" ht="21" customHeight="1" x14ac:dyDescent="0.3">
      <c r="A375" s="17"/>
      <c r="B375" s="2" t="s">
        <v>14</v>
      </c>
      <c r="C375" s="3">
        <v>3</v>
      </c>
      <c r="D375" s="4" t="s">
        <v>59</v>
      </c>
      <c r="E375" s="2" t="s">
        <v>49</v>
      </c>
      <c r="F375" s="2" t="s">
        <v>42</v>
      </c>
      <c r="G375" s="5">
        <v>2</v>
      </c>
      <c r="H375" s="20">
        <v>38000000</v>
      </c>
      <c r="I375" s="2">
        <v>1</v>
      </c>
      <c r="J375" s="6">
        <v>1.3888888888888889E-3</v>
      </c>
      <c r="K375" s="2" t="s">
        <v>46</v>
      </c>
      <c r="L375" s="2" t="s">
        <v>19</v>
      </c>
      <c r="M375" s="2" t="s">
        <v>30</v>
      </c>
      <c r="N375" s="2" t="s">
        <v>77</v>
      </c>
      <c r="O375" s="2" t="s">
        <v>65</v>
      </c>
    </row>
    <row r="376" spans="1:15" ht="21" customHeight="1" x14ac:dyDescent="0.3">
      <c r="A376" s="17"/>
      <c r="B376" s="12" t="s">
        <v>14</v>
      </c>
      <c r="C376" s="13">
        <v>20</v>
      </c>
      <c r="D376" s="14" t="s">
        <v>72</v>
      </c>
      <c r="E376" s="12" t="s">
        <v>28</v>
      </c>
      <c r="F376" s="12" t="s">
        <v>42</v>
      </c>
      <c r="G376" s="15">
        <v>1</v>
      </c>
      <c r="H376" s="21">
        <v>19000000</v>
      </c>
      <c r="I376" s="12">
        <v>5</v>
      </c>
      <c r="J376" s="16">
        <v>1.3888888888888889E-3</v>
      </c>
      <c r="K376" s="12" t="s">
        <v>46</v>
      </c>
      <c r="L376" s="12" t="s">
        <v>29</v>
      </c>
      <c r="M376" s="12" t="s">
        <v>43</v>
      </c>
      <c r="N376" s="12" t="s">
        <v>66</v>
      </c>
      <c r="O376" s="12" t="s">
        <v>67</v>
      </c>
    </row>
    <row r="377" spans="1:15" ht="21" customHeight="1" x14ac:dyDescent="0.3">
      <c r="A377" s="17"/>
      <c r="B377" s="2" t="s">
        <v>14</v>
      </c>
      <c r="C377" s="3">
        <v>11</v>
      </c>
      <c r="D377" s="4" t="s">
        <v>22</v>
      </c>
      <c r="E377" s="2" t="s">
        <v>16</v>
      </c>
      <c r="F377" s="2" t="s">
        <v>42</v>
      </c>
      <c r="G377" s="5">
        <v>3</v>
      </c>
      <c r="H377" s="20">
        <v>15000000</v>
      </c>
      <c r="I377" s="2">
        <v>4</v>
      </c>
      <c r="J377" s="6">
        <v>1.3888888888888889E-3</v>
      </c>
      <c r="K377" s="2" t="s">
        <v>18</v>
      </c>
      <c r="L377" s="2" t="s">
        <v>29</v>
      </c>
      <c r="M377" s="2" t="s">
        <v>51</v>
      </c>
      <c r="N377" s="2" t="s">
        <v>66</v>
      </c>
      <c r="O377" s="2" t="s">
        <v>67</v>
      </c>
    </row>
    <row r="378" spans="1:15" ht="21" customHeight="1" x14ac:dyDescent="0.3">
      <c r="A378" s="17"/>
      <c r="B378" s="12" t="s">
        <v>14</v>
      </c>
      <c r="C378" s="13">
        <v>28</v>
      </c>
      <c r="D378" s="14" t="s">
        <v>27</v>
      </c>
      <c r="E378" s="12" t="s">
        <v>32</v>
      </c>
      <c r="F378" s="12" t="s">
        <v>23</v>
      </c>
      <c r="G378" s="15">
        <v>1</v>
      </c>
      <c r="H378" s="21">
        <v>19000000</v>
      </c>
      <c r="I378" s="12">
        <v>4</v>
      </c>
      <c r="J378" s="16">
        <v>1.3888888888888889E-3</v>
      </c>
      <c r="K378" s="12" t="s">
        <v>74</v>
      </c>
      <c r="L378" s="12" t="s">
        <v>35</v>
      </c>
      <c r="M378" s="12" t="s">
        <v>43</v>
      </c>
      <c r="N378" s="12" t="s">
        <v>66</v>
      </c>
      <c r="O378" s="12" t="s">
        <v>36</v>
      </c>
    </row>
    <row r="379" spans="1:15" ht="21" customHeight="1" x14ac:dyDescent="0.3">
      <c r="A379" s="17"/>
      <c r="B379" s="2" t="s">
        <v>14</v>
      </c>
      <c r="C379" s="3">
        <v>30</v>
      </c>
      <c r="D379" s="4" t="s">
        <v>27</v>
      </c>
      <c r="E379" s="2" t="s">
        <v>32</v>
      </c>
      <c r="F379" s="2" t="s">
        <v>42</v>
      </c>
      <c r="G379" s="5">
        <v>2</v>
      </c>
      <c r="H379" s="20">
        <v>38000000</v>
      </c>
      <c r="I379" s="2">
        <v>1</v>
      </c>
      <c r="J379" s="6">
        <v>1.3888888888888889E-3</v>
      </c>
      <c r="K379" s="2" t="s">
        <v>46</v>
      </c>
      <c r="L379" s="2" t="s">
        <v>39</v>
      </c>
      <c r="M379" s="2" t="s">
        <v>30</v>
      </c>
      <c r="N379" s="2" t="s">
        <v>77</v>
      </c>
      <c r="O379" s="2" t="s">
        <v>54</v>
      </c>
    </row>
    <row r="380" spans="1:15" ht="21" customHeight="1" x14ac:dyDescent="0.3">
      <c r="A380" s="17"/>
      <c r="B380" s="12" t="s">
        <v>14</v>
      </c>
      <c r="C380" s="13">
        <v>11</v>
      </c>
      <c r="D380" s="14" t="s">
        <v>27</v>
      </c>
      <c r="E380" s="12" t="s">
        <v>32</v>
      </c>
      <c r="F380" s="12" t="s">
        <v>42</v>
      </c>
      <c r="G380" s="15">
        <v>5</v>
      </c>
      <c r="H380" s="21">
        <v>25000000</v>
      </c>
      <c r="I380" s="12">
        <v>2</v>
      </c>
      <c r="J380" s="16">
        <v>1.3888888888888889E-3</v>
      </c>
      <c r="K380" s="12" t="s">
        <v>18</v>
      </c>
      <c r="L380" s="12" t="s">
        <v>29</v>
      </c>
      <c r="M380" s="12" t="s">
        <v>30</v>
      </c>
      <c r="N380" s="12" t="s">
        <v>76</v>
      </c>
      <c r="O380" s="12" t="s">
        <v>75</v>
      </c>
    </row>
    <row r="381" spans="1:15" ht="21" customHeight="1" x14ac:dyDescent="0.3">
      <c r="A381" s="17"/>
      <c r="B381" s="2" t="s">
        <v>14</v>
      </c>
      <c r="C381" s="3">
        <v>12</v>
      </c>
      <c r="D381" s="4" t="s">
        <v>27</v>
      </c>
      <c r="E381" s="2" t="s">
        <v>32</v>
      </c>
      <c r="F381" s="2" t="s">
        <v>42</v>
      </c>
      <c r="G381" s="5">
        <v>5</v>
      </c>
      <c r="H381" s="20">
        <v>25000000</v>
      </c>
      <c r="I381" s="2">
        <v>5</v>
      </c>
      <c r="J381" s="6">
        <v>1.3888888888888889E-3</v>
      </c>
      <c r="K381" s="2" t="s">
        <v>18</v>
      </c>
      <c r="L381" s="2" t="s">
        <v>56</v>
      </c>
      <c r="M381" s="2" t="s">
        <v>30</v>
      </c>
      <c r="N381" s="2" t="s">
        <v>78</v>
      </c>
      <c r="O381" s="2" t="s">
        <v>63</v>
      </c>
    </row>
    <row r="382" spans="1:15" ht="21" customHeight="1" x14ac:dyDescent="0.3">
      <c r="A382" s="17"/>
      <c r="B382" s="12" t="s">
        <v>14</v>
      </c>
      <c r="C382" s="13">
        <v>17</v>
      </c>
      <c r="D382" s="14" t="s">
        <v>27</v>
      </c>
      <c r="E382" s="12" t="s">
        <v>28</v>
      </c>
      <c r="F382" s="12" t="s">
        <v>42</v>
      </c>
      <c r="G382" s="15">
        <v>2</v>
      </c>
      <c r="H382" s="21">
        <v>12000000</v>
      </c>
      <c r="I382" s="12">
        <v>4</v>
      </c>
      <c r="J382" s="16">
        <v>1.3888888888888889E-3</v>
      </c>
      <c r="K382" s="12" t="s">
        <v>18</v>
      </c>
      <c r="L382" s="12" t="s">
        <v>39</v>
      </c>
      <c r="M382" s="12" t="s">
        <v>48</v>
      </c>
      <c r="N382" s="12" t="s">
        <v>77</v>
      </c>
      <c r="O382" s="12" t="s">
        <v>54</v>
      </c>
    </row>
    <row r="383" spans="1:15" ht="21" customHeight="1" x14ac:dyDescent="0.3">
      <c r="A383" s="17"/>
      <c r="B383" s="2" t="s">
        <v>14</v>
      </c>
      <c r="C383" s="3">
        <v>29</v>
      </c>
      <c r="D383" s="4" t="s">
        <v>27</v>
      </c>
      <c r="E383" s="2" t="s">
        <v>32</v>
      </c>
      <c r="F383" s="2" t="s">
        <v>23</v>
      </c>
      <c r="G383" s="5">
        <v>4</v>
      </c>
      <c r="H383" s="20">
        <v>15000000</v>
      </c>
      <c r="I383" s="2">
        <v>3</v>
      </c>
      <c r="J383" s="6">
        <v>1.3888888888888889E-3</v>
      </c>
      <c r="K383" s="2" t="s">
        <v>18</v>
      </c>
      <c r="L383" s="2" t="s">
        <v>24</v>
      </c>
      <c r="M383" s="2" t="s">
        <v>51</v>
      </c>
      <c r="N383" s="2" t="s">
        <v>78</v>
      </c>
      <c r="O383" s="2" t="s">
        <v>53</v>
      </c>
    </row>
    <row r="384" spans="1:15" ht="21" customHeight="1" x14ac:dyDescent="0.3">
      <c r="A384" s="17"/>
      <c r="B384" s="12" t="s">
        <v>14</v>
      </c>
      <c r="C384" s="13">
        <v>8</v>
      </c>
      <c r="D384" s="14" t="s">
        <v>37</v>
      </c>
      <c r="E384" s="12" t="s">
        <v>28</v>
      </c>
      <c r="F384" s="12" t="s">
        <v>23</v>
      </c>
      <c r="G384" s="15">
        <v>1</v>
      </c>
      <c r="H384" s="21">
        <v>7000000</v>
      </c>
      <c r="I384" s="12">
        <v>1</v>
      </c>
      <c r="J384" s="16">
        <v>1.3888888888888889E-3</v>
      </c>
      <c r="K384" s="12" t="s">
        <v>18</v>
      </c>
      <c r="L384" s="12" t="s">
        <v>56</v>
      </c>
      <c r="M384" s="12" t="s">
        <v>48</v>
      </c>
      <c r="N384" s="12" t="s">
        <v>78</v>
      </c>
      <c r="O384" s="12" t="s">
        <v>41</v>
      </c>
    </row>
    <row r="385" spans="1:15" ht="21" customHeight="1" x14ac:dyDescent="0.3">
      <c r="A385" s="17"/>
      <c r="B385" s="2" t="s">
        <v>14</v>
      </c>
      <c r="C385" s="3">
        <v>27</v>
      </c>
      <c r="D385" s="4" t="s">
        <v>37</v>
      </c>
      <c r="E385" s="2" t="s">
        <v>38</v>
      </c>
      <c r="F385" s="2" t="s">
        <v>23</v>
      </c>
      <c r="G385" s="5">
        <v>1</v>
      </c>
      <c r="H385" s="20">
        <v>7000000</v>
      </c>
      <c r="I385" s="2">
        <v>1</v>
      </c>
      <c r="J385" s="6">
        <v>1.3888888888888889E-3</v>
      </c>
      <c r="K385" s="2" t="s">
        <v>18</v>
      </c>
      <c r="L385" s="2" t="s">
        <v>19</v>
      </c>
      <c r="M385" s="2" t="s">
        <v>25</v>
      </c>
      <c r="N385" s="2" t="s">
        <v>77</v>
      </c>
      <c r="O385" s="2" t="s">
        <v>54</v>
      </c>
    </row>
    <row r="386" spans="1:15" ht="21" customHeight="1" x14ac:dyDescent="0.3">
      <c r="A386" s="17"/>
      <c r="B386" s="12" t="s">
        <v>14</v>
      </c>
      <c r="C386" s="13">
        <v>2</v>
      </c>
      <c r="D386" s="14" t="s">
        <v>44</v>
      </c>
      <c r="E386" s="12" t="s">
        <v>38</v>
      </c>
      <c r="F386" s="12" t="s">
        <v>23</v>
      </c>
      <c r="G386" s="15">
        <v>4</v>
      </c>
      <c r="H386" s="21">
        <v>20000000</v>
      </c>
      <c r="I386" s="12">
        <v>1</v>
      </c>
      <c r="J386" s="16">
        <v>1.3888888888888889E-3</v>
      </c>
      <c r="K386" s="12" t="s">
        <v>61</v>
      </c>
      <c r="L386" s="12" t="s">
        <v>24</v>
      </c>
      <c r="M386" s="12" t="s">
        <v>40</v>
      </c>
      <c r="N386" s="12" t="s">
        <v>76</v>
      </c>
      <c r="O386" s="12" t="s">
        <v>52</v>
      </c>
    </row>
    <row r="387" spans="1:15" ht="21" customHeight="1" x14ac:dyDescent="0.3">
      <c r="A387" s="17"/>
      <c r="B387" s="2" t="s">
        <v>14</v>
      </c>
      <c r="C387" s="3">
        <v>1</v>
      </c>
      <c r="D387" s="4" t="s">
        <v>44</v>
      </c>
      <c r="E387" s="2" t="s">
        <v>28</v>
      </c>
      <c r="F387" s="2" t="s">
        <v>45</v>
      </c>
      <c r="G387" s="5">
        <v>4</v>
      </c>
      <c r="H387" s="20">
        <v>20000000</v>
      </c>
      <c r="I387" s="2">
        <v>1</v>
      </c>
      <c r="J387" s="6">
        <v>1.3888888888888889E-3</v>
      </c>
      <c r="K387" s="2" t="s">
        <v>18</v>
      </c>
      <c r="L387" s="2" t="s">
        <v>47</v>
      </c>
      <c r="M387" s="2" t="s">
        <v>51</v>
      </c>
      <c r="N387" s="2" t="s">
        <v>78</v>
      </c>
      <c r="O387" s="2" t="s">
        <v>41</v>
      </c>
    </row>
    <row r="388" spans="1:15" ht="21" customHeight="1" x14ac:dyDescent="0.3">
      <c r="A388" s="17"/>
      <c r="B388" s="12" t="s">
        <v>14</v>
      </c>
      <c r="C388" s="13">
        <v>31</v>
      </c>
      <c r="D388" s="14" t="s">
        <v>69</v>
      </c>
      <c r="E388" s="12" t="s">
        <v>49</v>
      </c>
      <c r="F388" s="12" t="s">
        <v>42</v>
      </c>
      <c r="G388" s="15">
        <v>3</v>
      </c>
      <c r="H388" s="21">
        <v>12000000</v>
      </c>
      <c r="I388" s="12">
        <v>1</v>
      </c>
      <c r="J388" s="16">
        <v>1.3888888888888889E-3</v>
      </c>
      <c r="K388" s="12" t="s">
        <v>18</v>
      </c>
      <c r="L388" s="12" t="s">
        <v>19</v>
      </c>
      <c r="M388" s="12" t="s">
        <v>33</v>
      </c>
      <c r="N388" s="12" t="s">
        <v>78</v>
      </c>
      <c r="O388" s="12" t="s">
        <v>53</v>
      </c>
    </row>
    <row r="389" spans="1:15" ht="21" customHeight="1" x14ac:dyDescent="0.3">
      <c r="A389" s="17"/>
      <c r="B389" s="2" t="s">
        <v>14</v>
      </c>
      <c r="C389" s="3">
        <v>30</v>
      </c>
      <c r="D389" s="4" t="s">
        <v>69</v>
      </c>
      <c r="E389" s="2" t="s">
        <v>28</v>
      </c>
      <c r="F389" s="2" t="s">
        <v>23</v>
      </c>
      <c r="G389" s="5">
        <v>2</v>
      </c>
      <c r="H389" s="20">
        <v>12000000</v>
      </c>
      <c r="I389" s="2">
        <v>1</v>
      </c>
      <c r="J389" s="6">
        <v>1.3888888888888889E-3</v>
      </c>
      <c r="K389" s="2" t="s">
        <v>18</v>
      </c>
      <c r="L389" s="2" t="s">
        <v>19</v>
      </c>
      <c r="M389" s="2" t="s">
        <v>51</v>
      </c>
      <c r="N389" s="2" t="s">
        <v>78</v>
      </c>
      <c r="O389" s="2" t="s">
        <v>63</v>
      </c>
    </row>
    <row r="390" spans="1:15" ht="21" customHeight="1" x14ac:dyDescent="0.3">
      <c r="A390" s="17"/>
      <c r="B390" s="12" t="s">
        <v>14</v>
      </c>
      <c r="C390" s="13">
        <v>10</v>
      </c>
      <c r="D390" s="14" t="s">
        <v>55</v>
      </c>
      <c r="E390" s="12" t="s">
        <v>32</v>
      </c>
      <c r="F390" s="12" t="s">
        <v>42</v>
      </c>
      <c r="G390" s="15">
        <v>2</v>
      </c>
      <c r="H390" s="21">
        <v>12000000</v>
      </c>
      <c r="I390" s="12">
        <v>1</v>
      </c>
      <c r="J390" s="16">
        <v>1.3888888888888889E-3</v>
      </c>
      <c r="K390" s="12" t="s">
        <v>18</v>
      </c>
      <c r="L390" s="12" t="s">
        <v>19</v>
      </c>
      <c r="M390" s="12" t="s">
        <v>20</v>
      </c>
      <c r="N390" s="12" t="s">
        <v>77</v>
      </c>
      <c r="O390" s="12" t="s">
        <v>34</v>
      </c>
    </row>
    <row r="391" spans="1:15" ht="21" customHeight="1" x14ac:dyDescent="0.3">
      <c r="A391" s="17"/>
      <c r="B391" s="2" t="s">
        <v>14</v>
      </c>
      <c r="C391" s="3">
        <v>1</v>
      </c>
      <c r="D391" s="4" t="s">
        <v>55</v>
      </c>
      <c r="E391" s="2" t="s">
        <v>32</v>
      </c>
      <c r="F391" s="2" t="s">
        <v>42</v>
      </c>
      <c r="G391" s="5">
        <v>3</v>
      </c>
      <c r="H391" s="20">
        <v>11000000</v>
      </c>
      <c r="I391" s="2">
        <v>2</v>
      </c>
      <c r="J391" s="6">
        <v>1.3888888888888889E-3</v>
      </c>
      <c r="K391" s="2" t="s">
        <v>18</v>
      </c>
      <c r="L391" s="2" t="s">
        <v>64</v>
      </c>
      <c r="M391" s="2" t="s">
        <v>20</v>
      </c>
      <c r="N391" s="2" t="s">
        <v>78</v>
      </c>
      <c r="O391" s="2" t="s">
        <v>63</v>
      </c>
    </row>
    <row r="392" spans="1:15" ht="21" customHeight="1" x14ac:dyDescent="0.3">
      <c r="A392" s="17"/>
      <c r="B392" s="12" t="s">
        <v>14</v>
      </c>
      <c r="C392" s="13">
        <v>11</v>
      </c>
      <c r="D392" s="14" t="s">
        <v>57</v>
      </c>
      <c r="E392" s="12" t="s">
        <v>16</v>
      </c>
      <c r="F392" s="12" t="s">
        <v>17</v>
      </c>
      <c r="G392" s="15">
        <v>2</v>
      </c>
      <c r="H392" s="21">
        <v>10000000</v>
      </c>
      <c r="I392" s="12">
        <v>2</v>
      </c>
      <c r="J392" s="16">
        <v>1.3888888888888889E-3</v>
      </c>
      <c r="K392" s="12" t="s">
        <v>18</v>
      </c>
      <c r="L392" s="12" t="s">
        <v>56</v>
      </c>
      <c r="M392" s="12" t="s">
        <v>48</v>
      </c>
      <c r="N392" s="12" t="s">
        <v>66</v>
      </c>
      <c r="O392" s="12" t="s">
        <v>36</v>
      </c>
    </row>
    <row r="393" spans="1:15" ht="21" customHeight="1" x14ac:dyDescent="0.3">
      <c r="A393" s="17"/>
      <c r="B393" s="2" t="s">
        <v>14</v>
      </c>
      <c r="C393" s="3">
        <v>3</v>
      </c>
      <c r="D393" s="4" t="s">
        <v>59</v>
      </c>
      <c r="E393" s="2" t="s">
        <v>49</v>
      </c>
      <c r="F393" s="2" t="s">
        <v>42</v>
      </c>
      <c r="G393" s="5">
        <v>2</v>
      </c>
      <c r="H393" s="20">
        <v>38000000</v>
      </c>
      <c r="I393" s="2">
        <v>1</v>
      </c>
      <c r="J393" s="6">
        <v>1.3888888888888889E-3</v>
      </c>
      <c r="K393" s="2" t="s">
        <v>46</v>
      </c>
      <c r="L393" s="2" t="s">
        <v>19</v>
      </c>
      <c r="M393" s="2" t="s">
        <v>30</v>
      </c>
      <c r="N393" s="2" t="s">
        <v>77</v>
      </c>
      <c r="O393" s="2" t="s">
        <v>65</v>
      </c>
    </row>
    <row r="394" spans="1:15" ht="21" customHeight="1" x14ac:dyDescent="0.3">
      <c r="A394" s="17"/>
      <c r="B394" s="12" t="s">
        <v>14</v>
      </c>
      <c r="C394" s="13">
        <v>20</v>
      </c>
      <c r="D394" s="14" t="s">
        <v>72</v>
      </c>
      <c r="E394" s="12" t="s">
        <v>28</v>
      </c>
      <c r="F394" s="12" t="s">
        <v>42</v>
      </c>
      <c r="G394" s="15">
        <v>1</v>
      </c>
      <c r="H394" s="21">
        <v>19000000</v>
      </c>
      <c r="I394" s="12">
        <v>5</v>
      </c>
      <c r="J394" s="16">
        <v>1.3888888888888889E-3</v>
      </c>
      <c r="K394" s="12" t="s">
        <v>46</v>
      </c>
      <c r="L394" s="12" t="s">
        <v>29</v>
      </c>
      <c r="M394" s="12" t="s">
        <v>43</v>
      </c>
      <c r="N394" s="12" t="s">
        <v>66</v>
      </c>
      <c r="O394" s="12" t="s">
        <v>67</v>
      </c>
    </row>
    <row r="395" spans="1:15" ht="21" customHeight="1" x14ac:dyDescent="0.3">
      <c r="A395" s="17"/>
      <c r="B395" s="2" t="s">
        <v>14</v>
      </c>
      <c r="C395" s="3">
        <v>11</v>
      </c>
      <c r="D395" s="4" t="s">
        <v>22</v>
      </c>
      <c r="E395" s="2" t="s">
        <v>16</v>
      </c>
      <c r="F395" s="2" t="s">
        <v>42</v>
      </c>
      <c r="G395" s="5">
        <v>3</v>
      </c>
      <c r="H395" s="20">
        <v>15000000</v>
      </c>
      <c r="I395" s="2">
        <v>4</v>
      </c>
      <c r="J395" s="6">
        <v>1.3888888888888889E-3</v>
      </c>
      <c r="K395" s="2" t="s">
        <v>18</v>
      </c>
      <c r="L395" s="2" t="s">
        <v>29</v>
      </c>
      <c r="M395" s="2" t="s">
        <v>51</v>
      </c>
      <c r="N395" s="2" t="s">
        <v>66</v>
      </c>
      <c r="O395" s="2" t="s">
        <v>67</v>
      </c>
    </row>
    <row r="396" spans="1:15" ht="21" customHeight="1" x14ac:dyDescent="0.3">
      <c r="A396" s="17"/>
      <c r="B396" s="12" t="s">
        <v>70</v>
      </c>
      <c r="C396" s="13">
        <v>5</v>
      </c>
      <c r="D396" s="14" t="s">
        <v>15</v>
      </c>
      <c r="E396" s="12" t="s">
        <v>32</v>
      </c>
      <c r="F396" s="12" t="s">
        <v>17</v>
      </c>
      <c r="G396" s="15">
        <v>0</v>
      </c>
      <c r="H396" s="21">
        <v>0</v>
      </c>
      <c r="I396" s="12">
        <v>2</v>
      </c>
      <c r="J396" s="16">
        <v>1.3888888888888889E-3</v>
      </c>
      <c r="K396" s="12"/>
      <c r="L396" s="12"/>
      <c r="M396" s="12" t="s">
        <v>48</v>
      </c>
      <c r="N396" s="12" t="s">
        <v>76</v>
      </c>
      <c r="O396" s="12" t="s">
        <v>52</v>
      </c>
    </row>
    <row r="397" spans="1:15" ht="21" customHeight="1" x14ac:dyDescent="0.3">
      <c r="A397" s="17"/>
      <c r="B397" s="2" t="s">
        <v>70</v>
      </c>
      <c r="C397" s="3">
        <v>22</v>
      </c>
      <c r="D397" s="4" t="s">
        <v>37</v>
      </c>
      <c r="E397" s="2" t="s">
        <v>32</v>
      </c>
      <c r="F397" s="2" t="s">
        <v>17</v>
      </c>
      <c r="G397" s="5">
        <v>0</v>
      </c>
      <c r="H397" s="20">
        <v>0</v>
      </c>
      <c r="I397" s="2">
        <v>1</v>
      </c>
      <c r="J397" s="6">
        <v>1.3888888888888889E-3</v>
      </c>
      <c r="K397" s="2"/>
      <c r="L397" s="2"/>
      <c r="M397" s="2" t="s">
        <v>43</v>
      </c>
      <c r="N397" s="2" t="s">
        <v>76</v>
      </c>
      <c r="O397" s="2" t="s">
        <v>31</v>
      </c>
    </row>
    <row r="398" spans="1:15" ht="21" customHeight="1" x14ac:dyDescent="0.3">
      <c r="A398" s="17"/>
      <c r="B398" s="12" t="s">
        <v>70</v>
      </c>
      <c r="C398" s="13">
        <v>26</v>
      </c>
      <c r="D398" s="14" t="s">
        <v>37</v>
      </c>
      <c r="E398" s="12" t="s">
        <v>28</v>
      </c>
      <c r="F398" s="12" t="s">
        <v>42</v>
      </c>
      <c r="G398" s="15">
        <v>0</v>
      </c>
      <c r="H398" s="21">
        <v>0</v>
      </c>
      <c r="I398" s="12">
        <v>1</v>
      </c>
      <c r="J398" s="16">
        <v>1.3888888888888889E-3</v>
      </c>
      <c r="K398" s="12"/>
      <c r="L398" s="12"/>
      <c r="M398" s="12" t="s">
        <v>40</v>
      </c>
      <c r="N398" s="12" t="s">
        <v>78</v>
      </c>
      <c r="O398" s="12" t="s">
        <v>41</v>
      </c>
    </row>
    <row r="399" spans="1:15" ht="21" customHeight="1" x14ac:dyDescent="0.3">
      <c r="A399" s="17"/>
      <c r="B399" s="2" t="s">
        <v>70</v>
      </c>
      <c r="C399" s="3">
        <v>8</v>
      </c>
      <c r="D399" s="4" t="s">
        <v>37</v>
      </c>
      <c r="E399" s="2" t="s">
        <v>32</v>
      </c>
      <c r="F399" s="2" t="s">
        <v>23</v>
      </c>
      <c r="G399" s="5">
        <v>0</v>
      </c>
      <c r="H399" s="20">
        <v>0</v>
      </c>
      <c r="I399" s="2">
        <v>5</v>
      </c>
      <c r="J399" s="6">
        <v>1.3888888888888889E-3</v>
      </c>
      <c r="K399" s="2"/>
      <c r="L399" s="2"/>
      <c r="M399" s="2" t="s">
        <v>48</v>
      </c>
      <c r="N399" s="2" t="s">
        <v>78</v>
      </c>
      <c r="O399" s="2" t="s">
        <v>63</v>
      </c>
    </row>
    <row r="400" spans="1:15" ht="21" customHeight="1" x14ac:dyDescent="0.3">
      <c r="A400" s="17"/>
      <c r="B400" s="12" t="s">
        <v>70</v>
      </c>
      <c r="C400" s="13">
        <v>17</v>
      </c>
      <c r="D400" s="14" t="s">
        <v>44</v>
      </c>
      <c r="E400" s="12" t="s">
        <v>16</v>
      </c>
      <c r="F400" s="12" t="s">
        <v>42</v>
      </c>
      <c r="G400" s="15">
        <v>0</v>
      </c>
      <c r="H400" s="21">
        <v>0</v>
      </c>
      <c r="I400" s="12">
        <v>4</v>
      </c>
      <c r="J400" s="16">
        <v>1.3888888888888889E-3</v>
      </c>
      <c r="K400" s="12"/>
      <c r="L400" s="12"/>
      <c r="M400" s="12" t="s">
        <v>48</v>
      </c>
      <c r="N400" s="12" t="s">
        <v>66</v>
      </c>
      <c r="O400" s="12" t="s">
        <v>67</v>
      </c>
    </row>
    <row r="401" spans="1:15" ht="21" customHeight="1" x14ac:dyDescent="0.3">
      <c r="A401" s="17"/>
      <c r="B401" s="2" t="s">
        <v>70</v>
      </c>
      <c r="C401" s="3">
        <v>11</v>
      </c>
      <c r="D401" s="4" t="s">
        <v>69</v>
      </c>
      <c r="E401" s="2" t="s">
        <v>28</v>
      </c>
      <c r="F401" s="2" t="s">
        <v>23</v>
      </c>
      <c r="G401" s="5">
        <v>0</v>
      </c>
      <c r="H401" s="20">
        <v>0</v>
      </c>
      <c r="I401" s="2">
        <v>2</v>
      </c>
      <c r="J401" s="6">
        <v>1.3888888888888889E-3</v>
      </c>
      <c r="K401" s="2"/>
      <c r="L401" s="2"/>
      <c r="M401" s="2" t="s">
        <v>51</v>
      </c>
      <c r="N401" s="2" t="s">
        <v>76</v>
      </c>
      <c r="O401" s="2" t="s">
        <v>52</v>
      </c>
    </row>
    <row r="402" spans="1:15" ht="21" customHeight="1" x14ac:dyDescent="0.3">
      <c r="A402" s="17"/>
      <c r="B402" s="12" t="s">
        <v>70</v>
      </c>
      <c r="C402" s="13">
        <v>22</v>
      </c>
      <c r="D402" s="14" t="s">
        <v>69</v>
      </c>
      <c r="E402" s="12" t="s">
        <v>16</v>
      </c>
      <c r="F402" s="12" t="s">
        <v>45</v>
      </c>
      <c r="G402" s="15">
        <v>0</v>
      </c>
      <c r="H402" s="21">
        <v>0</v>
      </c>
      <c r="I402" s="12">
        <v>2</v>
      </c>
      <c r="J402" s="16">
        <v>1.3888888888888889E-3</v>
      </c>
      <c r="K402" s="12"/>
      <c r="L402" s="12"/>
      <c r="M402" s="12" t="s">
        <v>33</v>
      </c>
      <c r="N402" s="12" t="s">
        <v>76</v>
      </c>
      <c r="O402" s="12" t="s">
        <v>75</v>
      </c>
    </row>
    <row r="403" spans="1:15" ht="21" customHeight="1" x14ac:dyDescent="0.3">
      <c r="A403" s="17"/>
      <c r="B403" s="2" t="s">
        <v>70</v>
      </c>
      <c r="C403" s="3">
        <v>1</v>
      </c>
      <c r="D403" s="4" t="s">
        <v>69</v>
      </c>
      <c r="E403" s="2" t="s">
        <v>28</v>
      </c>
      <c r="F403" s="2" t="s">
        <v>23</v>
      </c>
      <c r="G403" s="5">
        <v>0</v>
      </c>
      <c r="H403" s="20">
        <v>0</v>
      </c>
      <c r="I403" s="2">
        <v>3</v>
      </c>
      <c r="J403" s="6">
        <v>1.3888888888888889E-3</v>
      </c>
      <c r="K403" s="2"/>
      <c r="L403" s="2"/>
      <c r="M403" s="2" t="s">
        <v>20</v>
      </c>
      <c r="N403" s="2" t="s">
        <v>78</v>
      </c>
      <c r="O403" s="2" t="s">
        <v>53</v>
      </c>
    </row>
    <row r="404" spans="1:15" ht="21" customHeight="1" x14ac:dyDescent="0.3">
      <c r="A404" s="17"/>
      <c r="B404" s="12" t="s">
        <v>70</v>
      </c>
      <c r="C404" s="13">
        <v>5</v>
      </c>
      <c r="D404" s="14" t="s">
        <v>15</v>
      </c>
      <c r="E404" s="12" t="s">
        <v>32</v>
      </c>
      <c r="F404" s="12" t="s">
        <v>17</v>
      </c>
      <c r="G404" s="15">
        <v>0</v>
      </c>
      <c r="H404" s="21">
        <v>0</v>
      </c>
      <c r="I404" s="12">
        <v>2</v>
      </c>
      <c r="J404" s="16">
        <v>1.3888888888888889E-3</v>
      </c>
      <c r="K404" s="12"/>
      <c r="L404" s="12"/>
      <c r="M404" s="12" t="s">
        <v>48</v>
      </c>
      <c r="N404" s="12" t="s">
        <v>76</v>
      </c>
      <c r="O404" s="12" t="s">
        <v>52</v>
      </c>
    </row>
    <row r="405" spans="1:15" ht="21" customHeight="1" x14ac:dyDescent="0.3">
      <c r="A405" s="17"/>
      <c r="B405" s="2" t="s">
        <v>14</v>
      </c>
      <c r="C405" s="3">
        <v>11</v>
      </c>
      <c r="D405" s="4" t="s">
        <v>57</v>
      </c>
      <c r="E405" s="2" t="s">
        <v>16</v>
      </c>
      <c r="F405" s="2" t="s">
        <v>17</v>
      </c>
      <c r="G405" s="5">
        <v>2</v>
      </c>
      <c r="H405" s="20">
        <v>12000000</v>
      </c>
      <c r="I405" s="2">
        <v>3</v>
      </c>
      <c r="J405" s="6">
        <v>1.5046296296296294E-3</v>
      </c>
      <c r="K405" s="2" t="s">
        <v>18</v>
      </c>
      <c r="L405" s="2" t="s">
        <v>56</v>
      </c>
      <c r="M405" s="2" t="s">
        <v>48</v>
      </c>
      <c r="N405" s="2" t="s">
        <v>78</v>
      </c>
      <c r="O405" s="2" t="s">
        <v>63</v>
      </c>
    </row>
    <row r="406" spans="1:15" ht="21" customHeight="1" x14ac:dyDescent="0.3">
      <c r="A406" s="17"/>
      <c r="B406" s="12" t="s">
        <v>14</v>
      </c>
      <c r="C406" s="13">
        <v>28</v>
      </c>
      <c r="D406" s="14" t="s">
        <v>72</v>
      </c>
      <c r="E406" s="12" t="s">
        <v>49</v>
      </c>
      <c r="F406" s="12" t="s">
        <v>42</v>
      </c>
      <c r="G406" s="15">
        <v>2</v>
      </c>
      <c r="H406" s="21">
        <v>12000000</v>
      </c>
      <c r="I406" s="12">
        <v>1</v>
      </c>
      <c r="J406" s="16">
        <v>1.5046296296296294E-3</v>
      </c>
      <c r="K406" s="12" t="s">
        <v>18</v>
      </c>
      <c r="L406" s="12" t="s">
        <v>19</v>
      </c>
      <c r="M406" s="12" t="s">
        <v>48</v>
      </c>
      <c r="N406" s="12" t="s">
        <v>77</v>
      </c>
      <c r="O406" s="12" t="s">
        <v>54</v>
      </c>
    </row>
    <row r="407" spans="1:15" ht="21" customHeight="1" x14ac:dyDescent="0.3">
      <c r="A407" s="17"/>
      <c r="B407" s="2" t="s">
        <v>14</v>
      </c>
      <c r="C407" s="3">
        <v>12</v>
      </c>
      <c r="D407" s="4" t="s">
        <v>22</v>
      </c>
      <c r="E407" s="2" t="s">
        <v>28</v>
      </c>
      <c r="F407" s="2" t="s">
        <v>23</v>
      </c>
      <c r="G407" s="5">
        <v>2</v>
      </c>
      <c r="H407" s="20">
        <v>38000000</v>
      </c>
      <c r="I407" s="2">
        <v>4</v>
      </c>
      <c r="J407" s="6">
        <v>1.5046296296296294E-3</v>
      </c>
      <c r="K407" s="2" t="s">
        <v>46</v>
      </c>
      <c r="L407" s="2" t="s">
        <v>35</v>
      </c>
      <c r="M407" s="2" t="s">
        <v>33</v>
      </c>
      <c r="N407" s="2" t="s">
        <v>76</v>
      </c>
      <c r="O407" s="2" t="s">
        <v>52</v>
      </c>
    </row>
    <row r="408" spans="1:15" ht="21" customHeight="1" x14ac:dyDescent="0.3">
      <c r="A408" s="17"/>
      <c r="B408" s="12" t="s">
        <v>14</v>
      </c>
      <c r="C408" s="13">
        <v>30</v>
      </c>
      <c r="D408" s="14" t="s">
        <v>27</v>
      </c>
      <c r="E408" s="12" t="s">
        <v>73</v>
      </c>
      <c r="F408" s="12" t="s">
        <v>42</v>
      </c>
      <c r="G408" s="15">
        <v>2</v>
      </c>
      <c r="H408" s="21">
        <v>12000000</v>
      </c>
      <c r="I408" s="12">
        <v>5</v>
      </c>
      <c r="J408" s="16">
        <v>1.5046296296296294E-3</v>
      </c>
      <c r="K408" s="12" t="s">
        <v>18</v>
      </c>
      <c r="L408" s="12" t="s">
        <v>39</v>
      </c>
      <c r="M408" s="12" t="s">
        <v>30</v>
      </c>
      <c r="N408" s="12" t="s">
        <v>76</v>
      </c>
      <c r="O408" s="12" t="s">
        <v>52</v>
      </c>
    </row>
    <row r="409" spans="1:15" ht="21" customHeight="1" x14ac:dyDescent="0.3">
      <c r="A409" s="17"/>
      <c r="B409" s="2" t="s">
        <v>14</v>
      </c>
      <c r="C409" s="3">
        <v>14</v>
      </c>
      <c r="D409" s="4" t="s">
        <v>27</v>
      </c>
      <c r="E409" s="2" t="s">
        <v>73</v>
      </c>
      <c r="F409" s="2" t="s">
        <v>42</v>
      </c>
      <c r="G409" s="5">
        <v>1</v>
      </c>
      <c r="H409" s="20">
        <v>7000000</v>
      </c>
      <c r="I409" s="2">
        <v>1</v>
      </c>
      <c r="J409" s="6">
        <v>1.5046296296296294E-3</v>
      </c>
      <c r="K409" s="2" t="s">
        <v>18</v>
      </c>
      <c r="L409" s="2" t="s">
        <v>47</v>
      </c>
      <c r="M409" s="2" t="s">
        <v>25</v>
      </c>
      <c r="N409" s="2" t="s">
        <v>76</v>
      </c>
      <c r="O409" s="2" t="s">
        <v>31</v>
      </c>
    </row>
    <row r="410" spans="1:15" ht="21" customHeight="1" x14ac:dyDescent="0.3">
      <c r="A410" s="17"/>
      <c r="B410" s="12" t="s">
        <v>14</v>
      </c>
      <c r="C410" s="13">
        <v>26</v>
      </c>
      <c r="D410" s="14" t="s">
        <v>27</v>
      </c>
      <c r="E410" s="12" t="s">
        <v>49</v>
      </c>
      <c r="F410" s="12" t="s">
        <v>23</v>
      </c>
      <c r="G410" s="15">
        <v>4</v>
      </c>
      <c r="H410" s="21">
        <v>20000000</v>
      </c>
      <c r="I410" s="12">
        <v>2</v>
      </c>
      <c r="J410" s="16">
        <v>1.5046296296296294E-3</v>
      </c>
      <c r="K410" s="12" t="s">
        <v>18</v>
      </c>
      <c r="L410" s="12" t="s">
        <v>56</v>
      </c>
      <c r="M410" s="12" t="s">
        <v>51</v>
      </c>
      <c r="N410" s="12" t="s">
        <v>78</v>
      </c>
      <c r="O410" s="12" t="s">
        <v>63</v>
      </c>
    </row>
    <row r="411" spans="1:15" ht="21" customHeight="1" x14ac:dyDescent="0.3">
      <c r="A411" s="17"/>
      <c r="B411" s="2" t="s">
        <v>14</v>
      </c>
      <c r="C411" s="3">
        <v>5</v>
      </c>
      <c r="D411" s="4" t="s">
        <v>37</v>
      </c>
      <c r="E411" s="2" t="s">
        <v>28</v>
      </c>
      <c r="F411" s="2" t="s">
        <v>42</v>
      </c>
      <c r="G411" s="5">
        <v>1</v>
      </c>
      <c r="H411" s="20">
        <v>19000000</v>
      </c>
      <c r="I411" s="2">
        <v>1</v>
      </c>
      <c r="J411" s="6">
        <v>1.5046296296296294E-3</v>
      </c>
      <c r="K411" s="2" t="s">
        <v>46</v>
      </c>
      <c r="L411" s="2" t="s">
        <v>39</v>
      </c>
      <c r="M411" s="2" t="s">
        <v>43</v>
      </c>
      <c r="N411" s="2" t="s">
        <v>78</v>
      </c>
      <c r="O411" s="2" t="s">
        <v>63</v>
      </c>
    </row>
    <row r="412" spans="1:15" ht="21" customHeight="1" x14ac:dyDescent="0.3">
      <c r="A412" s="17"/>
      <c r="B412" s="12" t="s">
        <v>14</v>
      </c>
      <c r="C412" s="13">
        <v>29</v>
      </c>
      <c r="D412" s="14" t="s">
        <v>37</v>
      </c>
      <c r="E412" s="12" t="s">
        <v>28</v>
      </c>
      <c r="F412" s="12" t="s">
        <v>23</v>
      </c>
      <c r="G412" s="15">
        <v>3</v>
      </c>
      <c r="H412" s="21">
        <v>15000000</v>
      </c>
      <c r="I412" s="12">
        <v>3</v>
      </c>
      <c r="J412" s="16">
        <v>1.5046296296296294E-3</v>
      </c>
      <c r="K412" s="12" t="s">
        <v>18</v>
      </c>
      <c r="L412" s="12" t="s">
        <v>64</v>
      </c>
      <c r="M412" s="12" t="s">
        <v>40</v>
      </c>
      <c r="N412" s="12" t="s">
        <v>66</v>
      </c>
      <c r="O412" s="12" t="s">
        <v>67</v>
      </c>
    </row>
    <row r="413" spans="1:15" ht="21" customHeight="1" x14ac:dyDescent="0.3">
      <c r="A413" s="17"/>
      <c r="B413" s="2" t="s">
        <v>14</v>
      </c>
      <c r="C413" s="3">
        <v>2</v>
      </c>
      <c r="D413" s="4" t="s">
        <v>44</v>
      </c>
      <c r="E413" s="2" t="s">
        <v>16</v>
      </c>
      <c r="F413" s="2" t="s">
        <v>42</v>
      </c>
      <c r="G413" s="5">
        <v>4</v>
      </c>
      <c r="H413" s="20">
        <v>20000000</v>
      </c>
      <c r="I413" s="2">
        <v>4</v>
      </c>
      <c r="J413" s="6">
        <v>1.5046296296296294E-3</v>
      </c>
      <c r="K413" s="2" t="s">
        <v>61</v>
      </c>
      <c r="L413" s="2" t="s">
        <v>47</v>
      </c>
      <c r="M413" s="2" t="s">
        <v>40</v>
      </c>
      <c r="N413" s="2" t="s">
        <v>76</v>
      </c>
      <c r="O413" s="2" t="s">
        <v>52</v>
      </c>
    </row>
    <row r="414" spans="1:15" ht="21" customHeight="1" x14ac:dyDescent="0.3">
      <c r="A414" s="17"/>
      <c r="B414" s="12" t="s">
        <v>14</v>
      </c>
      <c r="C414" s="13">
        <v>25</v>
      </c>
      <c r="D414" s="14" t="s">
        <v>44</v>
      </c>
      <c r="E414" s="12" t="s">
        <v>16</v>
      </c>
      <c r="F414" s="12" t="s">
        <v>17</v>
      </c>
      <c r="G414" s="15">
        <v>5</v>
      </c>
      <c r="H414" s="21">
        <v>25000000</v>
      </c>
      <c r="I414" s="12">
        <v>4</v>
      </c>
      <c r="J414" s="16">
        <v>1.5046296296296294E-3</v>
      </c>
      <c r="K414" s="12" t="s">
        <v>18</v>
      </c>
      <c r="L414" s="12" t="s">
        <v>19</v>
      </c>
      <c r="M414" s="12" t="s">
        <v>48</v>
      </c>
      <c r="N414" s="12" t="s">
        <v>78</v>
      </c>
      <c r="O414" s="12" t="s">
        <v>53</v>
      </c>
    </row>
    <row r="415" spans="1:15" ht="21" customHeight="1" x14ac:dyDescent="0.3">
      <c r="A415" s="17"/>
      <c r="B415" s="2" t="s">
        <v>14</v>
      </c>
      <c r="C415" s="3">
        <v>17</v>
      </c>
      <c r="D415" s="4" t="s">
        <v>44</v>
      </c>
      <c r="E415" s="2" t="s">
        <v>32</v>
      </c>
      <c r="F415" s="2" t="s">
        <v>17</v>
      </c>
      <c r="G415" s="5">
        <v>5</v>
      </c>
      <c r="H415" s="20">
        <v>21000000</v>
      </c>
      <c r="I415" s="2">
        <v>1</v>
      </c>
      <c r="J415" s="6">
        <v>1.5046296296296294E-3</v>
      </c>
      <c r="K415" s="2" t="s">
        <v>18</v>
      </c>
      <c r="L415" s="2" t="s">
        <v>64</v>
      </c>
      <c r="M415" s="2" t="s">
        <v>51</v>
      </c>
      <c r="N415" s="2" t="s">
        <v>66</v>
      </c>
      <c r="O415" s="2" t="s">
        <v>36</v>
      </c>
    </row>
    <row r="416" spans="1:15" ht="21" customHeight="1" x14ac:dyDescent="0.3">
      <c r="A416" s="17"/>
      <c r="B416" s="12" t="s">
        <v>14</v>
      </c>
      <c r="C416" s="13">
        <v>11</v>
      </c>
      <c r="D416" s="14" t="s">
        <v>57</v>
      </c>
      <c r="E416" s="12" t="s">
        <v>16</v>
      </c>
      <c r="F416" s="12" t="s">
        <v>17</v>
      </c>
      <c r="G416" s="15">
        <v>2</v>
      </c>
      <c r="H416" s="21">
        <v>12000000</v>
      </c>
      <c r="I416" s="12">
        <v>3</v>
      </c>
      <c r="J416" s="16">
        <v>1.5046296296296294E-3</v>
      </c>
      <c r="K416" s="12" t="s">
        <v>18</v>
      </c>
      <c r="L416" s="12" t="s">
        <v>56</v>
      </c>
      <c r="M416" s="12" t="s">
        <v>48</v>
      </c>
      <c r="N416" s="12" t="s">
        <v>78</v>
      </c>
      <c r="O416" s="12" t="s">
        <v>63</v>
      </c>
    </row>
    <row r="417" spans="1:15" ht="21" customHeight="1" x14ac:dyDescent="0.3">
      <c r="A417" s="17"/>
      <c r="B417" s="2" t="s">
        <v>14</v>
      </c>
      <c r="C417" s="3">
        <v>28</v>
      </c>
      <c r="D417" s="4" t="s">
        <v>72</v>
      </c>
      <c r="E417" s="2" t="s">
        <v>49</v>
      </c>
      <c r="F417" s="2" t="s">
        <v>42</v>
      </c>
      <c r="G417" s="5">
        <v>2</v>
      </c>
      <c r="H417" s="20">
        <v>12000000</v>
      </c>
      <c r="I417" s="2">
        <v>1</v>
      </c>
      <c r="J417" s="6">
        <v>1.5046296296296294E-3</v>
      </c>
      <c r="K417" s="2" t="s">
        <v>18</v>
      </c>
      <c r="L417" s="2" t="s">
        <v>19</v>
      </c>
      <c r="M417" s="2" t="s">
        <v>48</v>
      </c>
      <c r="N417" s="2" t="s">
        <v>77</v>
      </c>
      <c r="O417" s="2" t="s">
        <v>54</v>
      </c>
    </row>
    <row r="418" spans="1:15" ht="21" customHeight="1" x14ac:dyDescent="0.3">
      <c r="A418" s="17"/>
      <c r="B418" s="12" t="s">
        <v>14</v>
      </c>
      <c r="C418" s="13">
        <v>12</v>
      </c>
      <c r="D418" s="14" t="s">
        <v>22</v>
      </c>
      <c r="E418" s="12" t="s">
        <v>28</v>
      </c>
      <c r="F418" s="12" t="s">
        <v>23</v>
      </c>
      <c r="G418" s="15">
        <v>2</v>
      </c>
      <c r="H418" s="21">
        <v>38000000</v>
      </c>
      <c r="I418" s="12">
        <v>4</v>
      </c>
      <c r="J418" s="16">
        <v>1.5046296296296294E-3</v>
      </c>
      <c r="K418" s="12" t="s">
        <v>46</v>
      </c>
      <c r="L418" s="12" t="s">
        <v>35</v>
      </c>
      <c r="M418" s="12" t="s">
        <v>33</v>
      </c>
      <c r="N418" s="12" t="s">
        <v>76</v>
      </c>
      <c r="O418" s="12" t="s">
        <v>52</v>
      </c>
    </row>
    <row r="419" spans="1:15" ht="21" customHeight="1" x14ac:dyDescent="0.3">
      <c r="A419" s="17"/>
      <c r="B419" s="2" t="s">
        <v>70</v>
      </c>
      <c r="C419" s="3">
        <v>30</v>
      </c>
      <c r="D419" s="4" t="s">
        <v>44</v>
      </c>
      <c r="E419" s="2" t="s">
        <v>16</v>
      </c>
      <c r="F419" s="2" t="s">
        <v>45</v>
      </c>
      <c r="G419" s="5">
        <v>0</v>
      </c>
      <c r="H419" s="20">
        <v>0</v>
      </c>
      <c r="I419" s="2">
        <v>2</v>
      </c>
      <c r="J419" s="6">
        <v>1.5046296296296294E-3</v>
      </c>
      <c r="K419" s="2"/>
      <c r="L419" s="2"/>
      <c r="M419" s="2" t="s">
        <v>33</v>
      </c>
      <c r="N419" s="2" t="s">
        <v>66</v>
      </c>
      <c r="O419" s="2" t="s">
        <v>36</v>
      </c>
    </row>
    <row r="420" spans="1:15" ht="21" customHeight="1" x14ac:dyDescent="0.3">
      <c r="A420" s="17"/>
      <c r="B420" s="12" t="s">
        <v>70</v>
      </c>
      <c r="C420" s="13">
        <v>11</v>
      </c>
      <c r="D420" s="14" t="s">
        <v>44</v>
      </c>
      <c r="E420" s="12" t="s">
        <v>38</v>
      </c>
      <c r="F420" s="12" t="s">
        <v>23</v>
      </c>
      <c r="G420" s="15">
        <v>0</v>
      </c>
      <c r="H420" s="21">
        <v>0</v>
      </c>
      <c r="I420" s="12">
        <v>3</v>
      </c>
      <c r="J420" s="16">
        <v>1.5046296296296294E-3</v>
      </c>
      <c r="K420" s="12"/>
      <c r="L420" s="12"/>
      <c r="M420" s="12" t="s">
        <v>20</v>
      </c>
      <c r="N420" s="12" t="s">
        <v>76</v>
      </c>
      <c r="O420" s="12" t="s">
        <v>52</v>
      </c>
    </row>
    <row r="421" spans="1:15" ht="21" customHeight="1" x14ac:dyDescent="0.3">
      <c r="A421" s="17"/>
      <c r="B421" s="2" t="s">
        <v>14</v>
      </c>
      <c r="C421" s="3">
        <v>11</v>
      </c>
      <c r="D421" s="4" t="s">
        <v>55</v>
      </c>
      <c r="E421" s="2" t="s">
        <v>49</v>
      </c>
      <c r="F421" s="2" t="s">
        <v>17</v>
      </c>
      <c r="G421" s="5">
        <v>5</v>
      </c>
      <c r="H421" s="20">
        <v>25000000</v>
      </c>
      <c r="I421" s="2">
        <v>3</v>
      </c>
      <c r="J421" s="6">
        <v>1.5277777777777779E-3</v>
      </c>
      <c r="K421" s="2" t="s">
        <v>18</v>
      </c>
      <c r="L421" s="2" t="s">
        <v>47</v>
      </c>
      <c r="M421" s="2" t="s">
        <v>20</v>
      </c>
      <c r="N421" s="2" t="s">
        <v>66</v>
      </c>
      <c r="O421" s="2" t="s">
        <v>36</v>
      </c>
    </row>
    <row r="422" spans="1:15" ht="21" customHeight="1" x14ac:dyDescent="0.3">
      <c r="A422" s="17"/>
      <c r="B422" s="12" t="s">
        <v>14</v>
      </c>
      <c r="C422" s="13">
        <v>15</v>
      </c>
      <c r="D422" s="14" t="s">
        <v>55</v>
      </c>
      <c r="E422" s="12" t="s">
        <v>32</v>
      </c>
      <c r="F422" s="12" t="s">
        <v>42</v>
      </c>
      <c r="G422" s="15">
        <v>2</v>
      </c>
      <c r="H422" s="21">
        <v>12000000</v>
      </c>
      <c r="I422" s="12">
        <v>1</v>
      </c>
      <c r="J422" s="16">
        <v>1.5277777777777779E-3</v>
      </c>
      <c r="K422" s="12" t="s">
        <v>18</v>
      </c>
      <c r="L422" s="12" t="s">
        <v>29</v>
      </c>
      <c r="M422" s="12" t="s">
        <v>43</v>
      </c>
      <c r="N422" s="12" t="s">
        <v>76</v>
      </c>
      <c r="O422" s="12" t="s">
        <v>31</v>
      </c>
    </row>
    <row r="423" spans="1:15" ht="21" customHeight="1" x14ac:dyDescent="0.3">
      <c r="A423" s="17"/>
      <c r="B423" s="2" t="s">
        <v>14</v>
      </c>
      <c r="C423" s="3">
        <v>14</v>
      </c>
      <c r="D423" s="4" t="s">
        <v>57</v>
      </c>
      <c r="E423" s="2" t="s">
        <v>28</v>
      </c>
      <c r="F423" s="2" t="s">
        <v>23</v>
      </c>
      <c r="G423" s="5">
        <v>2</v>
      </c>
      <c r="H423" s="20">
        <v>12000000</v>
      </c>
      <c r="I423" s="2">
        <v>1</v>
      </c>
      <c r="J423" s="6">
        <v>1.5277777777777779E-3</v>
      </c>
      <c r="K423" s="2" t="s">
        <v>18</v>
      </c>
      <c r="L423" s="2" t="s">
        <v>47</v>
      </c>
      <c r="M423" s="2" t="s">
        <v>30</v>
      </c>
      <c r="N423" s="2" t="s">
        <v>77</v>
      </c>
      <c r="O423" s="2" t="s">
        <v>65</v>
      </c>
    </row>
    <row r="424" spans="1:15" ht="21" customHeight="1" x14ac:dyDescent="0.3">
      <c r="A424" s="17"/>
      <c r="B424" s="12" t="s">
        <v>14</v>
      </c>
      <c r="C424" s="13">
        <v>11</v>
      </c>
      <c r="D424" s="14" t="s">
        <v>57</v>
      </c>
      <c r="E424" s="12" t="s">
        <v>16</v>
      </c>
      <c r="F424" s="12" t="s">
        <v>42</v>
      </c>
      <c r="G424" s="15">
        <v>1</v>
      </c>
      <c r="H424" s="21">
        <v>7000000</v>
      </c>
      <c r="I424" s="12">
        <v>1</v>
      </c>
      <c r="J424" s="16">
        <v>1.5277777777777779E-3</v>
      </c>
      <c r="K424" s="12" t="s">
        <v>18</v>
      </c>
      <c r="L424" s="12" t="s">
        <v>39</v>
      </c>
      <c r="M424" s="12" t="s">
        <v>33</v>
      </c>
      <c r="N424" s="12" t="s">
        <v>76</v>
      </c>
      <c r="O424" s="12" t="s">
        <v>31</v>
      </c>
    </row>
    <row r="425" spans="1:15" ht="21" customHeight="1" x14ac:dyDescent="0.3">
      <c r="A425" s="17"/>
      <c r="B425" s="2" t="s">
        <v>14</v>
      </c>
      <c r="C425" s="3">
        <v>1</v>
      </c>
      <c r="D425" s="4" t="s">
        <v>59</v>
      </c>
      <c r="E425" s="2" t="s">
        <v>28</v>
      </c>
      <c r="F425" s="2" t="s">
        <v>17</v>
      </c>
      <c r="G425" s="5">
        <v>4</v>
      </c>
      <c r="H425" s="20">
        <v>20000000</v>
      </c>
      <c r="I425" s="2">
        <v>2</v>
      </c>
      <c r="J425" s="6">
        <v>1.5277777777777779E-3</v>
      </c>
      <c r="K425" s="2" t="s">
        <v>61</v>
      </c>
      <c r="L425" s="2" t="s">
        <v>29</v>
      </c>
      <c r="M425" s="2" t="s">
        <v>25</v>
      </c>
      <c r="N425" s="2" t="s">
        <v>78</v>
      </c>
      <c r="O425" s="2" t="s">
        <v>53</v>
      </c>
    </row>
    <row r="426" spans="1:15" ht="21" customHeight="1" x14ac:dyDescent="0.3">
      <c r="A426" s="17"/>
      <c r="B426" s="12" t="s">
        <v>14</v>
      </c>
      <c r="C426" s="13">
        <v>7</v>
      </c>
      <c r="D426" s="14" t="s">
        <v>59</v>
      </c>
      <c r="E426" s="12" t="s">
        <v>28</v>
      </c>
      <c r="F426" s="12" t="s">
        <v>42</v>
      </c>
      <c r="G426" s="15">
        <v>3</v>
      </c>
      <c r="H426" s="21">
        <v>15000000</v>
      </c>
      <c r="I426" s="12">
        <v>1</v>
      </c>
      <c r="J426" s="16">
        <v>1.5277777777777779E-3</v>
      </c>
      <c r="K426" s="12" t="s">
        <v>18</v>
      </c>
      <c r="L426" s="12" t="s">
        <v>47</v>
      </c>
      <c r="M426" s="12" t="s">
        <v>43</v>
      </c>
      <c r="N426" s="12" t="s">
        <v>78</v>
      </c>
      <c r="O426" s="12" t="s">
        <v>41</v>
      </c>
    </row>
    <row r="427" spans="1:15" ht="21" customHeight="1" x14ac:dyDescent="0.3">
      <c r="A427" s="17"/>
      <c r="B427" s="2" t="s">
        <v>14</v>
      </c>
      <c r="C427" s="3">
        <v>1</v>
      </c>
      <c r="D427" s="4" t="s">
        <v>59</v>
      </c>
      <c r="E427" s="2" t="s">
        <v>32</v>
      </c>
      <c r="F427" s="2" t="s">
        <v>23</v>
      </c>
      <c r="G427" s="5">
        <v>3</v>
      </c>
      <c r="H427" s="20">
        <v>15000000</v>
      </c>
      <c r="I427" s="2">
        <v>2</v>
      </c>
      <c r="J427" s="6">
        <v>1.5277777777777779E-3</v>
      </c>
      <c r="K427" s="2" t="s">
        <v>18</v>
      </c>
      <c r="L427" s="2" t="s">
        <v>19</v>
      </c>
      <c r="M427" s="2" t="s">
        <v>51</v>
      </c>
      <c r="N427" s="2" t="s">
        <v>76</v>
      </c>
      <c r="O427" s="2" t="s">
        <v>52</v>
      </c>
    </row>
    <row r="428" spans="1:15" ht="21" customHeight="1" x14ac:dyDescent="0.3">
      <c r="A428" s="17"/>
      <c r="B428" s="12" t="s">
        <v>14</v>
      </c>
      <c r="C428" s="13">
        <v>6</v>
      </c>
      <c r="D428" s="14" t="s">
        <v>72</v>
      </c>
      <c r="E428" s="12" t="s">
        <v>49</v>
      </c>
      <c r="F428" s="12" t="s">
        <v>42</v>
      </c>
      <c r="G428" s="15">
        <v>2</v>
      </c>
      <c r="H428" s="21">
        <v>38000000</v>
      </c>
      <c r="I428" s="12">
        <v>1</v>
      </c>
      <c r="J428" s="16">
        <v>1.5277777777777779E-3</v>
      </c>
      <c r="K428" s="12" t="s">
        <v>46</v>
      </c>
      <c r="L428" s="12" t="s">
        <v>29</v>
      </c>
      <c r="M428" s="12" t="s">
        <v>20</v>
      </c>
      <c r="N428" s="12" t="s">
        <v>78</v>
      </c>
      <c r="O428" s="12" t="s">
        <v>62</v>
      </c>
    </row>
    <row r="429" spans="1:15" ht="21" customHeight="1" x14ac:dyDescent="0.3">
      <c r="A429" s="17"/>
      <c r="B429" s="2" t="s">
        <v>14</v>
      </c>
      <c r="C429" s="3">
        <v>31</v>
      </c>
      <c r="D429" s="4" t="s">
        <v>22</v>
      </c>
      <c r="E429" s="2" t="s">
        <v>28</v>
      </c>
      <c r="F429" s="2" t="s">
        <v>23</v>
      </c>
      <c r="G429" s="5">
        <v>1</v>
      </c>
      <c r="H429" s="20">
        <v>19000000</v>
      </c>
      <c r="I429" s="2">
        <v>2</v>
      </c>
      <c r="J429" s="6">
        <v>1.5277777777777779E-3</v>
      </c>
      <c r="K429" s="2" t="s">
        <v>46</v>
      </c>
      <c r="L429" s="2" t="s">
        <v>19</v>
      </c>
      <c r="M429" s="2" t="s">
        <v>30</v>
      </c>
      <c r="N429" s="2" t="s">
        <v>76</v>
      </c>
      <c r="O429" s="2" t="s">
        <v>52</v>
      </c>
    </row>
    <row r="430" spans="1:15" ht="21" customHeight="1" x14ac:dyDescent="0.3">
      <c r="A430" s="17"/>
      <c r="B430" s="12" t="s">
        <v>14</v>
      </c>
      <c r="C430" s="13">
        <v>12</v>
      </c>
      <c r="D430" s="14" t="s">
        <v>22</v>
      </c>
      <c r="E430" s="12" t="s">
        <v>28</v>
      </c>
      <c r="F430" s="12" t="s">
        <v>42</v>
      </c>
      <c r="G430" s="15">
        <v>2</v>
      </c>
      <c r="H430" s="21">
        <v>10000000</v>
      </c>
      <c r="I430" s="12">
        <v>4</v>
      </c>
      <c r="J430" s="16">
        <v>1.5277777777777779E-3</v>
      </c>
      <c r="K430" s="12" t="s">
        <v>18</v>
      </c>
      <c r="L430" s="12" t="s">
        <v>24</v>
      </c>
      <c r="M430" s="12" t="s">
        <v>40</v>
      </c>
      <c r="N430" s="12" t="s">
        <v>66</v>
      </c>
      <c r="O430" s="12" t="s">
        <v>36</v>
      </c>
    </row>
    <row r="431" spans="1:15" ht="21" customHeight="1" x14ac:dyDescent="0.3">
      <c r="A431" s="17"/>
      <c r="B431" s="2" t="s">
        <v>14</v>
      </c>
      <c r="C431" s="3">
        <v>28</v>
      </c>
      <c r="D431" s="4" t="s">
        <v>27</v>
      </c>
      <c r="E431" s="2" t="s">
        <v>73</v>
      </c>
      <c r="F431" s="2" t="s">
        <v>68</v>
      </c>
      <c r="G431" s="5">
        <v>5</v>
      </c>
      <c r="H431" s="20">
        <v>21000000</v>
      </c>
      <c r="I431" s="2">
        <v>3</v>
      </c>
      <c r="J431" s="6">
        <v>1.5277777777777779E-3</v>
      </c>
      <c r="K431" s="2" t="s">
        <v>18</v>
      </c>
      <c r="L431" s="2" t="s">
        <v>56</v>
      </c>
      <c r="M431" s="2" t="s">
        <v>40</v>
      </c>
      <c r="N431" s="2" t="s">
        <v>76</v>
      </c>
      <c r="O431" s="2" t="s">
        <v>75</v>
      </c>
    </row>
    <row r="432" spans="1:15" ht="21" customHeight="1" x14ac:dyDescent="0.3">
      <c r="A432" s="17"/>
      <c r="B432" s="12" t="s">
        <v>14</v>
      </c>
      <c r="C432" s="13">
        <v>2</v>
      </c>
      <c r="D432" s="14" t="s">
        <v>27</v>
      </c>
      <c r="E432" s="12" t="s">
        <v>16</v>
      </c>
      <c r="F432" s="12" t="s">
        <v>45</v>
      </c>
      <c r="G432" s="15">
        <v>2</v>
      </c>
      <c r="H432" s="21">
        <v>10000000</v>
      </c>
      <c r="I432" s="12">
        <v>2</v>
      </c>
      <c r="J432" s="16">
        <v>1.5277777777777779E-3</v>
      </c>
      <c r="K432" s="12" t="s">
        <v>18</v>
      </c>
      <c r="L432" s="12" t="s">
        <v>47</v>
      </c>
      <c r="M432" s="12" t="s">
        <v>30</v>
      </c>
      <c r="N432" s="12" t="s">
        <v>76</v>
      </c>
      <c r="O432" s="12" t="s">
        <v>31</v>
      </c>
    </row>
    <row r="433" spans="1:15" ht="21" customHeight="1" x14ac:dyDescent="0.3">
      <c r="A433" s="17"/>
      <c r="B433" s="2" t="s">
        <v>14</v>
      </c>
      <c r="C433" s="3">
        <v>21</v>
      </c>
      <c r="D433" s="4" t="s">
        <v>27</v>
      </c>
      <c r="E433" s="2" t="s">
        <v>32</v>
      </c>
      <c r="F433" s="2" t="s">
        <v>23</v>
      </c>
      <c r="G433" s="5">
        <v>2</v>
      </c>
      <c r="H433" s="20">
        <v>12000000</v>
      </c>
      <c r="I433" s="2">
        <v>3</v>
      </c>
      <c r="J433" s="6">
        <v>1.5277777777777779E-3</v>
      </c>
      <c r="K433" s="2" t="s">
        <v>18</v>
      </c>
      <c r="L433" s="2" t="s">
        <v>19</v>
      </c>
      <c r="M433" s="2" t="s">
        <v>30</v>
      </c>
      <c r="N433" s="2" t="s">
        <v>77</v>
      </c>
      <c r="O433" s="2" t="s">
        <v>54</v>
      </c>
    </row>
    <row r="434" spans="1:15" ht="21" customHeight="1" x14ac:dyDescent="0.3">
      <c r="A434" s="17"/>
      <c r="B434" s="12" t="s">
        <v>14</v>
      </c>
      <c r="C434" s="13">
        <v>30</v>
      </c>
      <c r="D434" s="14" t="s">
        <v>27</v>
      </c>
      <c r="E434" s="12" t="s">
        <v>28</v>
      </c>
      <c r="F434" s="12" t="s">
        <v>17</v>
      </c>
      <c r="G434" s="15">
        <v>4</v>
      </c>
      <c r="H434" s="21">
        <v>15000000</v>
      </c>
      <c r="I434" s="12">
        <v>1</v>
      </c>
      <c r="J434" s="16">
        <v>1.5277777777777779E-3</v>
      </c>
      <c r="K434" s="12" t="s">
        <v>18</v>
      </c>
      <c r="L434" s="12" t="s">
        <v>39</v>
      </c>
      <c r="M434" s="12" t="s">
        <v>25</v>
      </c>
      <c r="N434" s="12" t="s">
        <v>76</v>
      </c>
      <c r="O434" s="12" t="s">
        <v>75</v>
      </c>
    </row>
    <row r="435" spans="1:15" ht="21" customHeight="1" x14ac:dyDescent="0.3">
      <c r="A435" s="17"/>
      <c r="B435" s="2" t="s">
        <v>14</v>
      </c>
      <c r="C435" s="3">
        <v>24</v>
      </c>
      <c r="D435" s="4" t="s">
        <v>27</v>
      </c>
      <c r="E435" s="2" t="s">
        <v>73</v>
      </c>
      <c r="F435" s="2" t="s">
        <v>42</v>
      </c>
      <c r="G435" s="5">
        <v>5</v>
      </c>
      <c r="H435" s="20">
        <v>25000000</v>
      </c>
      <c r="I435" s="2">
        <v>2</v>
      </c>
      <c r="J435" s="6">
        <v>1.5277777777777779E-3</v>
      </c>
      <c r="K435" s="2" t="s">
        <v>18</v>
      </c>
      <c r="L435" s="2" t="s">
        <v>19</v>
      </c>
      <c r="M435" s="2" t="s">
        <v>33</v>
      </c>
      <c r="N435" s="2" t="s">
        <v>66</v>
      </c>
      <c r="O435" s="2" t="s">
        <v>36</v>
      </c>
    </row>
    <row r="436" spans="1:15" ht="21" customHeight="1" x14ac:dyDescent="0.3">
      <c r="A436" s="17"/>
      <c r="B436" s="12" t="s">
        <v>14</v>
      </c>
      <c r="C436" s="13">
        <v>24</v>
      </c>
      <c r="D436" s="14" t="s">
        <v>27</v>
      </c>
      <c r="E436" s="12" t="s">
        <v>38</v>
      </c>
      <c r="F436" s="12" t="s">
        <v>23</v>
      </c>
      <c r="G436" s="15">
        <v>3</v>
      </c>
      <c r="H436" s="21">
        <v>15000000</v>
      </c>
      <c r="I436" s="12">
        <v>2</v>
      </c>
      <c r="J436" s="16">
        <v>1.5277777777777779E-3</v>
      </c>
      <c r="K436" s="12" t="s">
        <v>18</v>
      </c>
      <c r="L436" s="12" t="s">
        <v>50</v>
      </c>
      <c r="M436" s="12" t="s">
        <v>40</v>
      </c>
      <c r="N436" s="12" t="s">
        <v>76</v>
      </c>
      <c r="O436" s="12" t="s">
        <v>26</v>
      </c>
    </row>
    <row r="437" spans="1:15" ht="21" customHeight="1" x14ac:dyDescent="0.3">
      <c r="A437" s="17"/>
      <c r="B437" s="2" t="s">
        <v>14</v>
      </c>
      <c r="C437" s="3">
        <v>30</v>
      </c>
      <c r="D437" s="4" t="s">
        <v>27</v>
      </c>
      <c r="E437" s="2" t="s">
        <v>49</v>
      </c>
      <c r="F437" s="2" t="s">
        <v>17</v>
      </c>
      <c r="G437" s="5">
        <v>2</v>
      </c>
      <c r="H437" s="20">
        <v>12000000</v>
      </c>
      <c r="I437" s="2">
        <v>2</v>
      </c>
      <c r="J437" s="6">
        <v>1.5277777777777779E-3</v>
      </c>
      <c r="K437" s="2" t="s">
        <v>18</v>
      </c>
      <c r="L437" s="2" t="s">
        <v>47</v>
      </c>
      <c r="M437" s="2" t="s">
        <v>20</v>
      </c>
      <c r="N437" s="2" t="s">
        <v>77</v>
      </c>
      <c r="O437" s="2" t="s">
        <v>65</v>
      </c>
    </row>
    <row r="438" spans="1:15" ht="21" customHeight="1" x14ac:dyDescent="0.3">
      <c r="A438" s="17"/>
      <c r="B438" s="12" t="s">
        <v>14</v>
      </c>
      <c r="C438" s="13">
        <v>22</v>
      </c>
      <c r="D438" s="14" t="s">
        <v>27</v>
      </c>
      <c r="E438" s="12" t="s">
        <v>49</v>
      </c>
      <c r="F438" s="12" t="s">
        <v>17</v>
      </c>
      <c r="G438" s="15">
        <v>3</v>
      </c>
      <c r="H438" s="21">
        <v>12000000</v>
      </c>
      <c r="I438" s="12">
        <v>2</v>
      </c>
      <c r="J438" s="16">
        <v>1.5277777777777779E-3</v>
      </c>
      <c r="K438" s="12" t="s">
        <v>18</v>
      </c>
      <c r="L438" s="12" t="s">
        <v>19</v>
      </c>
      <c r="M438" s="12" t="s">
        <v>43</v>
      </c>
      <c r="N438" s="12" t="s">
        <v>77</v>
      </c>
      <c r="O438" s="12" t="s">
        <v>54</v>
      </c>
    </row>
    <row r="439" spans="1:15" ht="21" customHeight="1" x14ac:dyDescent="0.3">
      <c r="A439" s="17"/>
      <c r="B439" s="2" t="s">
        <v>14</v>
      </c>
      <c r="C439" s="3">
        <v>26</v>
      </c>
      <c r="D439" s="4" t="s">
        <v>27</v>
      </c>
      <c r="E439" s="2" t="s">
        <v>32</v>
      </c>
      <c r="F439" s="2" t="s">
        <v>68</v>
      </c>
      <c r="G439" s="5">
        <v>5</v>
      </c>
      <c r="H439" s="20">
        <v>25000000</v>
      </c>
      <c r="I439" s="2">
        <v>3</v>
      </c>
      <c r="J439" s="6">
        <v>1.5277777777777779E-3</v>
      </c>
      <c r="K439" s="2" t="s">
        <v>18</v>
      </c>
      <c r="L439" s="2" t="s">
        <v>56</v>
      </c>
      <c r="M439" s="2" t="s">
        <v>48</v>
      </c>
      <c r="N439" s="2" t="s">
        <v>76</v>
      </c>
      <c r="O439" s="2" t="s">
        <v>52</v>
      </c>
    </row>
    <row r="440" spans="1:15" ht="21" customHeight="1" x14ac:dyDescent="0.3">
      <c r="A440" s="17"/>
      <c r="B440" s="12" t="s">
        <v>14</v>
      </c>
      <c r="C440" s="13">
        <v>29</v>
      </c>
      <c r="D440" s="14" t="s">
        <v>37</v>
      </c>
      <c r="E440" s="12" t="s">
        <v>32</v>
      </c>
      <c r="F440" s="12" t="s">
        <v>42</v>
      </c>
      <c r="G440" s="15">
        <v>1</v>
      </c>
      <c r="H440" s="21">
        <v>19000000</v>
      </c>
      <c r="I440" s="12">
        <v>4</v>
      </c>
      <c r="J440" s="16">
        <v>1.5277777777777779E-3</v>
      </c>
      <c r="K440" s="12" t="s">
        <v>46</v>
      </c>
      <c r="L440" s="12" t="s">
        <v>35</v>
      </c>
      <c r="M440" s="12" t="s">
        <v>48</v>
      </c>
      <c r="N440" s="12" t="s">
        <v>78</v>
      </c>
      <c r="O440" s="12" t="s">
        <v>53</v>
      </c>
    </row>
    <row r="441" spans="1:15" ht="21" customHeight="1" x14ac:dyDescent="0.3">
      <c r="A441" s="17"/>
      <c r="B441" s="2" t="s">
        <v>14</v>
      </c>
      <c r="C441" s="3">
        <v>20</v>
      </c>
      <c r="D441" s="4" t="s">
        <v>37</v>
      </c>
      <c r="E441" s="2" t="s">
        <v>28</v>
      </c>
      <c r="F441" s="2" t="s">
        <v>42</v>
      </c>
      <c r="G441" s="5">
        <v>2</v>
      </c>
      <c r="H441" s="20">
        <v>38000000</v>
      </c>
      <c r="I441" s="2">
        <v>5</v>
      </c>
      <c r="J441" s="6">
        <v>1.5277777777777779E-3</v>
      </c>
      <c r="K441" s="2" t="s">
        <v>46</v>
      </c>
      <c r="L441" s="2" t="s">
        <v>19</v>
      </c>
      <c r="M441" s="2" t="s">
        <v>51</v>
      </c>
      <c r="N441" s="2" t="s">
        <v>78</v>
      </c>
      <c r="O441" s="2" t="s">
        <v>41</v>
      </c>
    </row>
    <row r="442" spans="1:15" ht="21" customHeight="1" x14ac:dyDescent="0.3">
      <c r="A442" s="17"/>
      <c r="B442" s="12" t="s">
        <v>14</v>
      </c>
      <c r="C442" s="13">
        <v>4</v>
      </c>
      <c r="D442" s="14" t="s">
        <v>37</v>
      </c>
      <c r="E442" s="12" t="s">
        <v>32</v>
      </c>
      <c r="F442" s="12" t="s">
        <v>17</v>
      </c>
      <c r="G442" s="15">
        <v>5</v>
      </c>
      <c r="H442" s="21">
        <v>20000000</v>
      </c>
      <c r="I442" s="12">
        <v>2</v>
      </c>
      <c r="J442" s="16">
        <v>1.5277777777777779E-3</v>
      </c>
      <c r="K442" s="12" t="s">
        <v>18</v>
      </c>
      <c r="L442" s="12" t="s">
        <v>24</v>
      </c>
      <c r="M442" s="12" t="s">
        <v>30</v>
      </c>
      <c r="N442" s="12" t="s">
        <v>78</v>
      </c>
      <c r="O442" s="12" t="s">
        <v>63</v>
      </c>
    </row>
    <row r="443" spans="1:15" ht="21" customHeight="1" x14ac:dyDescent="0.3">
      <c r="A443" s="17"/>
      <c r="B443" s="2" t="s">
        <v>14</v>
      </c>
      <c r="C443" s="3">
        <v>20</v>
      </c>
      <c r="D443" s="4" t="s">
        <v>37</v>
      </c>
      <c r="E443" s="2" t="s">
        <v>32</v>
      </c>
      <c r="F443" s="2" t="s">
        <v>23</v>
      </c>
      <c r="G443" s="5">
        <v>2</v>
      </c>
      <c r="H443" s="20">
        <v>12000000</v>
      </c>
      <c r="I443" s="2">
        <v>2</v>
      </c>
      <c r="J443" s="6">
        <v>1.5277777777777779E-3</v>
      </c>
      <c r="K443" s="2" t="s">
        <v>18</v>
      </c>
      <c r="L443" s="2" t="s">
        <v>19</v>
      </c>
      <c r="M443" s="2" t="s">
        <v>30</v>
      </c>
      <c r="N443" s="2" t="s">
        <v>66</v>
      </c>
      <c r="O443" s="2" t="s">
        <v>67</v>
      </c>
    </row>
    <row r="444" spans="1:15" ht="21" customHeight="1" x14ac:dyDescent="0.3">
      <c r="A444" s="17"/>
      <c r="B444" s="12" t="s">
        <v>14</v>
      </c>
      <c r="C444" s="13">
        <v>22</v>
      </c>
      <c r="D444" s="14" t="s">
        <v>37</v>
      </c>
      <c r="E444" s="12" t="s">
        <v>49</v>
      </c>
      <c r="F444" s="12" t="s">
        <v>42</v>
      </c>
      <c r="G444" s="15">
        <v>1</v>
      </c>
      <c r="H444" s="21">
        <v>7000000</v>
      </c>
      <c r="I444" s="12">
        <v>1</v>
      </c>
      <c r="J444" s="16">
        <v>1.5277777777777779E-3</v>
      </c>
      <c r="K444" s="12" t="s">
        <v>18</v>
      </c>
      <c r="L444" s="12" t="s">
        <v>39</v>
      </c>
      <c r="M444" s="12" t="s">
        <v>33</v>
      </c>
      <c r="N444" s="12" t="s">
        <v>78</v>
      </c>
      <c r="O444" s="12" t="s">
        <v>41</v>
      </c>
    </row>
    <row r="445" spans="1:15" ht="21" customHeight="1" x14ac:dyDescent="0.3">
      <c r="A445" s="17"/>
      <c r="B445" s="2" t="s">
        <v>14</v>
      </c>
      <c r="C445" s="3">
        <v>30</v>
      </c>
      <c r="D445" s="4" t="s">
        <v>37</v>
      </c>
      <c r="E445" s="2" t="s">
        <v>38</v>
      </c>
      <c r="F445" s="2" t="s">
        <v>23</v>
      </c>
      <c r="G445" s="5">
        <v>3</v>
      </c>
      <c r="H445" s="20">
        <v>15000000</v>
      </c>
      <c r="I445" s="2">
        <v>2</v>
      </c>
      <c r="J445" s="6">
        <v>1.5277777777777779E-3</v>
      </c>
      <c r="K445" s="2" t="s">
        <v>18</v>
      </c>
      <c r="L445" s="2" t="s">
        <v>56</v>
      </c>
      <c r="M445" s="2" t="s">
        <v>48</v>
      </c>
      <c r="N445" s="2" t="s">
        <v>76</v>
      </c>
      <c r="O445" s="2" t="s">
        <v>26</v>
      </c>
    </row>
    <row r="446" spans="1:15" ht="21" customHeight="1" x14ac:dyDescent="0.3">
      <c r="A446" s="17"/>
      <c r="B446" s="12" t="s">
        <v>14</v>
      </c>
      <c r="C446" s="13">
        <v>3</v>
      </c>
      <c r="D446" s="14" t="s">
        <v>37</v>
      </c>
      <c r="E446" s="12" t="s">
        <v>16</v>
      </c>
      <c r="F446" s="12" t="s">
        <v>17</v>
      </c>
      <c r="G446" s="15">
        <v>3</v>
      </c>
      <c r="H446" s="21">
        <v>15000000</v>
      </c>
      <c r="I446" s="12">
        <v>2</v>
      </c>
      <c r="J446" s="16">
        <v>1.5277777777777779E-3</v>
      </c>
      <c r="K446" s="12" t="s">
        <v>18</v>
      </c>
      <c r="L446" s="12" t="s">
        <v>19</v>
      </c>
      <c r="M446" s="12" t="s">
        <v>25</v>
      </c>
      <c r="N446" s="12" t="s">
        <v>78</v>
      </c>
      <c r="O446" s="12" t="s">
        <v>62</v>
      </c>
    </row>
    <row r="447" spans="1:15" ht="21" customHeight="1" x14ac:dyDescent="0.3">
      <c r="A447" s="17"/>
      <c r="B447" s="2" t="s">
        <v>14</v>
      </c>
      <c r="C447" s="3">
        <v>8</v>
      </c>
      <c r="D447" s="4" t="s">
        <v>37</v>
      </c>
      <c r="E447" s="2" t="s">
        <v>16</v>
      </c>
      <c r="F447" s="2" t="s">
        <v>45</v>
      </c>
      <c r="G447" s="5">
        <v>4</v>
      </c>
      <c r="H447" s="20">
        <v>20000000</v>
      </c>
      <c r="I447" s="2">
        <v>3</v>
      </c>
      <c r="J447" s="6">
        <v>1.5277777777777779E-3</v>
      </c>
      <c r="K447" s="2" t="s">
        <v>18</v>
      </c>
      <c r="L447" s="2" t="s">
        <v>29</v>
      </c>
      <c r="M447" s="2" t="s">
        <v>48</v>
      </c>
      <c r="N447" s="2" t="s">
        <v>77</v>
      </c>
      <c r="O447" s="2" t="s">
        <v>54</v>
      </c>
    </row>
    <row r="448" spans="1:15" ht="21" customHeight="1" x14ac:dyDescent="0.3">
      <c r="A448" s="17"/>
      <c r="B448" s="12" t="s">
        <v>14</v>
      </c>
      <c r="C448" s="13">
        <v>23</v>
      </c>
      <c r="D448" s="14" t="s">
        <v>37</v>
      </c>
      <c r="E448" s="12" t="s">
        <v>16</v>
      </c>
      <c r="F448" s="12" t="s">
        <v>42</v>
      </c>
      <c r="G448" s="15">
        <v>3</v>
      </c>
      <c r="H448" s="21">
        <v>15000000</v>
      </c>
      <c r="I448" s="12">
        <v>1</v>
      </c>
      <c r="J448" s="16">
        <v>1.5277777777777779E-3</v>
      </c>
      <c r="K448" s="12" t="s">
        <v>18</v>
      </c>
      <c r="L448" s="12" t="s">
        <v>29</v>
      </c>
      <c r="M448" s="12" t="s">
        <v>51</v>
      </c>
      <c r="N448" s="12" t="s">
        <v>66</v>
      </c>
      <c r="O448" s="12" t="s">
        <v>67</v>
      </c>
    </row>
    <row r="449" spans="1:15" ht="21" customHeight="1" x14ac:dyDescent="0.3">
      <c r="A449" s="17"/>
      <c r="B449" s="2" t="s">
        <v>14</v>
      </c>
      <c r="C449" s="3">
        <v>22</v>
      </c>
      <c r="D449" s="4" t="s">
        <v>44</v>
      </c>
      <c r="E449" s="2" t="s">
        <v>32</v>
      </c>
      <c r="F449" s="2" t="s">
        <v>42</v>
      </c>
      <c r="G449" s="5">
        <v>2</v>
      </c>
      <c r="H449" s="20">
        <v>38000000</v>
      </c>
      <c r="I449" s="2">
        <v>3</v>
      </c>
      <c r="J449" s="6">
        <v>1.5277777777777779E-3</v>
      </c>
      <c r="K449" s="2" t="s">
        <v>46</v>
      </c>
      <c r="L449" s="2" t="s">
        <v>64</v>
      </c>
      <c r="M449" s="2" t="s">
        <v>25</v>
      </c>
      <c r="N449" s="2" t="s">
        <v>78</v>
      </c>
      <c r="O449" s="2" t="s">
        <v>62</v>
      </c>
    </row>
    <row r="450" spans="1:15" ht="21" customHeight="1" x14ac:dyDescent="0.3">
      <c r="A450" s="17"/>
      <c r="B450" s="12" t="s">
        <v>14</v>
      </c>
      <c r="C450" s="13">
        <v>3</v>
      </c>
      <c r="D450" s="14" t="s">
        <v>44</v>
      </c>
      <c r="E450" s="12" t="s">
        <v>32</v>
      </c>
      <c r="F450" s="12" t="s">
        <v>23</v>
      </c>
      <c r="G450" s="15">
        <v>1</v>
      </c>
      <c r="H450" s="21">
        <v>19000000</v>
      </c>
      <c r="I450" s="12">
        <v>3</v>
      </c>
      <c r="J450" s="16">
        <v>1.5277777777777779E-3</v>
      </c>
      <c r="K450" s="12" t="s">
        <v>46</v>
      </c>
      <c r="L450" s="12" t="s">
        <v>29</v>
      </c>
      <c r="M450" s="12" t="s">
        <v>48</v>
      </c>
      <c r="N450" s="12" t="s">
        <v>76</v>
      </c>
      <c r="O450" s="12" t="s">
        <v>31</v>
      </c>
    </row>
    <row r="451" spans="1:15" ht="21" customHeight="1" x14ac:dyDescent="0.3">
      <c r="A451" s="17"/>
      <c r="B451" s="2" t="s">
        <v>14</v>
      </c>
      <c r="C451" s="3">
        <v>6</v>
      </c>
      <c r="D451" s="4" t="s">
        <v>44</v>
      </c>
      <c r="E451" s="2" t="s">
        <v>32</v>
      </c>
      <c r="F451" s="2" t="s">
        <v>23</v>
      </c>
      <c r="G451" s="5">
        <v>3</v>
      </c>
      <c r="H451" s="20">
        <v>11000000</v>
      </c>
      <c r="I451" s="2">
        <v>5</v>
      </c>
      <c r="J451" s="6">
        <v>1.5277777777777779E-3</v>
      </c>
      <c r="K451" s="2" t="s">
        <v>18</v>
      </c>
      <c r="L451" s="2" t="s">
        <v>50</v>
      </c>
      <c r="M451" s="2" t="s">
        <v>30</v>
      </c>
      <c r="N451" s="2" t="s">
        <v>66</v>
      </c>
      <c r="O451" s="2" t="s">
        <v>67</v>
      </c>
    </row>
    <row r="452" spans="1:15" ht="21" customHeight="1" x14ac:dyDescent="0.3">
      <c r="A452" s="17"/>
      <c r="B452" s="12" t="s">
        <v>14</v>
      </c>
      <c r="C452" s="13">
        <v>22</v>
      </c>
      <c r="D452" s="14" t="s">
        <v>44</v>
      </c>
      <c r="E452" s="12" t="s">
        <v>32</v>
      </c>
      <c r="F452" s="12" t="s">
        <v>42</v>
      </c>
      <c r="G452" s="15">
        <v>5</v>
      </c>
      <c r="H452" s="21">
        <v>25000000</v>
      </c>
      <c r="I452" s="12">
        <v>2</v>
      </c>
      <c r="J452" s="16">
        <v>1.5277777777777779E-3</v>
      </c>
      <c r="K452" s="12" t="s">
        <v>18</v>
      </c>
      <c r="L452" s="12" t="s">
        <v>39</v>
      </c>
      <c r="M452" s="12" t="s">
        <v>43</v>
      </c>
      <c r="N452" s="12" t="s">
        <v>78</v>
      </c>
      <c r="O452" s="12" t="s">
        <v>41</v>
      </c>
    </row>
    <row r="453" spans="1:15" ht="21" customHeight="1" x14ac:dyDescent="0.3">
      <c r="A453" s="17"/>
      <c r="B453" s="2" t="s">
        <v>14</v>
      </c>
      <c r="C453" s="3">
        <v>22</v>
      </c>
      <c r="D453" s="4" t="s">
        <v>44</v>
      </c>
      <c r="E453" s="2" t="s">
        <v>49</v>
      </c>
      <c r="F453" s="2" t="s">
        <v>17</v>
      </c>
      <c r="G453" s="5">
        <v>2</v>
      </c>
      <c r="H453" s="20">
        <v>12000000</v>
      </c>
      <c r="I453" s="2">
        <v>1</v>
      </c>
      <c r="J453" s="6">
        <v>1.5277777777777779E-3</v>
      </c>
      <c r="K453" s="2" t="s">
        <v>18</v>
      </c>
      <c r="L453" s="2" t="s">
        <v>64</v>
      </c>
      <c r="M453" s="2" t="s">
        <v>33</v>
      </c>
      <c r="N453" s="2" t="s">
        <v>78</v>
      </c>
      <c r="O453" s="2" t="s">
        <v>62</v>
      </c>
    </row>
    <row r="454" spans="1:15" ht="21" customHeight="1" x14ac:dyDescent="0.3">
      <c r="A454" s="17"/>
      <c r="B454" s="12" t="s">
        <v>14</v>
      </c>
      <c r="C454" s="13">
        <v>11</v>
      </c>
      <c r="D454" s="14" t="s">
        <v>44</v>
      </c>
      <c r="E454" s="12" t="s">
        <v>28</v>
      </c>
      <c r="F454" s="12" t="s">
        <v>42</v>
      </c>
      <c r="G454" s="15">
        <v>3</v>
      </c>
      <c r="H454" s="21">
        <v>15000000</v>
      </c>
      <c r="I454" s="12">
        <v>1</v>
      </c>
      <c r="J454" s="16">
        <v>1.5277777777777779E-3</v>
      </c>
      <c r="K454" s="12" t="s">
        <v>18</v>
      </c>
      <c r="L454" s="12" t="s">
        <v>50</v>
      </c>
      <c r="M454" s="12" t="s">
        <v>48</v>
      </c>
      <c r="N454" s="12" t="s">
        <v>78</v>
      </c>
      <c r="O454" s="12" t="s">
        <v>41</v>
      </c>
    </row>
    <row r="455" spans="1:15" ht="21" customHeight="1" x14ac:dyDescent="0.3">
      <c r="A455" s="17"/>
      <c r="B455" s="2" t="s">
        <v>14</v>
      </c>
      <c r="C455" s="3">
        <v>17</v>
      </c>
      <c r="D455" s="4" t="s">
        <v>44</v>
      </c>
      <c r="E455" s="2" t="s">
        <v>16</v>
      </c>
      <c r="F455" s="2" t="s">
        <v>23</v>
      </c>
      <c r="G455" s="5">
        <v>3</v>
      </c>
      <c r="H455" s="20">
        <v>15000000</v>
      </c>
      <c r="I455" s="2">
        <v>5</v>
      </c>
      <c r="J455" s="6">
        <v>1.5277777777777779E-3</v>
      </c>
      <c r="K455" s="2" t="s">
        <v>18</v>
      </c>
      <c r="L455" s="2" t="s">
        <v>39</v>
      </c>
      <c r="M455" s="2" t="s">
        <v>48</v>
      </c>
      <c r="N455" s="2" t="s">
        <v>76</v>
      </c>
      <c r="O455" s="2" t="s">
        <v>26</v>
      </c>
    </row>
    <row r="456" spans="1:15" ht="21" customHeight="1" x14ac:dyDescent="0.3">
      <c r="A456" s="17"/>
      <c r="B456" s="12" t="s">
        <v>14</v>
      </c>
      <c r="C456" s="13">
        <v>1</v>
      </c>
      <c r="D456" s="14" t="s">
        <v>44</v>
      </c>
      <c r="E456" s="12" t="s">
        <v>28</v>
      </c>
      <c r="F456" s="12" t="s">
        <v>42</v>
      </c>
      <c r="G456" s="15">
        <v>4</v>
      </c>
      <c r="H456" s="21">
        <v>20000000</v>
      </c>
      <c r="I456" s="12">
        <v>1</v>
      </c>
      <c r="J456" s="16">
        <v>1.5277777777777779E-3</v>
      </c>
      <c r="K456" s="12" t="s">
        <v>18</v>
      </c>
      <c r="L456" s="12" t="s">
        <v>29</v>
      </c>
      <c r="M456" s="12" t="s">
        <v>51</v>
      </c>
      <c r="N456" s="12" t="s">
        <v>76</v>
      </c>
      <c r="O456" s="12" t="s">
        <v>52</v>
      </c>
    </row>
    <row r="457" spans="1:15" ht="21" customHeight="1" x14ac:dyDescent="0.3">
      <c r="A457" s="17"/>
      <c r="B457" s="2" t="s">
        <v>14</v>
      </c>
      <c r="C457" s="3">
        <v>11</v>
      </c>
      <c r="D457" s="4" t="s">
        <v>69</v>
      </c>
      <c r="E457" s="2" t="s">
        <v>49</v>
      </c>
      <c r="F457" s="2" t="s">
        <v>23</v>
      </c>
      <c r="G457" s="5">
        <v>4</v>
      </c>
      <c r="H457" s="20">
        <v>20000000</v>
      </c>
      <c r="I457" s="2">
        <v>3</v>
      </c>
      <c r="J457" s="6">
        <v>1.5277777777777779E-3</v>
      </c>
      <c r="K457" s="2" t="s">
        <v>61</v>
      </c>
      <c r="L457" s="2" t="s">
        <v>64</v>
      </c>
      <c r="M457" s="2" t="s">
        <v>33</v>
      </c>
      <c r="N457" s="2" t="s">
        <v>77</v>
      </c>
      <c r="O457" s="2" t="s">
        <v>65</v>
      </c>
    </row>
    <row r="458" spans="1:15" ht="21" customHeight="1" x14ac:dyDescent="0.3">
      <c r="A458" s="17"/>
      <c r="B458" s="12" t="s">
        <v>14</v>
      </c>
      <c r="C458" s="13">
        <v>25</v>
      </c>
      <c r="D458" s="14" t="s">
        <v>69</v>
      </c>
      <c r="E458" s="12" t="s">
        <v>49</v>
      </c>
      <c r="F458" s="12" t="s">
        <v>42</v>
      </c>
      <c r="G458" s="15">
        <v>2</v>
      </c>
      <c r="H458" s="21">
        <v>12000000</v>
      </c>
      <c r="I458" s="12">
        <v>2</v>
      </c>
      <c r="J458" s="16">
        <v>1.5277777777777779E-3</v>
      </c>
      <c r="K458" s="12" t="s">
        <v>18</v>
      </c>
      <c r="L458" s="12" t="s">
        <v>29</v>
      </c>
      <c r="M458" s="12" t="s">
        <v>33</v>
      </c>
      <c r="N458" s="12" t="s">
        <v>77</v>
      </c>
      <c r="O458" s="12" t="s">
        <v>65</v>
      </c>
    </row>
    <row r="459" spans="1:15" ht="21" customHeight="1" x14ac:dyDescent="0.3">
      <c r="A459" s="17"/>
      <c r="B459" s="2" t="s">
        <v>14</v>
      </c>
      <c r="C459" s="3">
        <v>24</v>
      </c>
      <c r="D459" s="4" t="s">
        <v>69</v>
      </c>
      <c r="E459" s="2" t="s">
        <v>16</v>
      </c>
      <c r="F459" s="2" t="s">
        <v>17</v>
      </c>
      <c r="G459" s="5">
        <v>3</v>
      </c>
      <c r="H459" s="20">
        <v>15000000</v>
      </c>
      <c r="I459" s="2">
        <v>3</v>
      </c>
      <c r="J459" s="6">
        <v>1.5277777777777779E-3</v>
      </c>
      <c r="K459" s="2" t="s">
        <v>18</v>
      </c>
      <c r="L459" s="2" t="s">
        <v>19</v>
      </c>
      <c r="M459" s="2" t="s">
        <v>43</v>
      </c>
      <c r="N459" s="2" t="s">
        <v>66</v>
      </c>
      <c r="O459" s="2" t="s">
        <v>67</v>
      </c>
    </row>
    <row r="460" spans="1:15" ht="21" customHeight="1" x14ac:dyDescent="0.3">
      <c r="A460" s="17"/>
      <c r="B460" s="12" t="s">
        <v>14</v>
      </c>
      <c r="C460" s="13">
        <v>31</v>
      </c>
      <c r="D460" s="14" t="s">
        <v>69</v>
      </c>
      <c r="E460" s="12" t="s">
        <v>16</v>
      </c>
      <c r="F460" s="12" t="s">
        <v>23</v>
      </c>
      <c r="G460" s="15">
        <v>2</v>
      </c>
      <c r="H460" s="21">
        <v>12000000</v>
      </c>
      <c r="I460" s="12">
        <v>2</v>
      </c>
      <c r="J460" s="16">
        <v>1.5277777777777779E-3</v>
      </c>
      <c r="K460" s="12" t="s">
        <v>18</v>
      </c>
      <c r="L460" s="12" t="s">
        <v>24</v>
      </c>
      <c r="M460" s="12" t="s">
        <v>51</v>
      </c>
      <c r="N460" s="12" t="s">
        <v>76</v>
      </c>
      <c r="O460" s="12" t="s">
        <v>26</v>
      </c>
    </row>
    <row r="461" spans="1:15" ht="21" customHeight="1" x14ac:dyDescent="0.3">
      <c r="A461" s="17"/>
      <c r="B461" s="2" t="s">
        <v>14</v>
      </c>
      <c r="C461" s="3">
        <v>11</v>
      </c>
      <c r="D461" s="4" t="s">
        <v>55</v>
      </c>
      <c r="E461" s="2" t="s">
        <v>49</v>
      </c>
      <c r="F461" s="2" t="s">
        <v>17</v>
      </c>
      <c r="G461" s="5">
        <v>5</v>
      </c>
      <c r="H461" s="20">
        <v>25000000</v>
      </c>
      <c r="I461" s="2">
        <v>3</v>
      </c>
      <c r="J461" s="6">
        <v>1.5277777777777779E-3</v>
      </c>
      <c r="K461" s="2" t="s">
        <v>18</v>
      </c>
      <c r="L461" s="2" t="s">
        <v>47</v>
      </c>
      <c r="M461" s="2" t="s">
        <v>20</v>
      </c>
      <c r="N461" s="2" t="s">
        <v>66</v>
      </c>
      <c r="O461" s="2" t="s">
        <v>36</v>
      </c>
    </row>
    <row r="462" spans="1:15" ht="21" customHeight="1" x14ac:dyDescent="0.3">
      <c r="A462" s="17"/>
      <c r="B462" s="12" t="s">
        <v>14</v>
      </c>
      <c r="C462" s="13">
        <v>15</v>
      </c>
      <c r="D462" s="14" t="s">
        <v>55</v>
      </c>
      <c r="E462" s="12" t="s">
        <v>32</v>
      </c>
      <c r="F462" s="12" t="s">
        <v>42</v>
      </c>
      <c r="G462" s="15">
        <v>2</v>
      </c>
      <c r="H462" s="21">
        <v>12000000</v>
      </c>
      <c r="I462" s="12">
        <v>1</v>
      </c>
      <c r="J462" s="16">
        <v>1.5277777777777779E-3</v>
      </c>
      <c r="K462" s="12" t="s">
        <v>18</v>
      </c>
      <c r="L462" s="12" t="s">
        <v>29</v>
      </c>
      <c r="M462" s="12" t="s">
        <v>43</v>
      </c>
      <c r="N462" s="12" t="s">
        <v>76</v>
      </c>
      <c r="O462" s="12" t="s">
        <v>31</v>
      </c>
    </row>
    <row r="463" spans="1:15" ht="21" customHeight="1" x14ac:dyDescent="0.3">
      <c r="A463" s="17"/>
      <c r="B463" s="2" t="s">
        <v>14</v>
      </c>
      <c r="C463" s="3">
        <v>14</v>
      </c>
      <c r="D463" s="4" t="s">
        <v>57</v>
      </c>
      <c r="E463" s="2" t="s">
        <v>28</v>
      </c>
      <c r="F463" s="2" t="s">
        <v>23</v>
      </c>
      <c r="G463" s="5">
        <v>2</v>
      </c>
      <c r="H463" s="20">
        <v>12000000</v>
      </c>
      <c r="I463" s="2">
        <v>1</v>
      </c>
      <c r="J463" s="6">
        <v>1.5277777777777779E-3</v>
      </c>
      <c r="K463" s="2" t="s">
        <v>18</v>
      </c>
      <c r="L463" s="2" t="s">
        <v>47</v>
      </c>
      <c r="M463" s="2" t="s">
        <v>30</v>
      </c>
      <c r="N463" s="2" t="s">
        <v>77</v>
      </c>
      <c r="O463" s="2" t="s">
        <v>65</v>
      </c>
    </row>
    <row r="464" spans="1:15" ht="21" customHeight="1" x14ac:dyDescent="0.3">
      <c r="A464" s="17"/>
      <c r="B464" s="12" t="s">
        <v>14</v>
      </c>
      <c r="C464" s="13">
        <v>11</v>
      </c>
      <c r="D464" s="14" t="s">
        <v>57</v>
      </c>
      <c r="E464" s="12" t="s">
        <v>16</v>
      </c>
      <c r="F464" s="12" t="s">
        <v>42</v>
      </c>
      <c r="G464" s="15">
        <v>1</v>
      </c>
      <c r="H464" s="21">
        <v>7000000</v>
      </c>
      <c r="I464" s="12">
        <v>1</v>
      </c>
      <c r="J464" s="16">
        <v>1.5277777777777779E-3</v>
      </c>
      <c r="K464" s="12" t="s">
        <v>18</v>
      </c>
      <c r="L464" s="12" t="s">
        <v>39</v>
      </c>
      <c r="M464" s="12" t="s">
        <v>33</v>
      </c>
      <c r="N464" s="12" t="s">
        <v>76</v>
      </c>
      <c r="O464" s="12" t="s">
        <v>31</v>
      </c>
    </row>
    <row r="465" spans="1:15" ht="21" customHeight="1" x14ac:dyDescent="0.3">
      <c r="A465" s="17"/>
      <c r="B465" s="2" t="s">
        <v>14</v>
      </c>
      <c r="C465" s="3">
        <v>1</v>
      </c>
      <c r="D465" s="4" t="s">
        <v>59</v>
      </c>
      <c r="E465" s="2" t="s">
        <v>28</v>
      </c>
      <c r="F465" s="2" t="s">
        <v>17</v>
      </c>
      <c r="G465" s="5">
        <v>4</v>
      </c>
      <c r="H465" s="20">
        <v>20000000</v>
      </c>
      <c r="I465" s="2">
        <v>2</v>
      </c>
      <c r="J465" s="6">
        <v>1.5277777777777779E-3</v>
      </c>
      <c r="K465" s="2" t="s">
        <v>61</v>
      </c>
      <c r="L465" s="2" t="s">
        <v>29</v>
      </c>
      <c r="M465" s="2" t="s">
        <v>25</v>
      </c>
      <c r="N465" s="2" t="s">
        <v>78</v>
      </c>
      <c r="O465" s="2" t="s">
        <v>53</v>
      </c>
    </row>
    <row r="466" spans="1:15" ht="21" customHeight="1" x14ac:dyDescent="0.3">
      <c r="A466" s="17"/>
      <c r="B466" s="12" t="s">
        <v>14</v>
      </c>
      <c r="C466" s="13">
        <v>7</v>
      </c>
      <c r="D466" s="14" t="s">
        <v>59</v>
      </c>
      <c r="E466" s="12" t="s">
        <v>28</v>
      </c>
      <c r="F466" s="12" t="s">
        <v>42</v>
      </c>
      <c r="G466" s="15">
        <v>3</v>
      </c>
      <c r="H466" s="21">
        <v>15000000</v>
      </c>
      <c r="I466" s="12">
        <v>1</v>
      </c>
      <c r="J466" s="16">
        <v>1.5277777777777779E-3</v>
      </c>
      <c r="K466" s="12" t="s">
        <v>18</v>
      </c>
      <c r="L466" s="12" t="s">
        <v>47</v>
      </c>
      <c r="M466" s="12" t="s">
        <v>43</v>
      </c>
      <c r="N466" s="12" t="s">
        <v>78</v>
      </c>
      <c r="O466" s="12" t="s">
        <v>41</v>
      </c>
    </row>
    <row r="467" spans="1:15" ht="21" customHeight="1" x14ac:dyDescent="0.3">
      <c r="A467" s="17"/>
      <c r="B467" s="2" t="s">
        <v>14</v>
      </c>
      <c r="C467" s="3">
        <v>1</v>
      </c>
      <c r="D467" s="4" t="s">
        <v>59</v>
      </c>
      <c r="E467" s="2" t="s">
        <v>32</v>
      </c>
      <c r="F467" s="2" t="s">
        <v>23</v>
      </c>
      <c r="G467" s="5">
        <v>3</v>
      </c>
      <c r="H467" s="20">
        <v>15000000</v>
      </c>
      <c r="I467" s="2">
        <v>2</v>
      </c>
      <c r="J467" s="6">
        <v>1.5277777777777779E-3</v>
      </c>
      <c r="K467" s="2" t="s">
        <v>18</v>
      </c>
      <c r="L467" s="2" t="s">
        <v>19</v>
      </c>
      <c r="M467" s="2" t="s">
        <v>51</v>
      </c>
      <c r="N467" s="2" t="s">
        <v>76</v>
      </c>
      <c r="O467" s="2" t="s">
        <v>52</v>
      </c>
    </row>
    <row r="468" spans="1:15" ht="21" customHeight="1" x14ac:dyDescent="0.3">
      <c r="A468" s="17"/>
      <c r="B468" s="12" t="s">
        <v>14</v>
      </c>
      <c r="C468" s="13">
        <v>6</v>
      </c>
      <c r="D468" s="14" t="s">
        <v>72</v>
      </c>
      <c r="E468" s="12" t="s">
        <v>49</v>
      </c>
      <c r="F468" s="12" t="s">
        <v>42</v>
      </c>
      <c r="G468" s="15">
        <v>2</v>
      </c>
      <c r="H468" s="21">
        <v>38000000</v>
      </c>
      <c r="I468" s="12">
        <v>1</v>
      </c>
      <c r="J468" s="16">
        <v>1.5277777777777779E-3</v>
      </c>
      <c r="K468" s="12" t="s">
        <v>46</v>
      </c>
      <c r="L468" s="12" t="s">
        <v>29</v>
      </c>
      <c r="M468" s="12" t="s">
        <v>20</v>
      </c>
      <c r="N468" s="12" t="s">
        <v>78</v>
      </c>
      <c r="O468" s="12" t="s">
        <v>62</v>
      </c>
    </row>
    <row r="469" spans="1:15" ht="21" customHeight="1" x14ac:dyDescent="0.3">
      <c r="A469" s="17"/>
      <c r="B469" s="2" t="s">
        <v>14</v>
      </c>
      <c r="C469" s="3">
        <v>31</v>
      </c>
      <c r="D469" s="4" t="s">
        <v>22</v>
      </c>
      <c r="E469" s="2" t="s">
        <v>28</v>
      </c>
      <c r="F469" s="2" t="s">
        <v>23</v>
      </c>
      <c r="G469" s="5">
        <v>1</v>
      </c>
      <c r="H469" s="20">
        <v>19000000</v>
      </c>
      <c r="I469" s="2">
        <v>2</v>
      </c>
      <c r="J469" s="6">
        <v>1.5277777777777779E-3</v>
      </c>
      <c r="K469" s="2" t="s">
        <v>46</v>
      </c>
      <c r="L469" s="2" t="s">
        <v>19</v>
      </c>
      <c r="M469" s="2" t="s">
        <v>30</v>
      </c>
      <c r="N469" s="2" t="s">
        <v>76</v>
      </c>
      <c r="O469" s="2" t="s">
        <v>52</v>
      </c>
    </row>
    <row r="470" spans="1:15" ht="21" customHeight="1" x14ac:dyDescent="0.3">
      <c r="A470" s="17"/>
      <c r="B470" s="12" t="s">
        <v>70</v>
      </c>
      <c r="C470" s="13">
        <v>14</v>
      </c>
      <c r="D470" s="14" t="s">
        <v>58</v>
      </c>
      <c r="E470" s="12" t="s">
        <v>38</v>
      </c>
      <c r="F470" s="12" t="s">
        <v>42</v>
      </c>
      <c r="G470" s="15">
        <v>0</v>
      </c>
      <c r="H470" s="21">
        <v>0</v>
      </c>
      <c r="I470" s="12">
        <v>4</v>
      </c>
      <c r="J470" s="16">
        <v>1.5277777777777779E-3</v>
      </c>
      <c r="K470" s="12"/>
      <c r="L470" s="12"/>
      <c r="M470" s="12" t="s">
        <v>33</v>
      </c>
      <c r="N470" s="12" t="s">
        <v>76</v>
      </c>
      <c r="O470" s="12" t="s">
        <v>52</v>
      </c>
    </row>
    <row r="471" spans="1:15" ht="21" customHeight="1" x14ac:dyDescent="0.3">
      <c r="A471" s="17"/>
      <c r="B471" s="2" t="s">
        <v>70</v>
      </c>
      <c r="C471" s="3">
        <v>3</v>
      </c>
      <c r="D471" s="4" t="s">
        <v>59</v>
      </c>
      <c r="E471" s="2" t="s">
        <v>16</v>
      </c>
      <c r="F471" s="2" t="s">
        <v>45</v>
      </c>
      <c r="G471" s="5">
        <v>0</v>
      </c>
      <c r="H471" s="20">
        <v>0</v>
      </c>
      <c r="I471" s="2">
        <v>1</v>
      </c>
      <c r="J471" s="6">
        <v>1.5277777777777779E-3</v>
      </c>
      <c r="K471" s="2"/>
      <c r="L471" s="2"/>
      <c r="M471" s="2" t="s">
        <v>51</v>
      </c>
      <c r="N471" s="2" t="s">
        <v>76</v>
      </c>
      <c r="O471" s="2" t="s">
        <v>26</v>
      </c>
    </row>
    <row r="472" spans="1:15" ht="21" customHeight="1" x14ac:dyDescent="0.3">
      <c r="A472" s="17"/>
      <c r="B472" s="12" t="s">
        <v>70</v>
      </c>
      <c r="C472" s="13">
        <v>8</v>
      </c>
      <c r="D472" s="14" t="s">
        <v>60</v>
      </c>
      <c r="E472" s="12" t="s">
        <v>16</v>
      </c>
      <c r="F472" s="12" t="s">
        <v>45</v>
      </c>
      <c r="G472" s="15">
        <v>0</v>
      </c>
      <c r="H472" s="21">
        <v>0</v>
      </c>
      <c r="I472" s="12">
        <v>2</v>
      </c>
      <c r="J472" s="16">
        <v>1.5277777777777779E-3</v>
      </c>
      <c r="K472" s="12"/>
      <c r="L472" s="12"/>
      <c r="M472" s="12" t="s">
        <v>33</v>
      </c>
      <c r="N472" s="12" t="s">
        <v>78</v>
      </c>
      <c r="O472" s="12" t="s">
        <v>63</v>
      </c>
    </row>
    <row r="473" spans="1:15" ht="21" customHeight="1" x14ac:dyDescent="0.3">
      <c r="A473" s="17"/>
      <c r="B473" s="2" t="s">
        <v>70</v>
      </c>
      <c r="C473" s="3">
        <v>30</v>
      </c>
      <c r="D473" s="4" t="s">
        <v>22</v>
      </c>
      <c r="E473" s="2" t="s">
        <v>32</v>
      </c>
      <c r="F473" s="2" t="s">
        <v>42</v>
      </c>
      <c r="G473" s="5">
        <v>0</v>
      </c>
      <c r="H473" s="20">
        <v>0</v>
      </c>
      <c r="I473" s="2">
        <v>1</v>
      </c>
      <c r="J473" s="6">
        <v>1.5277777777777779E-3</v>
      </c>
      <c r="K473" s="2"/>
      <c r="L473" s="2"/>
      <c r="M473" s="2" t="s">
        <v>43</v>
      </c>
      <c r="N473" s="2" t="s">
        <v>78</v>
      </c>
      <c r="O473" s="2" t="s">
        <v>53</v>
      </c>
    </row>
    <row r="474" spans="1:15" ht="21" customHeight="1" x14ac:dyDescent="0.3">
      <c r="A474" s="17"/>
      <c r="B474" s="12" t="s">
        <v>70</v>
      </c>
      <c r="C474" s="13">
        <v>27</v>
      </c>
      <c r="D474" s="14" t="s">
        <v>27</v>
      </c>
      <c r="E474" s="12" t="s">
        <v>16</v>
      </c>
      <c r="F474" s="12" t="s">
        <v>42</v>
      </c>
      <c r="G474" s="15">
        <v>0</v>
      </c>
      <c r="H474" s="21">
        <v>0</v>
      </c>
      <c r="I474" s="12">
        <v>3</v>
      </c>
      <c r="J474" s="16">
        <v>1.5277777777777779E-3</v>
      </c>
      <c r="K474" s="12"/>
      <c r="L474" s="12"/>
      <c r="M474" s="12" t="s">
        <v>43</v>
      </c>
      <c r="N474" s="12" t="s">
        <v>66</v>
      </c>
      <c r="O474" s="12" t="s">
        <v>67</v>
      </c>
    </row>
    <row r="475" spans="1:15" ht="21" customHeight="1" x14ac:dyDescent="0.3">
      <c r="A475" s="17"/>
      <c r="B475" s="2" t="s">
        <v>70</v>
      </c>
      <c r="C475" s="3">
        <v>16</v>
      </c>
      <c r="D475" s="4" t="s">
        <v>27</v>
      </c>
      <c r="E475" s="2" t="s">
        <v>28</v>
      </c>
      <c r="F475" s="2" t="s">
        <v>45</v>
      </c>
      <c r="G475" s="5">
        <v>0</v>
      </c>
      <c r="H475" s="20">
        <v>0</v>
      </c>
      <c r="I475" s="2">
        <v>5</v>
      </c>
      <c r="J475" s="6">
        <v>1.5277777777777779E-3</v>
      </c>
      <c r="K475" s="2"/>
      <c r="L475" s="2"/>
      <c r="M475" s="2" t="s">
        <v>25</v>
      </c>
      <c r="N475" s="2" t="s">
        <v>78</v>
      </c>
      <c r="O475" s="2" t="s">
        <v>63</v>
      </c>
    </row>
    <row r="476" spans="1:15" ht="21" customHeight="1" x14ac:dyDescent="0.3">
      <c r="A476" s="17"/>
      <c r="B476" s="12" t="s">
        <v>70</v>
      </c>
      <c r="C476" s="13">
        <v>9</v>
      </c>
      <c r="D476" s="14" t="s">
        <v>37</v>
      </c>
      <c r="E476" s="12" t="s">
        <v>28</v>
      </c>
      <c r="F476" s="12" t="s">
        <v>23</v>
      </c>
      <c r="G476" s="15">
        <v>0</v>
      </c>
      <c r="H476" s="21">
        <v>0</v>
      </c>
      <c r="I476" s="12">
        <v>5</v>
      </c>
      <c r="J476" s="16">
        <v>1.5277777777777779E-3</v>
      </c>
      <c r="K476" s="12"/>
      <c r="L476" s="12"/>
      <c r="M476" s="12" t="s">
        <v>30</v>
      </c>
      <c r="N476" s="12" t="s">
        <v>77</v>
      </c>
      <c r="O476" s="12" t="s">
        <v>65</v>
      </c>
    </row>
    <row r="477" spans="1:15" ht="21" customHeight="1" x14ac:dyDescent="0.3">
      <c r="A477" s="17"/>
      <c r="B477" s="2" t="s">
        <v>70</v>
      </c>
      <c r="C477" s="3">
        <v>9</v>
      </c>
      <c r="D477" s="4" t="s">
        <v>37</v>
      </c>
      <c r="E477" s="2" t="s">
        <v>38</v>
      </c>
      <c r="F477" s="2" t="s">
        <v>23</v>
      </c>
      <c r="G477" s="5">
        <v>0</v>
      </c>
      <c r="H477" s="20">
        <v>0</v>
      </c>
      <c r="I477" s="2">
        <v>2</v>
      </c>
      <c r="J477" s="6">
        <v>1.5277777777777779E-3</v>
      </c>
      <c r="K477" s="2"/>
      <c r="L477" s="2"/>
      <c r="M477" s="2" t="s">
        <v>30</v>
      </c>
      <c r="N477" s="2" t="s">
        <v>78</v>
      </c>
      <c r="O477" s="2" t="s">
        <v>53</v>
      </c>
    </row>
    <row r="478" spans="1:15" ht="21" customHeight="1" x14ac:dyDescent="0.3">
      <c r="A478" s="17"/>
      <c r="B478" s="12" t="s">
        <v>70</v>
      </c>
      <c r="C478" s="13">
        <v>29</v>
      </c>
      <c r="D478" s="14" t="s">
        <v>37</v>
      </c>
      <c r="E478" s="12" t="s">
        <v>16</v>
      </c>
      <c r="F478" s="12" t="s">
        <v>17</v>
      </c>
      <c r="G478" s="15">
        <v>0</v>
      </c>
      <c r="H478" s="21">
        <v>0</v>
      </c>
      <c r="I478" s="12">
        <v>4</v>
      </c>
      <c r="J478" s="16">
        <v>1.5277777777777779E-3</v>
      </c>
      <c r="K478" s="12"/>
      <c r="L478" s="12"/>
      <c r="M478" s="12" t="s">
        <v>43</v>
      </c>
      <c r="N478" s="12" t="s">
        <v>78</v>
      </c>
      <c r="O478" s="12" t="s">
        <v>41</v>
      </c>
    </row>
    <row r="479" spans="1:15" ht="21" customHeight="1" x14ac:dyDescent="0.3">
      <c r="A479" s="17"/>
      <c r="B479" s="2" t="s">
        <v>70</v>
      </c>
      <c r="C479" s="3">
        <v>29</v>
      </c>
      <c r="D479" s="4" t="s">
        <v>37</v>
      </c>
      <c r="E479" s="2" t="s">
        <v>73</v>
      </c>
      <c r="F479" s="2" t="s">
        <v>42</v>
      </c>
      <c r="G479" s="5">
        <v>0</v>
      </c>
      <c r="H479" s="20">
        <v>0</v>
      </c>
      <c r="I479" s="2">
        <v>2</v>
      </c>
      <c r="J479" s="6">
        <v>1.5277777777777779E-3</v>
      </c>
      <c r="K479" s="2"/>
      <c r="L479" s="2"/>
      <c r="M479" s="2" t="s">
        <v>43</v>
      </c>
      <c r="N479" s="2" t="s">
        <v>78</v>
      </c>
      <c r="O479" s="2" t="s">
        <v>66</v>
      </c>
    </row>
    <row r="480" spans="1:15" ht="21" customHeight="1" x14ac:dyDescent="0.3">
      <c r="A480" s="17"/>
      <c r="B480" s="12" t="s">
        <v>70</v>
      </c>
      <c r="C480" s="13">
        <v>21</v>
      </c>
      <c r="D480" s="14" t="s">
        <v>44</v>
      </c>
      <c r="E480" s="12" t="s">
        <v>49</v>
      </c>
      <c r="F480" s="12" t="s">
        <v>42</v>
      </c>
      <c r="G480" s="15">
        <v>0</v>
      </c>
      <c r="H480" s="21">
        <v>0</v>
      </c>
      <c r="I480" s="12">
        <v>2</v>
      </c>
      <c r="J480" s="16">
        <v>1.5277777777777779E-3</v>
      </c>
      <c r="K480" s="12"/>
      <c r="L480" s="12"/>
      <c r="M480" s="12" t="s">
        <v>43</v>
      </c>
      <c r="N480" s="12" t="s">
        <v>77</v>
      </c>
      <c r="O480" s="12" t="s">
        <v>54</v>
      </c>
    </row>
    <row r="481" spans="1:15" ht="21" customHeight="1" x14ac:dyDescent="0.3">
      <c r="A481" s="17"/>
      <c r="B481" s="2" t="s">
        <v>70</v>
      </c>
      <c r="C481" s="3">
        <v>21</v>
      </c>
      <c r="D481" s="4" t="s">
        <v>69</v>
      </c>
      <c r="E481" s="2" t="s">
        <v>16</v>
      </c>
      <c r="F481" s="2" t="s">
        <v>42</v>
      </c>
      <c r="G481" s="5">
        <v>0</v>
      </c>
      <c r="H481" s="20">
        <v>0</v>
      </c>
      <c r="I481" s="2">
        <v>1</v>
      </c>
      <c r="J481" s="6">
        <v>1.5277777777777779E-3</v>
      </c>
      <c r="K481" s="2"/>
      <c r="L481" s="2"/>
      <c r="M481" s="2" t="s">
        <v>43</v>
      </c>
      <c r="N481" s="2" t="s">
        <v>78</v>
      </c>
      <c r="O481" s="2" t="s">
        <v>53</v>
      </c>
    </row>
    <row r="482" spans="1:15" ht="21" customHeight="1" x14ac:dyDescent="0.3">
      <c r="A482" s="17"/>
      <c r="B482" s="12" t="s">
        <v>70</v>
      </c>
      <c r="C482" s="13">
        <v>14</v>
      </c>
      <c r="D482" s="14" t="s">
        <v>58</v>
      </c>
      <c r="E482" s="12" t="s">
        <v>38</v>
      </c>
      <c r="F482" s="12" t="s">
        <v>42</v>
      </c>
      <c r="G482" s="15">
        <v>0</v>
      </c>
      <c r="H482" s="21">
        <v>0</v>
      </c>
      <c r="I482" s="12">
        <v>4</v>
      </c>
      <c r="J482" s="16">
        <v>1.5277777777777779E-3</v>
      </c>
      <c r="K482" s="12"/>
      <c r="L482" s="12"/>
      <c r="M482" s="12" t="s">
        <v>33</v>
      </c>
      <c r="N482" s="12" t="s">
        <v>76</v>
      </c>
      <c r="O482" s="12" t="s">
        <v>52</v>
      </c>
    </row>
    <row r="483" spans="1:15" ht="21" customHeight="1" x14ac:dyDescent="0.3">
      <c r="A483" s="17"/>
      <c r="B483" s="2" t="s">
        <v>70</v>
      </c>
      <c r="C483" s="3">
        <v>3</v>
      </c>
      <c r="D483" s="4" t="s">
        <v>59</v>
      </c>
      <c r="E483" s="2" t="s">
        <v>16</v>
      </c>
      <c r="F483" s="2" t="s">
        <v>45</v>
      </c>
      <c r="G483" s="5">
        <v>0</v>
      </c>
      <c r="H483" s="20">
        <v>0</v>
      </c>
      <c r="I483" s="2">
        <v>1</v>
      </c>
      <c r="J483" s="6">
        <v>1.5277777777777779E-3</v>
      </c>
      <c r="K483" s="2"/>
      <c r="L483" s="2"/>
      <c r="M483" s="2" t="s">
        <v>51</v>
      </c>
      <c r="N483" s="2" t="s">
        <v>76</v>
      </c>
      <c r="O483" s="2" t="s">
        <v>26</v>
      </c>
    </row>
    <row r="484" spans="1:15" ht="21" customHeight="1" x14ac:dyDescent="0.3">
      <c r="A484" s="17"/>
      <c r="B484" s="12" t="s">
        <v>70</v>
      </c>
      <c r="C484" s="13">
        <v>8</v>
      </c>
      <c r="D484" s="14" t="s">
        <v>60</v>
      </c>
      <c r="E484" s="12" t="s">
        <v>16</v>
      </c>
      <c r="F484" s="12" t="s">
        <v>45</v>
      </c>
      <c r="G484" s="15">
        <v>0</v>
      </c>
      <c r="H484" s="21">
        <v>0</v>
      </c>
      <c r="I484" s="12">
        <v>2</v>
      </c>
      <c r="J484" s="16">
        <v>1.5277777777777779E-3</v>
      </c>
      <c r="K484" s="12"/>
      <c r="L484" s="12"/>
      <c r="M484" s="12" t="s">
        <v>33</v>
      </c>
      <c r="N484" s="12" t="s">
        <v>78</v>
      </c>
      <c r="O484" s="12" t="s">
        <v>63</v>
      </c>
    </row>
    <row r="485" spans="1:15" ht="21" customHeight="1" x14ac:dyDescent="0.3">
      <c r="A485" s="17"/>
      <c r="B485" s="2" t="s">
        <v>14</v>
      </c>
      <c r="C485" s="3">
        <v>11</v>
      </c>
      <c r="D485" s="4" t="s">
        <v>55</v>
      </c>
      <c r="E485" s="2" t="s">
        <v>38</v>
      </c>
      <c r="F485" s="2" t="s">
        <v>68</v>
      </c>
      <c r="G485" s="5">
        <v>3</v>
      </c>
      <c r="H485" s="20">
        <v>15000000</v>
      </c>
      <c r="I485" s="2">
        <v>2</v>
      </c>
      <c r="J485" s="6">
        <v>1.5972222222222221E-3</v>
      </c>
      <c r="K485" s="2" t="s">
        <v>18</v>
      </c>
      <c r="L485" s="2" t="s">
        <v>19</v>
      </c>
      <c r="M485" s="2" t="s">
        <v>51</v>
      </c>
      <c r="N485" s="2" t="s">
        <v>77</v>
      </c>
      <c r="O485" s="2" t="s">
        <v>54</v>
      </c>
    </row>
    <row r="486" spans="1:15" ht="21" customHeight="1" x14ac:dyDescent="0.3">
      <c r="A486" s="17"/>
      <c r="B486" s="12" t="s">
        <v>14</v>
      </c>
      <c r="C486" s="13">
        <v>30</v>
      </c>
      <c r="D486" s="14" t="s">
        <v>27</v>
      </c>
      <c r="E486" s="12" t="s">
        <v>49</v>
      </c>
      <c r="F486" s="12" t="s">
        <v>42</v>
      </c>
      <c r="G486" s="15">
        <v>5</v>
      </c>
      <c r="H486" s="21">
        <v>25000000</v>
      </c>
      <c r="I486" s="12">
        <v>2</v>
      </c>
      <c r="J486" s="16">
        <v>1.5972222222222221E-3</v>
      </c>
      <c r="K486" s="12" t="s">
        <v>18</v>
      </c>
      <c r="L486" s="12" t="s">
        <v>39</v>
      </c>
      <c r="M486" s="12" t="s">
        <v>30</v>
      </c>
      <c r="N486" s="12" t="s">
        <v>76</v>
      </c>
      <c r="O486" s="12" t="s">
        <v>31</v>
      </c>
    </row>
    <row r="487" spans="1:15" ht="21" customHeight="1" x14ac:dyDescent="0.3">
      <c r="A487" s="17"/>
      <c r="B487" s="2" t="s">
        <v>14</v>
      </c>
      <c r="C487" s="3">
        <v>1</v>
      </c>
      <c r="D487" s="4" t="s">
        <v>37</v>
      </c>
      <c r="E487" s="2" t="s">
        <v>49</v>
      </c>
      <c r="F487" s="2" t="s">
        <v>42</v>
      </c>
      <c r="G487" s="5">
        <v>4</v>
      </c>
      <c r="H487" s="20">
        <v>11000000</v>
      </c>
      <c r="I487" s="2">
        <v>2</v>
      </c>
      <c r="J487" s="6">
        <v>1.5972222222222221E-3</v>
      </c>
      <c r="K487" s="2" t="s">
        <v>61</v>
      </c>
      <c r="L487" s="2" t="s">
        <v>35</v>
      </c>
      <c r="M487" s="2" t="s">
        <v>51</v>
      </c>
      <c r="N487" s="2" t="s">
        <v>78</v>
      </c>
      <c r="O487" s="2" t="s">
        <v>63</v>
      </c>
    </row>
    <row r="488" spans="1:15" ht="21" customHeight="1" x14ac:dyDescent="0.3">
      <c r="A488" s="17"/>
      <c r="B488" s="12" t="s">
        <v>14</v>
      </c>
      <c r="C488" s="13">
        <v>28</v>
      </c>
      <c r="D488" s="14" t="s">
        <v>37</v>
      </c>
      <c r="E488" s="12" t="s">
        <v>49</v>
      </c>
      <c r="F488" s="12" t="s">
        <v>42</v>
      </c>
      <c r="G488" s="15">
        <v>2</v>
      </c>
      <c r="H488" s="21">
        <v>12000000</v>
      </c>
      <c r="I488" s="12">
        <v>1</v>
      </c>
      <c r="J488" s="16">
        <v>1.5972222222222221E-3</v>
      </c>
      <c r="K488" s="12" t="s">
        <v>18</v>
      </c>
      <c r="L488" s="12" t="s">
        <v>64</v>
      </c>
      <c r="M488" s="12" t="s">
        <v>30</v>
      </c>
      <c r="N488" s="12" t="s">
        <v>78</v>
      </c>
      <c r="O488" s="12" t="s">
        <v>62</v>
      </c>
    </row>
    <row r="489" spans="1:15" ht="21" customHeight="1" x14ac:dyDescent="0.3">
      <c r="A489" s="17"/>
      <c r="B489" s="2" t="s">
        <v>14</v>
      </c>
      <c r="C489" s="3">
        <v>4</v>
      </c>
      <c r="D489" s="4" t="s">
        <v>44</v>
      </c>
      <c r="E489" s="2" t="s">
        <v>16</v>
      </c>
      <c r="F489" s="2" t="s">
        <v>42</v>
      </c>
      <c r="G489" s="5">
        <v>2</v>
      </c>
      <c r="H489" s="20">
        <v>12000000</v>
      </c>
      <c r="I489" s="2">
        <v>5</v>
      </c>
      <c r="J489" s="6">
        <v>1.5972222222222221E-3</v>
      </c>
      <c r="K489" s="2" t="s">
        <v>18</v>
      </c>
      <c r="L489" s="2" t="s">
        <v>47</v>
      </c>
      <c r="M489" s="2" t="s">
        <v>51</v>
      </c>
      <c r="N489" s="2" t="s">
        <v>78</v>
      </c>
      <c r="O489" s="2" t="s">
        <v>21</v>
      </c>
    </row>
    <row r="490" spans="1:15" ht="21" customHeight="1" x14ac:dyDescent="0.3">
      <c r="A490" s="17"/>
      <c r="B490" s="12" t="s">
        <v>14</v>
      </c>
      <c r="C490" s="13">
        <v>19</v>
      </c>
      <c r="D490" s="14" t="s">
        <v>44</v>
      </c>
      <c r="E490" s="12" t="s">
        <v>49</v>
      </c>
      <c r="F490" s="12" t="s">
        <v>42</v>
      </c>
      <c r="G490" s="15">
        <v>5</v>
      </c>
      <c r="H490" s="21">
        <v>21000000</v>
      </c>
      <c r="I490" s="12">
        <v>1</v>
      </c>
      <c r="J490" s="16">
        <v>1.5972222222222221E-3</v>
      </c>
      <c r="K490" s="12" t="s">
        <v>18</v>
      </c>
      <c r="L490" s="12" t="s">
        <v>39</v>
      </c>
      <c r="M490" s="12" t="s">
        <v>33</v>
      </c>
      <c r="N490" s="12" t="s">
        <v>76</v>
      </c>
      <c r="O490" s="12" t="s">
        <v>52</v>
      </c>
    </row>
    <row r="491" spans="1:15" ht="21" customHeight="1" x14ac:dyDescent="0.3">
      <c r="A491" s="17"/>
      <c r="B491" s="2" t="s">
        <v>14</v>
      </c>
      <c r="C491" s="3">
        <v>8</v>
      </c>
      <c r="D491" s="4" t="s">
        <v>44</v>
      </c>
      <c r="E491" s="2" t="s">
        <v>16</v>
      </c>
      <c r="F491" s="2" t="s">
        <v>17</v>
      </c>
      <c r="G491" s="5">
        <v>4</v>
      </c>
      <c r="H491" s="20">
        <v>20000000</v>
      </c>
      <c r="I491" s="2">
        <v>1</v>
      </c>
      <c r="J491" s="6">
        <v>1.5972222222222221E-3</v>
      </c>
      <c r="K491" s="2" t="s">
        <v>18</v>
      </c>
      <c r="L491" s="2" t="s">
        <v>56</v>
      </c>
      <c r="M491" s="2" t="s">
        <v>48</v>
      </c>
      <c r="N491" s="2" t="s">
        <v>66</v>
      </c>
      <c r="O491" s="2" t="s">
        <v>36</v>
      </c>
    </row>
    <row r="492" spans="1:15" ht="21" customHeight="1" x14ac:dyDescent="0.3">
      <c r="A492" s="17"/>
      <c r="B492" s="12" t="s">
        <v>14</v>
      </c>
      <c r="C492" s="13">
        <v>13</v>
      </c>
      <c r="D492" s="14" t="s">
        <v>69</v>
      </c>
      <c r="E492" s="12" t="s">
        <v>32</v>
      </c>
      <c r="F492" s="12" t="s">
        <v>42</v>
      </c>
      <c r="G492" s="15">
        <v>1</v>
      </c>
      <c r="H492" s="21">
        <v>19000000</v>
      </c>
      <c r="I492" s="12">
        <v>3</v>
      </c>
      <c r="J492" s="16">
        <v>1.5972222222222221E-3</v>
      </c>
      <c r="K492" s="12" t="s">
        <v>46</v>
      </c>
      <c r="L492" s="12" t="s">
        <v>19</v>
      </c>
      <c r="M492" s="12" t="s">
        <v>25</v>
      </c>
      <c r="N492" s="12" t="s">
        <v>66</v>
      </c>
      <c r="O492" s="12" t="s">
        <v>36</v>
      </c>
    </row>
    <row r="493" spans="1:15" ht="21" customHeight="1" x14ac:dyDescent="0.3">
      <c r="A493" s="17"/>
      <c r="B493" s="2" t="s">
        <v>14</v>
      </c>
      <c r="C493" s="3">
        <v>16</v>
      </c>
      <c r="D493" s="4" t="s">
        <v>69</v>
      </c>
      <c r="E493" s="2" t="s">
        <v>16</v>
      </c>
      <c r="F493" s="2" t="s">
        <v>17</v>
      </c>
      <c r="G493" s="5">
        <v>3</v>
      </c>
      <c r="H493" s="20">
        <v>15000000</v>
      </c>
      <c r="I493" s="2">
        <v>3</v>
      </c>
      <c r="J493" s="6">
        <v>1.5972222222222221E-3</v>
      </c>
      <c r="K493" s="2" t="s">
        <v>18</v>
      </c>
      <c r="L493" s="2" t="s">
        <v>64</v>
      </c>
      <c r="M493" s="2" t="s">
        <v>40</v>
      </c>
      <c r="N493" s="2" t="s">
        <v>78</v>
      </c>
      <c r="O493" s="2" t="s">
        <v>21</v>
      </c>
    </row>
    <row r="494" spans="1:15" ht="21" customHeight="1" x14ac:dyDescent="0.3">
      <c r="A494" s="17"/>
      <c r="B494" s="12" t="s">
        <v>14</v>
      </c>
      <c r="C494" s="13">
        <v>11</v>
      </c>
      <c r="D494" s="14" t="s">
        <v>55</v>
      </c>
      <c r="E494" s="12" t="s">
        <v>38</v>
      </c>
      <c r="F494" s="12" t="s">
        <v>68</v>
      </c>
      <c r="G494" s="15">
        <v>3</v>
      </c>
      <c r="H494" s="21">
        <v>15000000</v>
      </c>
      <c r="I494" s="12">
        <v>2</v>
      </c>
      <c r="J494" s="16">
        <v>1.5972222222222221E-3</v>
      </c>
      <c r="K494" s="12" t="s">
        <v>18</v>
      </c>
      <c r="L494" s="12" t="s">
        <v>19</v>
      </c>
      <c r="M494" s="12" t="s">
        <v>51</v>
      </c>
      <c r="N494" s="12" t="s">
        <v>77</v>
      </c>
      <c r="O494" s="12" t="s">
        <v>54</v>
      </c>
    </row>
    <row r="495" spans="1:15" ht="21" customHeight="1" x14ac:dyDescent="0.3">
      <c r="A495" s="17"/>
      <c r="B495" s="2" t="s">
        <v>70</v>
      </c>
      <c r="C495" s="3">
        <v>11</v>
      </c>
      <c r="D495" s="4" t="s">
        <v>55</v>
      </c>
      <c r="E495" s="2" t="s">
        <v>73</v>
      </c>
      <c r="F495" s="2" t="s">
        <v>42</v>
      </c>
      <c r="G495" s="5">
        <v>0</v>
      </c>
      <c r="H495" s="20">
        <v>0</v>
      </c>
      <c r="I495" s="2">
        <v>4</v>
      </c>
      <c r="J495" s="6">
        <v>1.5972222222222221E-3</v>
      </c>
      <c r="K495" s="2"/>
      <c r="L495" s="2"/>
      <c r="M495" s="2" t="s">
        <v>33</v>
      </c>
      <c r="N495" s="2" t="s">
        <v>78</v>
      </c>
      <c r="O495" s="2" t="s">
        <v>63</v>
      </c>
    </row>
    <row r="496" spans="1:15" ht="21" customHeight="1" x14ac:dyDescent="0.3">
      <c r="A496" s="17"/>
      <c r="B496" s="12" t="s">
        <v>70</v>
      </c>
      <c r="C496" s="13">
        <v>12</v>
      </c>
      <c r="D496" s="14" t="s">
        <v>58</v>
      </c>
      <c r="E496" s="12" t="s">
        <v>16</v>
      </c>
      <c r="F496" s="12" t="s">
        <v>68</v>
      </c>
      <c r="G496" s="15">
        <v>0</v>
      </c>
      <c r="H496" s="21">
        <v>0</v>
      </c>
      <c r="I496" s="12">
        <v>4</v>
      </c>
      <c r="J496" s="16">
        <v>1.5972222222222221E-3</v>
      </c>
      <c r="K496" s="12"/>
      <c r="L496" s="12"/>
      <c r="M496" s="12" t="s">
        <v>20</v>
      </c>
      <c r="N496" s="12" t="s">
        <v>76</v>
      </c>
      <c r="O496" s="12" t="s">
        <v>52</v>
      </c>
    </row>
    <row r="497" spans="1:15" ht="21" customHeight="1" x14ac:dyDescent="0.3">
      <c r="A497" s="17"/>
      <c r="B497" s="2" t="s">
        <v>70</v>
      </c>
      <c r="C497" s="3">
        <v>30</v>
      </c>
      <c r="D497" s="4" t="s">
        <v>59</v>
      </c>
      <c r="E497" s="2" t="s">
        <v>28</v>
      </c>
      <c r="F497" s="2" t="s">
        <v>42</v>
      </c>
      <c r="G497" s="5">
        <v>0</v>
      </c>
      <c r="H497" s="20">
        <v>0</v>
      </c>
      <c r="I497" s="2">
        <v>3</v>
      </c>
      <c r="J497" s="6">
        <v>1.5972222222222221E-3</v>
      </c>
      <c r="K497" s="2"/>
      <c r="L497" s="2"/>
      <c r="M497" s="2" t="s">
        <v>43</v>
      </c>
      <c r="N497" s="2" t="s">
        <v>77</v>
      </c>
      <c r="O497" s="2" t="s">
        <v>65</v>
      </c>
    </row>
    <row r="498" spans="1:15" ht="21" customHeight="1" x14ac:dyDescent="0.3">
      <c r="A498" s="17"/>
      <c r="B498" s="12" t="s">
        <v>70</v>
      </c>
      <c r="C498" s="13">
        <v>6</v>
      </c>
      <c r="D498" s="14" t="s">
        <v>69</v>
      </c>
      <c r="E498" s="12" t="s">
        <v>28</v>
      </c>
      <c r="F498" s="12" t="s">
        <v>42</v>
      </c>
      <c r="G498" s="15">
        <v>0</v>
      </c>
      <c r="H498" s="21">
        <v>0</v>
      </c>
      <c r="I498" s="12">
        <v>2</v>
      </c>
      <c r="J498" s="16">
        <v>1.5972222222222221E-3</v>
      </c>
      <c r="K498" s="12"/>
      <c r="L498" s="12"/>
      <c r="M498" s="12" t="s">
        <v>48</v>
      </c>
      <c r="N498" s="12" t="s">
        <v>76</v>
      </c>
      <c r="O498" s="12" t="s">
        <v>71</v>
      </c>
    </row>
    <row r="499" spans="1:15" ht="21" customHeight="1" x14ac:dyDescent="0.3">
      <c r="A499" s="17"/>
      <c r="B499" s="2" t="s">
        <v>70</v>
      </c>
      <c r="C499" s="3">
        <v>11</v>
      </c>
      <c r="D499" s="4" t="s">
        <v>55</v>
      </c>
      <c r="E499" s="2" t="s">
        <v>73</v>
      </c>
      <c r="F499" s="2" t="s">
        <v>42</v>
      </c>
      <c r="G499" s="5">
        <v>0</v>
      </c>
      <c r="H499" s="20">
        <v>0</v>
      </c>
      <c r="I499" s="2">
        <v>4</v>
      </c>
      <c r="J499" s="6">
        <v>1.5972222222222221E-3</v>
      </c>
      <c r="K499" s="2"/>
      <c r="L499" s="2"/>
      <c r="M499" s="2" t="s">
        <v>33</v>
      </c>
      <c r="N499" s="2" t="s">
        <v>78</v>
      </c>
      <c r="O499" s="2" t="s">
        <v>63</v>
      </c>
    </row>
    <row r="500" spans="1:15" ht="21" customHeight="1" x14ac:dyDescent="0.3">
      <c r="A500" s="17"/>
      <c r="B500" s="12" t="s">
        <v>70</v>
      </c>
      <c r="C500" s="13">
        <v>12</v>
      </c>
      <c r="D500" s="14" t="s">
        <v>58</v>
      </c>
      <c r="E500" s="12" t="s">
        <v>16</v>
      </c>
      <c r="F500" s="12" t="s">
        <v>68</v>
      </c>
      <c r="G500" s="15">
        <v>0</v>
      </c>
      <c r="H500" s="21">
        <v>0</v>
      </c>
      <c r="I500" s="12">
        <v>4</v>
      </c>
      <c r="J500" s="16">
        <v>1.5972222222222221E-3</v>
      </c>
      <c r="K500" s="12"/>
      <c r="L500" s="12"/>
      <c r="M500" s="12" t="s">
        <v>20</v>
      </c>
      <c r="N500" s="12" t="s">
        <v>76</v>
      </c>
      <c r="O500" s="12" t="s">
        <v>52</v>
      </c>
    </row>
    <row r="501" spans="1:15" ht="21" customHeight="1" x14ac:dyDescent="0.3">
      <c r="A501" s="17"/>
      <c r="B501" s="2" t="s">
        <v>70</v>
      </c>
      <c r="C501" s="3">
        <v>30</v>
      </c>
      <c r="D501" s="4" t="s">
        <v>59</v>
      </c>
      <c r="E501" s="2" t="s">
        <v>28</v>
      </c>
      <c r="F501" s="2" t="s">
        <v>42</v>
      </c>
      <c r="G501" s="5">
        <v>0</v>
      </c>
      <c r="H501" s="20">
        <v>0</v>
      </c>
      <c r="I501" s="2">
        <v>3</v>
      </c>
      <c r="J501" s="6">
        <v>1.5972222222222221E-3</v>
      </c>
      <c r="K501" s="2"/>
      <c r="L501" s="2"/>
      <c r="M501" s="2" t="s">
        <v>43</v>
      </c>
      <c r="N501" s="2" t="s">
        <v>77</v>
      </c>
      <c r="O501" s="2" t="s">
        <v>65</v>
      </c>
    </row>
    <row r="502" spans="1:15" ht="21" customHeight="1" x14ac:dyDescent="0.3">
      <c r="A502" s="17"/>
      <c r="B502" s="12" t="s">
        <v>14</v>
      </c>
      <c r="C502" s="13">
        <v>15</v>
      </c>
      <c r="D502" s="14" t="s">
        <v>55</v>
      </c>
      <c r="E502" s="12" t="s">
        <v>38</v>
      </c>
      <c r="F502" s="12" t="s">
        <v>42</v>
      </c>
      <c r="G502" s="15">
        <v>4</v>
      </c>
      <c r="H502" s="21">
        <v>20000000</v>
      </c>
      <c r="I502" s="12">
        <v>3</v>
      </c>
      <c r="J502" s="16">
        <v>1.6782407407407406E-3</v>
      </c>
      <c r="K502" s="12" t="s">
        <v>61</v>
      </c>
      <c r="L502" s="12" t="s">
        <v>35</v>
      </c>
      <c r="M502" s="12" t="s">
        <v>51</v>
      </c>
      <c r="N502" s="12" t="s">
        <v>78</v>
      </c>
      <c r="O502" s="12" t="s">
        <v>41</v>
      </c>
    </row>
    <row r="503" spans="1:15" ht="21" customHeight="1" x14ac:dyDescent="0.3">
      <c r="A503" s="17"/>
      <c r="B503" s="2" t="s">
        <v>14</v>
      </c>
      <c r="C503" s="3">
        <v>1</v>
      </c>
      <c r="D503" s="4" t="s">
        <v>59</v>
      </c>
      <c r="E503" s="2" t="s">
        <v>38</v>
      </c>
      <c r="F503" s="2" t="s">
        <v>42</v>
      </c>
      <c r="G503" s="5">
        <v>2</v>
      </c>
      <c r="H503" s="20">
        <v>38000000</v>
      </c>
      <c r="I503" s="2">
        <v>2</v>
      </c>
      <c r="J503" s="6">
        <v>1.6782407407407406E-3</v>
      </c>
      <c r="K503" s="2" t="s">
        <v>46</v>
      </c>
      <c r="L503" s="2" t="s">
        <v>24</v>
      </c>
      <c r="M503" s="2" t="s">
        <v>30</v>
      </c>
      <c r="N503" s="2" t="s">
        <v>77</v>
      </c>
      <c r="O503" s="2" t="s">
        <v>34</v>
      </c>
    </row>
    <row r="504" spans="1:15" ht="21" customHeight="1" x14ac:dyDescent="0.3">
      <c r="A504" s="17"/>
      <c r="B504" s="12" t="s">
        <v>14</v>
      </c>
      <c r="C504" s="13">
        <v>1</v>
      </c>
      <c r="D504" s="14" t="s">
        <v>59</v>
      </c>
      <c r="E504" s="12" t="s">
        <v>32</v>
      </c>
      <c r="F504" s="12" t="s">
        <v>23</v>
      </c>
      <c r="G504" s="15">
        <v>2</v>
      </c>
      <c r="H504" s="21">
        <v>12000000</v>
      </c>
      <c r="I504" s="12">
        <v>3</v>
      </c>
      <c r="J504" s="16">
        <v>1.6782407407407406E-3</v>
      </c>
      <c r="K504" s="12" t="s">
        <v>18</v>
      </c>
      <c r="L504" s="12" t="s">
        <v>29</v>
      </c>
      <c r="M504" s="12" t="s">
        <v>48</v>
      </c>
      <c r="N504" s="12" t="s">
        <v>78</v>
      </c>
      <c r="O504" s="12" t="s">
        <v>53</v>
      </c>
    </row>
    <row r="505" spans="1:15" ht="21" customHeight="1" x14ac:dyDescent="0.3">
      <c r="A505" s="17"/>
      <c r="B505" s="2" t="s">
        <v>14</v>
      </c>
      <c r="C505" s="3">
        <v>20</v>
      </c>
      <c r="D505" s="4" t="s">
        <v>59</v>
      </c>
      <c r="E505" s="2" t="s">
        <v>32</v>
      </c>
      <c r="F505" s="2" t="s">
        <v>45</v>
      </c>
      <c r="G505" s="5">
        <v>3</v>
      </c>
      <c r="H505" s="20">
        <v>15000000</v>
      </c>
      <c r="I505" s="2">
        <v>2</v>
      </c>
      <c r="J505" s="6">
        <v>1.6782407407407406E-3</v>
      </c>
      <c r="K505" s="2" t="s">
        <v>18</v>
      </c>
      <c r="L505" s="2" t="s">
        <v>39</v>
      </c>
      <c r="M505" s="2" t="s">
        <v>51</v>
      </c>
      <c r="N505" s="2" t="s">
        <v>78</v>
      </c>
      <c r="O505" s="2" t="s">
        <v>41</v>
      </c>
    </row>
    <row r="506" spans="1:15" ht="21" customHeight="1" x14ac:dyDescent="0.3">
      <c r="A506" s="17"/>
      <c r="B506" s="12" t="s">
        <v>14</v>
      </c>
      <c r="C506" s="13">
        <v>10</v>
      </c>
      <c r="D506" s="14" t="s">
        <v>27</v>
      </c>
      <c r="E506" s="12" t="s">
        <v>32</v>
      </c>
      <c r="F506" s="12" t="s">
        <v>42</v>
      </c>
      <c r="G506" s="15">
        <v>1</v>
      </c>
      <c r="H506" s="21">
        <v>19000000</v>
      </c>
      <c r="I506" s="12">
        <v>3</v>
      </c>
      <c r="J506" s="16">
        <v>1.6782407407407406E-3</v>
      </c>
      <c r="K506" s="12" t="s">
        <v>46</v>
      </c>
      <c r="L506" s="12" t="s">
        <v>56</v>
      </c>
      <c r="M506" s="12" t="s">
        <v>25</v>
      </c>
      <c r="N506" s="12" t="s">
        <v>76</v>
      </c>
      <c r="O506" s="12" t="s">
        <v>52</v>
      </c>
    </row>
    <row r="507" spans="1:15" ht="21" customHeight="1" x14ac:dyDescent="0.3">
      <c r="A507" s="17"/>
      <c r="B507" s="2" t="s">
        <v>14</v>
      </c>
      <c r="C507" s="3">
        <v>14</v>
      </c>
      <c r="D507" s="4" t="s">
        <v>27</v>
      </c>
      <c r="E507" s="2" t="s">
        <v>38</v>
      </c>
      <c r="F507" s="2" t="s">
        <v>17</v>
      </c>
      <c r="G507" s="5">
        <v>3</v>
      </c>
      <c r="H507" s="20">
        <v>11000000</v>
      </c>
      <c r="I507" s="2">
        <v>2</v>
      </c>
      <c r="J507" s="6">
        <v>1.6782407407407406E-3</v>
      </c>
      <c r="K507" s="2" t="s">
        <v>18</v>
      </c>
      <c r="L507" s="2" t="s">
        <v>29</v>
      </c>
      <c r="M507" s="2" t="s">
        <v>33</v>
      </c>
      <c r="N507" s="2" t="s">
        <v>78</v>
      </c>
      <c r="O507" s="2" t="s">
        <v>66</v>
      </c>
    </row>
    <row r="508" spans="1:15" ht="21" customHeight="1" x14ac:dyDescent="0.3">
      <c r="A508" s="17"/>
      <c r="B508" s="12" t="s">
        <v>14</v>
      </c>
      <c r="C508" s="13">
        <v>1</v>
      </c>
      <c r="D508" s="14" t="s">
        <v>37</v>
      </c>
      <c r="E508" s="12" t="s">
        <v>32</v>
      </c>
      <c r="F508" s="12" t="s">
        <v>23</v>
      </c>
      <c r="G508" s="15">
        <v>1</v>
      </c>
      <c r="H508" s="21">
        <v>19000000</v>
      </c>
      <c r="I508" s="12">
        <v>1</v>
      </c>
      <c r="J508" s="16">
        <v>1.6782407407407406E-3</v>
      </c>
      <c r="K508" s="12" t="s">
        <v>46</v>
      </c>
      <c r="L508" s="12" t="s">
        <v>39</v>
      </c>
      <c r="M508" s="12" t="s">
        <v>30</v>
      </c>
      <c r="N508" s="12" t="s">
        <v>76</v>
      </c>
      <c r="O508" s="12" t="s">
        <v>71</v>
      </c>
    </row>
    <row r="509" spans="1:15" ht="21" customHeight="1" x14ac:dyDescent="0.3">
      <c r="A509" s="17"/>
      <c r="B509" s="2" t="s">
        <v>14</v>
      </c>
      <c r="C509" s="3">
        <v>11</v>
      </c>
      <c r="D509" s="4" t="s">
        <v>37</v>
      </c>
      <c r="E509" s="2" t="s">
        <v>16</v>
      </c>
      <c r="F509" s="2" t="s">
        <v>23</v>
      </c>
      <c r="G509" s="5">
        <v>5</v>
      </c>
      <c r="H509" s="20">
        <v>21000000</v>
      </c>
      <c r="I509" s="2">
        <v>1</v>
      </c>
      <c r="J509" s="6">
        <v>1.6782407407407406E-3</v>
      </c>
      <c r="K509" s="2" t="s">
        <v>18</v>
      </c>
      <c r="L509" s="2" t="s">
        <v>19</v>
      </c>
      <c r="M509" s="2" t="s">
        <v>30</v>
      </c>
      <c r="N509" s="2" t="s">
        <v>78</v>
      </c>
      <c r="O509" s="2" t="s">
        <v>66</v>
      </c>
    </row>
    <row r="510" spans="1:15" ht="21" customHeight="1" x14ac:dyDescent="0.3">
      <c r="A510" s="17"/>
      <c r="B510" s="12" t="s">
        <v>14</v>
      </c>
      <c r="C510" s="13">
        <v>15</v>
      </c>
      <c r="D510" s="14" t="s">
        <v>37</v>
      </c>
      <c r="E510" s="12" t="s">
        <v>16</v>
      </c>
      <c r="F510" s="12" t="s">
        <v>42</v>
      </c>
      <c r="G510" s="15">
        <v>2</v>
      </c>
      <c r="H510" s="21">
        <v>10000000</v>
      </c>
      <c r="I510" s="12">
        <v>4</v>
      </c>
      <c r="J510" s="16">
        <v>1.6782407407407406E-3</v>
      </c>
      <c r="K510" s="12" t="s">
        <v>18</v>
      </c>
      <c r="L510" s="12" t="s">
        <v>47</v>
      </c>
      <c r="M510" s="12" t="s">
        <v>51</v>
      </c>
      <c r="N510" s="12" t="s">
        <v>66</v>
      </c>
      <c r="O510" s="12" t="s">
        <v>67</v>
      </c>
    </row>
    <row r="511" spans="1:15" ht="21" customHeight="1" x14ac:dyDescent="0.3">
      <c r="A511" s="17"/>
      <c r="B511" s="2" t="s">
        <v>14</v>
      </c>
      <c r="C511" s="3">
        <v>29</v>
      </c>
      <c r="D511" s="4" t="s">
        <v>37</v>
      </c>
      <c r="E511" s="2" t="s">
        <v>16</v>
      </c>
      <c r="F511" s="2" t="s">
        <v>42</v>
      </c>
      <c r="G511" s="5">
        <v>3</v>
      </c>
      <c r="H511" s="20">
        <v>15000000</v>
      </c>
      <c r="I511" s="2">
        <v>1</v>
      </c>
      <c r="J511" s="6">
        <v>1.6782407407407406E-3</v>
      </c>
      <c r="K511" s="2" t="s">
        <v>18</v>
      </c>
      <c r="L511" s="2" t="s">
        <v>39</v>
      </c>
      <c r="M511" s="2" t="s">
        <v>20</v>
      </c>
      <c r="N511" s="2" t="s">
        <v>78</v>
      </c>
      <c r="O511" s="2" t="s">
        <v>66</v>
      </c>
    </row>
    <row r="512" spans="1:15" ht="21" customHeight="1" x14ac:dyDescent="0.3">
      <c r="A512" s="17"/>
      <c r="B512" s="12" t="s">
        <v>14</v>
      </c>
      <c r="C512" s="13">
        <v>8</v>
      </c>
      <c r="D512" s="14" t="s">
        <v>37</v>
      </c>
      <c r="E512" s="12" t="s">
        <v>32</v>
      </c>
      <c r="F512" s="12" t="s">
        <v>42</v>
      </c>
      <c r="G512" s="15">
        <v>2</v>
      </c>
      <c r="H512" s="21">
        <v>12000000</v>
      </c>
      <c r="I512" s="12">
        <v>5</v>
      </c>
      <c r="J512" s="16">
        <v>1.6782407407407406E-3</v>
      </c>
      <c r="K512" s="12" t="s">
        <v>18</v>
      </c>
      <c r="L512" s="12" t="s">
        <v>50</v>
      </c>
      <c r="M512" s="12" t="s">
        <v>25</v>
      </c>
      <c r="N512" s="12" t="s">
        <v>76</v>
      </c>
      <c r="O512" s="12" t="s">
        <v>52</v>
      </c>
    </row>
    <row r="513" spans="1:15" ht="21" customHeight="1" x14ac:dyDescent="0.3">
      <c r="A513" s="17"/>
      <c r="B513" s="2" t="s">
        <v>14</v>
      </c>
      <c r="C513" s="3">
        <v>8</v>
      </c>
      <c r="D513" s="4" t="s">
        <v>37</v>
      </c>
      <c r="E513" s="2" t="s">
        <v>38</v>
      </c>
      <c r="F513" s="2" t="s">
        <v>17</v>
      </c>
      <c r="G513" s="5">
        <v>5</v>
      </c>
      <c r="H513" s="20">
        <v>25000000</v>
      </c>
      <c r="I513" s="2">
        <v>3</v>
      </c>
      <c r="J513" s="6">
        <v>1.6782407407407406E-3</v>
      </c>
      <c r="K513" s="2" t="s">
        <v>18</v>
      </c>
      <c r="L513" s="2" t="s">
        <v>39</v>
      </c>
      <c r="M513" s="2" t="s">
        <v>48</v>
      </c>
      <c r="N513" s="2" t="s">
        <v>76</v>
      </c>
      <c r="O513" s="2" t="s">
        <v>52</v>
      </c>
    </row>
    <row r="514" spans="1:15" ht="21" customHeight="1" x14ac:dyDescent="0.3">
      <c r="A514" s="17"/>
      <c r="B514" s="12" t="s">
        <v>14</v>
      </c>
      <c r="C514" s="13">
        <v>10</v>
      </c>
      <c r="D514" s="14" t="s">
        <v>44</v>
      </c>
      <c r="E514" s="12" t="s">
        <v>38</v>
      </c>
      <c r="F514" s="12" t="s">
        <v>23</v>
      </c>
      <c r="G514" s="15">
        <v>1</v>
      </c>
      <c r="H514" s="21">
        <v>7000000</v>
      </c>
      <c r="I514" s="12">
        <v>6</v>
      </c>
      <c r="J514" s="16">
        <v>1.6782407407407406E-3</v>
      </c>
      <c r="K514" s="12" t="s">
        <v>18</v>
      </c>
      <c r="L514" s="12" t="s">
        <v>19</v>
      </c>
      <c r="M514" s="12" t="s">
        <v>43</v>
      </c>
      <c r="N514" s="12" t="s">
        <v>77</v>
      </c>
      <c r="O514" s="12" t="s">
        <v>65</v>
      </c>
    </row>
    <row r="515" spans="1:15" ht="21" customHeight="1" x14ac:dyDescent="0.3">
      <c r="A515" s="17"/>
      <c r="B515" s="2" t="s">
        <v>14</v>
      </c>
      <c r="C515" s="3">
        <v>11</v>
      </c>
      <c r="D515" s="4" t="s">
        <v>44</v>
      </c>
      <c r="E515" s="2" t="s">
        <v>28</v>
      </c>
      <c r="F515" s="2" t="s">
        <v>23</v>
      </c>
      <c r="G515" s="5">
        <v>4</v>
      </c>
      <c r="H515" s="20">
        <v>20000000</v>
      </c>
      <c r="I515" s="2">
        <v>2</v>
      </c>
      <c r="J515" s="6">
        <v>1.6782407407407406E-3</v>
      </c>
      <c r="K515" s="2" t="s">
        <v>18</v>
      </c>
      <c r="L515" s="2" t="s">
        <v>47</v>
      </c>
      <c r="M515" s="2" t="s">
        <v>33</v>
      </c>
      <c r="N515" s="2" t="s">
        <v>76</v>
      </c>
      <c r="O515" s="2" t="s">
        <v>31</v>
      </c>
    </row>
    <row r="516" spans="1:15" ht="21" customHeight="1" x14ac:dyDescent="0.3">
      <c r="A516" s="17"/>
      <c r="B516" s="12" t="s">
        <v>14</v>
      </c>
      <c r="C516" s="13">
        <v>22</v>
      </c>
      <c r="D516" s="14" t="s">
        <v>44</v>
      </c>
      <c r="E516" s="12" t="s">
        <v>73</v>
      </c>
      <c r="F516" s="12" t="s">
        <v>17</v>
      </c>
      <c r="G516" s="15">
        <v>2</v>
      </c>
      <c r="H516" s="21">
        <v>12000000</v>
      </c>
      <c r="I516" s="12">
        <v>2</v>
      </c>
      <c r="J516" s="16">
        <v>1.6782407407407406E-3</v>
      </c>
      <c r="K516" s="12" t="s">
        <v>18</v>
      </c>
      <c r="L516" s="12" t="s">
        <v>56</v>
      </c>
      <c r="M516" s="12" t="s">
        <v>33</v>
      </c>
      <c r="N516" s="12" t="s">
        <v>76</v>
      </c>
      <c r="O516" s="12" t="s">
        <v>26</v>
      </c>
    </row>
    <row r="517" spans="1:15" ht="21" customHeight="1" x14ac:dyDescent="0.3">
      <c r="A517" s="17"/>
      <c r="B517" s="2" t="s">
        <v>14</v>
      </c>
      <c r="C517" s="3">
        <v>18</v>
      </c>
      <c r="D517" s="4" t="s">
        <v>44</v>
      </c>
      <c r="E517" s="2" t="s">
        <v>32</v>
      </c>
      <c r="F517" s="2" t="s">
        <v>68</v>
      </c>
      <c r="G517" s="5">
        <v>5</v>
      </c>
      <c r="H517" s="20">
        <v>25000000</v>
      </c>
      <c r="I517" s="2">
        <v>4</v>
      </c>
      <c r="J517" s="6">
        <v>1.6782407407407406E-3</v>
      </c>
      <c r="K517" s="2" t="s">
        <v>18</v>
      </c>
      <c r="L517" s="2" t="s">
        <v>19</v>
      </c>
      <c r="M517" s="2" t="s">
        <v>43</v>
      </c>
      <c r="N517" s="2" t="s">
        <v>77</v>
      </c>
      <c r="O517" s="2" t="s">
        <v>54</v>
      </c>
    </row>
    <row r="518" spans="1:15" ht="21" customHeight="1" x14ac:dyDescent="0.3">
      <c r="A518" s="17"/>
      <c r="B518" s="12" t="s">
        <v>14</v>
      </c>
      <c r="C518" s="13">
        <v>15</v>
      </c>
      <c r="D518" s="14" t="s">
        <v>55</v>
      </c>
      <c r="E518" s="12" t="s">
        <v>38</v>
      </c>
      <c r="F518" s="12" t="s">
        <v>42</v>
      </c>
      <c r="G518" s="15">
        <v>4</v>
      </c>
      <c r="H518" s="21">
        <v>20000000</v>
      </c>
      <c r="I518" s="12">
        <v>3</v>
      </c>
      <c r="J518" s="16">
        <v>1.6782407407407406E-3</v>
      </c>
      <c r="K518" s="12" t="s">
        <v>61</v>
      </c>
      <c r="L518" s="12" t="s">
        <v>35</v>
      </c>
      <c r="M518" s="12" t="s">
        <v>51</v>
      </c>
      <c r="N518" s="12" t="s">
        <v>78</v>
      </c>
      <c r="O518" s="12" t="s">
        <v>41</v>
      </c>
    </row>
    <row r="519" spans="1:15" ht="21" customHeight="1" x14ac:dyDescent="0.3">
      <c r="A519" s="17"/>
      <c r="B519" s="2" t="s">
        <v>14</v>
      </c>
      <c r="C519" s="3">
        <v>1</v>
      </c>
      <c r="D519" s="4" t="s">
        <v>59</v>
      </c>
      <c r="E519" s="2" t="s">
        <v>38</v>
      </c>
      <c r="F519" s="2" t="s">
        <v>42</v>
      </c>
      <c r="G519" s="5">
        <v>2</v>
      </c>
      <c r="H519" s="20">
        <v>38000000</v>
      </c>
      <c r="I519" s="2">
        <v>2</v>
      </c>
      <c r="J519" s="6">
        <v>1.6782407407407406E-3</v>
      </c>
      <c r="K519" s="2" t="s">
        <v>46</v>
      </c>
      <c r="L519" s="2" t="s">
        <v>24</v>
      </c>
      <c r="M519" s="2" t="s">
        <v>30</v>
      </c>
      <c r="N519" s="2" t="s">
        <v>77</v>
      </c>
      <c r="O519" s="2" t="s">
        <v>34</v>
      </c>
    </row>
    <row r="520" spans="1:15" ht="21" customHeight="1" x14ac:dyDescent="0.3">
      <c r="A520" s="17"/>
      <c r="B520" s="12" t="s">
        <v>14</v>
      </c>
      <c r="C520" s="13">
        <v>1</v>
      </c>
      <c r="D520" s="14" t="s">
        <v>59</v>
      </c>
      <c r="E520" s="12" t="s">
        <v>32</v>
      </c>
      <c r="F520" s="12" t="s">
        <v>23</v>
      </c>
      <c r="G520" s="15">
        <v>2</v>
      </c>
      <c r="H520" s="21">
        <v>12000000</v>
      </c>
      <c r="I520" s="12">
        <v>3</v>
      </c>
      <c r="J520" s="16">
        <v>1.6782407407407406E-3</v>
      </c>
      <c r="K520" s="12" t="s">
        <v>18</v>
      </c>
      <c r="L520" s="12" t="s">
        <v>29</v>
      </c>
      <c r="M520" s="12" t="s">
        <v>48</v>
      </c>
      <c r="N520" s="12" t="s">
        <v>78</v>
      </c>
      <c r="O520" s="12" t="s">
        <v>53</v>
      </c>
    </row>
    <row r="521" spans="1:15" ht="21" customHeight="1" x14ac:dyDescent="0.3">
      <c r="A521" s="17"/>
      <c r="B521" s="2" t="s">
        <v>14</v>
      </c>
      <c r="C521" s="3">
        <v>20</v>
      </c>
      <c r="D521" s="4" t="s">
        <v>59</v>
      </c>
      <c r="E521" s="2" t="s">
        <v>32</v>
      </c>
      <c r="F521" s="2" t="s">
        <v>45</v>
      </c>
      <c r="G521" s="5">
        <v>3</v>
      </c>
      <c r="H521" s="20">
        <v>15000000</v>
      </c>
      <c r="I521" s="2">
        <v>2</v>
      </c>
      <c r="J521" s="6">
        <v>1.6782407407407406E-3</v>
      </c>
      <c r="K521" s="2" t="s">
        <v>18</v>
      </c>
      <c r="L521" s="2" t="s">
        <v>39</v>
      </c>
      <c r="M521" s="2" t="s">
        <v>51</v>
      </c>
      <c r="N521" s="2" t="s">
        <v>78</v>
      </c>
      <c r="O521" s="2" t="s">
        <v>41</v>
      </c>
    </row>
    <row r="522" spans="1:15" ht="21" customHeight="1" x14ac:dyDescent="0.3">
      <c r="A522" s="17"/>
      <c r="B522" s="12" t="s">
        <v>70</v>
      </c>
      <c r="C522" s="13">
        <v>12</v>
      </c>
      <c r="D522" s="14" t="s">
        <v>59</v>
      </c>
      <c r="E522" s="12" t="s">
        <v>16</v>
      </c>
      <c r="F522" s="12" t="s">
        <v>23</v>
      </c>
      <c r="G522" s="15">
        <v>0</v>
      </c>
      <c r="H522" s="21">
        <v>0</v>
      </c>
      <c r="I522" s="12">
        <v>2</v>
      </c>
      <c r="J522" s="16">
        <v>1.6782407407407406E-3</v>
      </c>
      <c r="K522" s="12"/>
      <c r="L522" s="12"/>
      <c r="M522" s="12" t="s">
        <v>43</v>
      </c>
      <c r="N522" s="12" t="s">
        <v>66</v>
      </c>
      <c r="O522" s="12" t="s">
        <v>67</v>
      </c>
    </row>
    <row r="523" spans="1:15" ht="21" customHeight="1" x14ac:dyDescent="0.3">
      <c r="A523" s="17"/>
      <c r="B523" s="2" t="s">
        <v>70</v>
      </c>
      <c r="C523" s="3">
        <v>14</v>
      </c>
      <c r="D523" s="4" t="s">
        <v>60</v>
      </c>
      <c r="E523" s="2" t="s">
        <v>16</v>
      </c>
      <c r="F523" s="2" t="s">
        <v>42</v>
      </c>
      <c r="G523" s="5">
        <v>0</v>
      </c>
      <c r="H523" s="20">
        <v>0</v>
      </c>
      <c r="I523" s="2">
        <v>1</v>
      </c>
      <c r="J523" s="6">
        <v>1.6782407407407406E-3</v>
      </c>
      <c r="K523" s="2"/>
      <c r="L523" s="2"/>
      <c r="M523" s="2" t="s">
        <v>51</v>
      </c>
      <c r="N523" s="2" t="s">
        <v>76</v>
      </c>
      <c r="O523" s="2" t="s">
        <v>31</v>
      </c>
    </row>
    <row r="524" spans="1:15" ht="21" customHeight="1" x14ac:dyDescent="0.3">
      <c r="A524" s="17"/>
      <c r="B524" s="12" t="s">
        <v>70</v>
      </c>
      <c r="C524" s="13">
        <v>15</v>
      </c>
      <c r="D524" s="14" t="s">
        <v>22</v>
      </c>
      <c r="E524" s="12" t="s">
        <v>16</v>
      </c>
      <c r="F524" s="12" t="s">
        <v>23</v>
      </c>
      <c r="G524" s="15">
        <v>0</v>
      </c>
      <c r="H524" s="21">
        <v>0</v>
      </c>
      <c r="I524" s="12">
        <v>2</v>
      </c>
      <c r="J524" s="16">
        <v>1.6782407407407406E-3</v>
      </c>
      <c r="K524" s="12"/>
      <c r="L524" s="12"/>
      <c r="M524" s="12" t="s">
        <v>40</v>
      </c>
      <c r="N524" s="12" t="s">
        <v>78</v>
      </c>
      <c r="O524" s="12" t="s">
        <v>62</v>
      </c>
    </row>
    <row r="525" spans="1:15" ht="21" customHeight="1" x14ac:dyDescent="0.3">
      <c r="A525" s="17"/>
      <c r="B525" s="2" t="s">
        <v>70</v>
      </c>
      <c r="C525" s="3">
        <v>20</v>
      </c>
      <c r="D525" s="4" t="s">
        <v>27</v>
      </c>
      <c r="E525" s="2" t="s">
        <v>49</v>
      </c>
      <c r="F525" s="2" t="s">
        <v>23</v>
      </c>
      <c r="G525" s="5">
        <v>0</v>
      </c>
      <c r="H525" s="20">
        <v>0</v>
      </c>
      <c r="I525" s="2">
        <v>1</v>
      </c>
      <c r="J525" s="6">
        <v>1.6782407407407406E-3</v>
      </c>
      <c r="K525" s="2"/>
      <c r="L525" s="2"/>
      <c r="M525" s="2" t="s">
        <v>25</v>
      </c>
      <c r="N525" s="2" t="s">
        <v>77</v>
      </c>
      <c r="O525" s="2" t="s">
        <v>54</v>
      </c>
    </row>
    <row r="526" spans="1:15" ht="21" customHeight="1" x14ac:dyDescent="0.3">
      <c r="A526" s="17"/>
      <c r="B526" s="12" t="s">
        <v>70</v>
      </c>
      <c r="C526" s="13">
        <v>2</v>
      </c>
      <c r="D526" s="14" t="s">
        <v>37</v>
      </c>
      <c r="E526" s="12" t="s">
        <v>16</v>
      </c>
      <c r="F526" s="12" t="s">
        <v>23</v>
      </c>
      <c r="G526" s="15">
        <v>0</v>
      </c>
      <c r="H526" s="21">
        <v>0</v>
      </c>
      <c r="I526" s="12">
        <v>2</v>
      </c>
      <c r="J526" s="16">
        <v>1.6782407407407406E-3</v>
      </c>
      <c r="K526" s="12"/>
      <c r="L526" s="12"/>
      <c r="M526" s="12" t="s">
        <v>30</v>
      </c>
      <c r="N526" s="12" t="s">
        <v>76</v>
      </c>
      <c r="O526" s="12" t="s">
        <v>75</v>
      </c>
    </row>
    <row r="527" spans="1:15" ht="21" customHeight="1" x14ac:dyDescent="0.3">
      <c r="A527" s="17"/>
      <c r="B527" s="2" t="s">
        <v>70</v>
      </c>
      <c r="C527" s="3">
        <v>21</v>
      </c>
      <c r="D527" s="4" t="s">
        <v>37</v>
      </c>
      <c r="E527" s="2" t="s">
        <v>32</v>
      </c>
      <c r="F527" s="2" t="s">
        <v>42</v>
      </c>
      <c r="G527" s="5">
        <v>0</v>
      </c>
      <c r="H527" s="20">
        <v>0</v>
      </c>
      <c r="I527" s="2">
        <v>3</v>
      </c>
      <c r="J527" s="6">
        <v>1.6782407407407406E-3</v>
      </c>
      <c r="K527" s="2"/>
      <c r="L527" s="2"/>
      <c r="M527" s="2" t="s">
        <v>30</v>
      </c>
      <c r="N527" s="2" t="s">
        <v>78</v>
      </c>
      <c r="O527" s="2" t="s">
        <v>62</v>
      </c>
    </row>
    <row r="528" spans="1:15" ht="21" customHeight="1" x14ac:dyDescent="0.3">
      <c r="A528" s="17"/>
      <c r="B528" s="12" t="s">
        <v>70</v>
      </c>
      <c r="C528" s="13">
        <v>23</v>
      </c>
      <c r="D528" s="14" t="s">
        <v>37</v>
      </c>
      <c r="E528" s="12" t="s">
        <v>49</v>
      </c>
      <c r="F528" s="12" t="s">
        <v>42</v>
      </c>
      <c r="G528" s="15">
        <v>0</v>
      </c>
      <c r="H528" s="21">
        <v>0</v>
      </c>
      <c r="I528" s="12">
        <v>3</v>
      </c>
      <c r="J528" s="16">
        <v>1.6782407407407406E-3</v>
      </c>
      <c r="K528" s="12"/>
      <c r="L528" s="12"/>
      <c r="M528" s="12" t="s">
        <v>48</v>
      </c>
      <c r="N528" s="12" t="s">
        <v>66</v>
      </c>
      <c r="O528" s="12" t="s">
        <v>67</v>
      </c>
    </row>
    <row r="529" spans="1:15" ht="21" customHeight="1" x14ac:dyDescent="0.3">
      <c r="A529" s="17"/>
      <c r="B529" s="2" t="s">
        <v>70</v>
      </c>
      <c r="C529" s="3">
        <v>14</v>
      </c>
      <c r="D529" s="4" t="s">
        <v>44</v>
      </c>
      <c r="E529" s="2" t="s">
        <v>16</v>
      </c>
      <c r="F529" s="2" t="s">
        <v>42</v>
      </c>
      <c r="G529" s="5">
        <v>0</v>
      </c>
      <c r="H529" s="20">
        <v>0</v>
      </c>
      <c r="I529" s="2">
        <v>2</v>
      </c>
      <c r="J529" s="6">
        <v>1.6782407407407406E-3</v>
      </c>
      <c r="K529" s="2"/>
      <c r="L529" s="2"/>
      <c r="M529" s="2" t="s">
        <v>43</v>
      </c>
      <c r="N529" s="2" t="s">
        <v>76</v>
      </c>
      <c r="O529" s="2" t="s">
        <v>52</v>
      </c>
    </row>
    <row r="530" spans="1:15" ht="21" customHeight="1" x14ac:dyDescent="0.3">
      <c r="A530" s="17"/>
      <c r="B530" s="12" t="s">
        <v>70</v>
      </c>
      <c r="C530" s="13">
        <v>16</v>
      </c>
      <c r="D530" s="14" t="s">
        <v>44</v>
      </c>
      <c r="E530" s="12" t="s">
        <v>38</v>
      </c>
      <c r="F530" s="12" t="s">
        <v>42</v>
      </c>
      <c r="G530" s="15">
        <v>0</v>
      </c>
      <c r="H530" s="21">
        <v>0</v>
      </c>
      <c r="I530" s="12">
        <v>3</v>
      </c>
      <c r="J530" s="16">
        <v>1.6782407407407406E-3</v>
      </c>
      <c r="K530" s="12"/>
      <c r="L530" s="12"/>
      <c r="M530" s="12" t="s">
        <v>43</v>
      </c>
      <c r="N530" s="12" t="s">
        <v>77</v>
      </c>
      <c r="O530" s="12" t="s">
        <v>65</v>
      </c>
    </row>
    <row r="531" spans="1:15" ht="21" customHeight="1" x14ac:dyDescent="0.3">
      <c r="A531" s="17"/>
      <c r="B531" s="2" t="s">
        <v>70</v>
      </c>
      <c r="C531" s="3">
        <v>12</v>
      </c>
      <c r="D531" s="4" t="s">
        <v>59</v>
      </c>
      <c r="E531" s="2" t="s">
        <v>16</v>
      </c>
      <c r="F531" s="2" t="s">
        <v>23</v>
      </c>
      <c r="G531" s="5">
        <v>0</v>
      </c>
      <c r="H531" s="20">
        <v>0</v>
      </c>
      <c r="I531" s="2">
        <v>2</v>
      </c>
      <c r="J531" s="6">
        <v>1.6782407407407406E-3</v>
      </c>
      <c r="K531" s="2"/>
      <c r="L531" s="2"/>
      <c r="M531" s="2" t="s">
        <v>43</v>
      </c>
      <c r="N531" s="2" t="s">
        <v>66</v>
      </c>
      <c r="O531" s="2" t="s">
        <v>67</v>
      </c>
    </row>
    <row r="532" spans="1:15" ht="21" customHeight="1" x14ac:dyDescent="0.3">
      <c r="A532" s="17"/>
      <c r="B532" s="12" t="s">
        <v>70</v>
      </c>
      <c r="C532" s="13">
        <v>14</v>
      </c>
      <c r="D532" s="14" t="s">
        <v>60</v>
      </c>
      <c r="E532" s="12" t="s">
        <v>16</v>
      </c>
      <c r="F532" s="12" t="s">
        <v>42</v>
      </c>
      <c r="G532" s="15">
        <v>0</v>
      </c>
      <c r="H532" s="21">
        <v>0</v>
      </c>
      <c r="I532" s="12">
        <v>1</v>
      </c>
      <c r="J532" s="16">
        <v>1.6782407407407406E-3</v>
      </c>
      <c r="K532" s="12"/>
      <c r="L532" s="12"/>
      <c r="M532" s="12" t="s">
        <v>51</v>
      </c>
      <c r="N532" s="12" t="s">
        <v>76</v>
      </c>
      <c r="O532" s="12" t="s">
        <v>31</v>
      </c>
    </row>
    <row r="533" spans="1:15" ht="21" customHeight="1" x14ac:dyDescent="0.3">
      <c r="A533" s="17"/>
      <c r="B533" s="2" t="s">
        <v>14</v>
      </c>
      <c r="C533" s="3">
        <v>11</v>
      </c>
      <c r="D533" s="4" t="s">
        <v>55</v>
      </c>
      <c r="E533" s="2" t="s">
        <v>38</v>
      </c>
      <c r="F533" s="2" t="s">
        <v>42</v>
      </c>
      <c r="G533" s="5">
        <v>5</v>
      </c>
      <c r="H533" s="20">
        <v>20000000</v>
      </c>
      <c r="I533" s="2">
        <v>1</v>
      </c>
      <c r="J533" s="6">
        <v>1.736111111111111E-3</v>
      </c>
      <c r="K533" s="2" t="s">
        <v>18</v>
      </c>
      <c r="L533" s="2" t="s">
        <v>29</v>
      </c>
      <c r="M533" s="2" t="s">
        <v>48</v>
      </c>
      <c r="N533" s="2" t="s">
        <v>77</v>
      </c>
      <c r="O533" s="2" t="s">
        <v>54</v>
      </c>
    </row>
    <row r="534" spans="1:15" ht="21" customHeight="1" x14ac:dyDescent="0.3">
      <c r="A534" s="17"/>
      <c r="B534" s="12" t="s">
        <v>14</v>
      </c>
      <c r="C534" s="13">
        <v>14</v>
      </c>
      <c r="D534" s="14" t="s">
        <v>57</v>
      </c>
      <c r="E534" s="12" t="s">
        <v>49</v>
      </c>
      <c r="F534" s="12" t="s">
        <v>42</v>
      </c>
      <c r="G534" s="15">
        <v>2</v>
      </c>
      <c r="H534" s="21">
        <v>10000000</v>
      </c>
      <c r="I534" s="12">
        <v>7</v>
      </c>
      <c r="J534" s="16">
        <v>1.736111111111111E-3</v>
      </c>
      <c r="K534" s="12" t="s">
        <v>18</v>
      </c>
      <c r="L534" s="12" t="s">
        <v>29</v>
      </c>
      <c r="M534" s="12" t="s">
        <v>43</v>
      </c>
      <c r="N534" s="12" t="s">
        <v>78</v>
      </c>
      <c r="O534" s="12" t="s">
        <v>53</v>
      </c>
    </row>
    <row r="535" spans="1:15" ht="21" customHeight="1" x14ac:dyDescent="0.3">
      <c r="A535" s="17"/>
      <c r="B535" s="2" t="s">
        <v>14</v>
      </c>
      <c r="C535" s="3">
        <v>10</v>
      </c>
      <c r="D535" s="4" t="s">
        <v>72</v>
      </c>
      <c r="E535" s="2" t="s">
        <v>32</v>
      </c>
      <c r="F535" s="2" t="s">
        <v>23</v>
      </c>
      <c r="G535" s="5">
        <v>1</v>
      </c>
      <c r="H535" s="20">
        <v>7000000</v>
      </c>
      <c r="I535" s="2">
        <v>1</v>
      </c>
      <c r="J535" s="6">
        <v>1.736111111111111E-3</v>
      </c>
      <c r="K535" s="2" t="s">
        <v>18</v>
      </c>
      <c r="L535" s="2" t="s">
        <v>47</v>
      </c>
      <c r="M535" s="2" t="s">
        <v>30</v>
      </c>
      <c r="N535" s="2" t="s">
        <v>78</v>
      </c>
      <c r="O535" s="2" t="s">
        <v>53</v>
      </c>
    </row>
    <row r="536" spans="1:15" ht="21" customHeight="1" x14ac:dyDescent="0.3">
      <c r="A536" s="17"/>
      <c r="B536" s="12" t="s">
        <v>14</v>
      </c>
      <c r="C536" s="13">
        <v>12</v>
      </c>
      <c r="D536" s="14" t="s">
        <v>72</v>
      </c>
      <c r="E536" s="12" t="s">
        <v>28</v>
      </c>
      <c r="F536" s="12" t="s">
        <v>23</v>
      </c>
      <c r="G536" s="15">
        <v>5</v>
      </c>
      <c r="H536" s="21">
        <v>25000000</v>
      </c>
      <c r="I536" s="12">
        <v>2</v>
      </c>
      <c r="J536" s="16">
        <v>1.736111111111111E-3</v>
      </c>
      <c r="K536" s="12" t="s">
        <v>18</v>
      </c>
      <c r="L536" s="12" t="s">
        <v>19</v>
      </c>
      <c r="M536" s="12" t="s">
        <v>20</v>
      </c>
      <c r="N536" s="12" t="s">
        <v>77</v>
      </c>
      <c r="O536" s="12" t="s">
        <v>65</v>
      </c>
    </row>
    <row r="537" spans="1:15" ht="21" customHeight="1" x14ac:dyDescent="0.3">
      <c r="A537" s="17"/>
      <c r="B537" s="2" t="s">
        <v>14</v>
      </c>
      <c r="C537" s="3">
        <v>22</v>
      </c>
      <c r="D537" s="4" t="s">
        <v>27</v>
      </c>
      <c r="E537" s="2" t="s">
        <v>32</v>
      </c>
      <c r="F537" s="2" t="s">
        <v>42</v>
      </c>
      <c r="G537" s="5">
        <v>1</v>
      </c>
      <c r="H537" s="20">
        <v>19000000</v>
      </c>
      <c r="I537" s="2">
        <v>2</v>
      </c>
      <c r="J537" s="6">
        <v>1.736111111111111E-3</v>
      </c>
      <c r="K537" s="2" t="s">
        <v>46</v>
      </c>
      <c r="L537" s="2" t="s">
        <v>39</v>
      </c>
      <c r="M537" s="2" t="s">
        <v>51</v>
      </c>
      <c r="N537" s="2" t="s">
        <v>66</v>
      </c>
      <c r="O537" s="2" t="s">
        <v>67</v>
      </c>
    </row>
    <row r="538" spans="1:15" ht="21" customHeight="1" x14ac:dyDescent="0.3">
      <c r="A538" s="17"/>
      <c r="B538" s="12" t="s">
        <v>14</v>
      </c>
      <c r="C538" s="13">
        <v>27</v>
      </c>
      <c r="D538" s="14" t="s">
        <v>27</v>
      </c>
      <c r="E538" s="12" t="s">
        <v>16</v>
      </c>
      <c r="F538" s="12" t="s">
        <v>42</v>
      </c>
      <c r="G538" s="15">
        <v>5</v>
      </c>
      <c r="H538" s="21">
        <v>21000000</v>
      </c>
      <c r="I538" s="12">
        <v>3</v>
      </c>
      <c r="J538" s="16">
        <v>1.736111111111111E-3</v>
      </c>
      <c r="K538" s="12" t="s">
        <v>18</v>
      </c>
      <c r="L538" s="12" t="s">
        <v>39</v>
      </c>
      <c r="M538" s="12" t="s">
        <v>43</v>
      </c>
      <c r="N538" s="12" t="s">
        <v>76</v>
      </c>
      <c r="O538" s="12" t="s">
        <v>52</v>
      </c>
    </row>
    <row r="539" spans="1:15" ht="21" customHeight="1" x14ac:dyDescent="0.3">
      <c r="A539" s="17"/>
      <c r="B539" s="2" t="s">
        <v>14</v>
      </c>
      <c r="C539" s="3">
        <v>21</v>
      </c>
      <c r="D539" s="4" t="s">
        <v>37</v>
      </c>
      <c r="E539" s="2" t="s">
        <v>38</v>
      </c>
      <c r="F539" s="2" t="s">
        <v>17</v>
      </c>
      <c r="G539" s="5">
        <v>2</v>
      </c>
      <c r="H539" s="20">
        <v>38000000</v>
      </c>
      <c r="I539" s="2">
        <v>3</v>
      </c>
      <c r="J539" s="6">
        <v>1.736111111111111E-3</v>
      </c>
      <c r="K539" s="2" t="s">
        <v>46</v>
      </c>
      <c r="L539" s="2" t="s">
        <v>35</v>
      </c>
      <c r="M539" s="2" t="s">
        <v>30</v>
      </c>
      <c r="N539" s="2" t="s">
        <v>77</v>
      </c>
      <c r="O539" s="2" t="s">
        <v>54</v>
      </c>
    </row>
    <row r="540" spans="1:15" ht="21" customHeight="1" x14ac:dyDescent="0.3">
      <c r="A540" s="17"/>
      <c r="B540" s="12" t="s">
        <v>14</v>
      </c>
      <c r="C540" s="13">
        <v>24</v>
      </c>
      <c r="D540" s="14" t="s">
        <v>37</v>
      </c>
      <c r="E540" s="12" t="s">
        <v>16</v>
      </c>
      <c r="F540" s="12" t="s">
        <v>23</v>
      </c>
      <c r="G540" s="15">
        <v>4</v>
      </c>
      <c r="H540" s="21">
        <v>20000000</v>
      </c>
      <c r="I540" s="12">
        <v>2</v>
      </c>
      <c r="J540" s="16">
        <v>1.736111111111111E-3</v>
      </c>
      <c r="K540" s="12" t="s">
        <v>61</v>
      </c>
      <c r="L540" s="12" t="s">
        <v>47</v>
      </c>
      <c r="M540" s="12" t="s">
        <v>30</v>
      </c>
      <c r="N540" s="12" t="s">
        <v>77</v>
      </c>
      <c r="O540" s="12" t="s">
        <v>54</v>
      </c>
    </row>
    <row r="541" spans="1:15" ht="21" customHeight="1" x14ac:dyDescent="0.3">
      <c r="A541" s="17"/>
      <c r="B541" s="2" t="s">
        <v>14</v>
      </c>
      <c r="C541" s="3">
        <v>5</v>
      </c>
      <c r="D541" s="4" t="s">
        <v>37</v>
      </c>
      <c r="E541" s="2" t="s">
        <v>16</v>
      </c>
      <c r="F541" s="2" t="s">
        <v>17</v>
      </c>
      <c r="G541" s="5">
        <v>4</v>
      </c>
      <c r="H541" s="20">
        <v>11000000</v>
      </c>
      <c r="I541" s="2">
        <v>4</v>
      </c>
      <c r="J541" s="6">
        <v>1.736111111111111E-3</v>
      </c>
      <c r="K541" s="2" t="s">
        <v>61</v>
      </c>
      <c r="L541" s="2" t="s">
        <v>19</v>
      </c>
      <c r="M541" s="2" t="s">
        <v>40</v>
      </c>
      <c r="N541" s="2" t="s">
        <v>76</v>
      </c>
      <c r="O541" s="2" t="s">
        <v>26</v>
      </c>
    </row>
    <row r="542" spans="1:15" ht="21" customHeight="1" x14ac:dyDescent="0.3">
      <c r="A542" s="17"/>
      <c r="B542" s="12" t="s">
        <v>14</v>
      </c>
      <c r="C542" s="13">
        <v>1</v>
      </c>
      <c r="D542" s="14" t="s">
        <v>37</v>
      </c>
      <c r="E542" s="12" t="s">
        <v>32</v>
      </c>
      <c r="F542" s="12" t="s">
        <v>23</v>
      </c>
      <c r="G542" s="15">
        <v>2</v>
      </c>
      <c r="H542" s="21">
        <v>12000000</v>
      </c>
      <c r="I542" s="12">
        <v>1</v>
      </c>
      <c r="J542" s="16">
        <v>1.736111111111111E-3</v>
      </c>
      <c r="K542" s="12" t="s">
        <v>18</v>
      </c>
      <c r="L542" s="12" t="s">
        <v>29</v>
      </c>
      <c r="M542" s="12" t="s">
        <v>30</v>
      </c>
      <c r="N542" s="12" t="s">
        <v>76</v>
      </c>
      <c r="O542" s="12" t="s">
        <v>31</v>
      </c>
    </row>
    <row r="543" spans="1:15" ht="21" customHeight="1" x14ac:dyDescent="0.3">
      <c r="A543" s="17"/>
      <c r="B543" s="2" t="s">
        <v>14</v>
      </c>
      <c r="C543" s="3">
        <v>8</v>
      </c>
      <c r="D543" s="4" t="s">
        <v>37</v>
      </c>
      <c r="E543" s="2" t="s">
        <v>38</v>
      </c>
      <c r="F543" s="2" t="s">
        <v>42</v>
      </c>
      <c r="G543" s="5">
        <v>3</v>
      </c>
      <c r="H543" s="20">
        <v>15000000</v>
      </c>
      <c r="I543" s="2">
        <v>1</v>
      </c>
      <c r="J543" s="6">
        <v>1.736111111111111E-3</v>
      </c>
      <c r="K543" s="2" t="s">
        <v>18</v>
      </c>
      <c r="L543" s="2" t="s">
        <v>39</v>
      </c>
      <c r="M543" s="2" t="s">
        <v>33</v>
      </c>
      <c r="N543" s="2" t="s">
        <v>76</v>
      </c>
      <c r="O543" s="2" t="s">
        <v>26</v>
      </c>
    </row>
    <row r="544" spans="1:15" ht="21" customHeight="1" x14ac:dyDescent="0.3">
      <c r="A544" s="17"/>
      <c r="B544" s="12" t="s">
        <v>14</v>
      </c>
      <c r="C544" s="13">
        <v>28</v>
      </c>
      <c r="D544" s="14" t="s">
        <v>37</v>
      </c>
      <c r="E544" s="12" t="s">
        <v>32</v>
      </c>
      <c r="F544" s="12" t="s">
        <v>42</v>
      </c>
      <c r="G544" s="15">
        <v>3</v>
      </c>
      <c r="H544" s="21">
        <v>15000000</v>
      </c>
      <c r="I544" s="12">
        <v>2</v>
      </c>
      <c r="J544" s="16">
        <v>1.736111111111111E-3</v>
      </c>
      <c r="K544" s="12" t="s">
        <v>18</v>
      </c>
      <c r="L544" s="12" t="s">
        <v>50</v>
      </c>
      <c r="M544" s="12" t="s">
        <v>33</v>
      </c>
      <c r="N544" s="12" t="s">
        <v>78</v>
      </c>
      <c r="O544" s="12" t="s">
        <v>53</v>
      </c>
    </row>
    <row r="545" spans="1:15" ht="21" customHeight="1" x14ac:dyDescent="0.3">
      <c r="A545" s="17"/>
      <c r="B545" s="2" t="s">
        <v>14</v>
      </c>
      <c r="C545" s="3">
        <v>7</v>
      </c>
      <c r="D545" s="4" t="s">
        <v>37</v>
      </c>
      <c r="E545" s="2" t="s">
        <v>38</v>
      </c>
      <c r="F545" s="2" t="s">
        <v>68</v>
      </c>
      <c r="G545" s="5">
        <v>2</v>
      </c>
      <c r="H545" s="20">
        <v>12000000</v>
      </c>
      <c r="I545" s="2">
        <v>1</v>
      </c>
      <c r="J545" s="6">
        <v>1.736111111111111E-3</v>
      </c>
      <c r="K545" s="2" t="s">
        <v>18</v>
      </c>
      <c r="L545" s="2" t="s">
        <v>35</v>
      </c>
      <c r="M545" s="2" t="s">
        <v>48</v>
      </c>
      <c r="N545" s="2" t="s">
        <v>76</v>
      </c>
      <c r="O545" s="2" t="s">
        <v>31</v>
      </c>
    </row>
    <row r="546" spans="1:15" ht="21" customHeight="1" x14ac:dyDescent="0.3">
      <c r="A546" s="17"/>
      <c r="B546" s="12" t="s">
        <v>14</v>
      </c>
      <c r="C546" s="13">
        <v>30</v>
      </c>
      <c r="D546" s="14" t="s">
        <v>44</v>
      </c>
      <c r="E546" s="12" t="s">
        <v>32</v>
      </c>
      <c r="F546" s="12" t="s">
        <v>17</v>
      </c>
      <c r="G546" s="15">
        <v>3</v>
      </c>
      <c r="H546" s="21">
        <v>15000000</v>
      </c>
      <c r="I546" s="12">
        <v>1</v>
      </c>
      <c r="J546" s="16">
        <v>1.736111111111111E-3</v>
      </c>
      <c r="K546" s="12" t="s">
        <v>18</v>
      </c>
      <c r="L546" s="12" t="s">
        <v>29</v>
      </c>
      <c r="M546" s="12" t="s">
        <v>43</v>
      </c>
      <c r="N546" s="12" t="s">
        <v>77</v>
      </c>
      <c r="O546" s="12" t="s">
        <v>54</v>
      </c>
    </row>
    <row r="547" spans="1:15" ht="21" customHeight="1" x14ac:dyDescent="0.3">
      <c r="A547" s="17"/>
      <c r="B547" s="2" t="s">
        <v>14</v>
      </c>
      <c r="C547" s="3">
        <v>1</v>
      </c>
      <c r="D547" s="4" t="s">
        <v>44</v>
      </c>
      <c r="E547" s="2" t="s">
        <v>28</v>
      </c>
      <c r="F547" s="2" t="s">
        <v>42</v>
      </c>
      <c r="G547" s="5">
        <v>4</v>
      </c>
      <c r="H547" s="20">
        <v>20000000</v>
      </c>
      <c r="I547" s="2">
        <v>3</v>
      </c>
      <c r="J547" s="6">
        <v>1.736111111111111E-3</v>
      </c>
      <c r="K547" s="2" t="s">
        <v>18</v>
      </c>
      <c r="L547" s="2" t="s">
        <v>56</v>
      </c>
      <c r="M547" s="2" t="s">
        <v>25</v>
      </c>
      <c r="N547" s="2" t="s">
        <v>66</v>
      </c>
      <c r="O547" s="2" t="s">
        <v>36</v>
      </c>
    </row>
    <row r="548" spans="1:15" ht="21" customHeight="1" x14ac:dyDescent="0.3">
      <c r="A548" s="17"/>
      <c r="B548" s="12" t="s">
        <v>14</v>
      </c>
      <c r="C548" s="13">
        <v>5</v>
      </c>
      <c r="D548" s="14" t="s">
        <v>44</v>
      </c>
      <c r="E548" s="12" t="s">
        <v>38</v>
      </c>
      <c r="F548" s="12" t="s">
        <v>17</v>
      </c>
      <c r="G548" s="15">
        <v>2</v>
      </c>
      <c r="H548" s="21">
        <v>12000000</v>
      </c>
      <c r="I548" s="12">
        <v>3</v>
      </c>
      <c r="J548" s="16">
        <v>1.736111111111111E-3</v>
      </c>
      <c r="K548" s="12" t="s">
        <v>18</v>
      </c>
      <c r="L548" s="12" t="s">
        <v>19</v>
      </c>
      <c r="M548" s="12" t="s">
        <v>51</v>
      </c>
      <c r="N548" s="12" t="s">
        <v>78</v>
      </c>
      <c r="O548" s="12" t="s">
        <v>53</v>
      </c>
    </row>
    <row r="549" spans="1:15" ht="21" customHeight="1" x14ac:dyDescent="0.3">
      <c r="A549" s="17"/>
      <c r="B549" s="2" t="s">
        <v>14</v>
      </c>
      <c r="C549" s="3">
        <v>1</v>
      </c>
      <c r="D549" s="4" t="s">
        <v>69</v>
      </c>
      <c r="E549" s="2" t="s">
        <v>32</v>
      </c>
      <c r="F549" s="2" t="s">
        <v>23</v>
      </c>
      <c r="G549" s="5">
        <v>2</v>
      </c>
      <c r="H549" s="20">
        <v>12000000</v>
      </c>
      <c r="I549" s="2">
        <v>4</v>
      </c>
      <c r="J549" s="6">
        <v>1.736111111111111E-3</v>
      </c>
      <c r="K549" s="2" t="s">
        <v>18</v>
      </c>
      <c r="L549" s="2" t="s">
        <v>19</v>
      </c>
      <c r="M549" s="2" t="s">
        <v>20</v>
      </c>
      <c r="N549" s="2" t="s">
        <v>66</v>
      </c>
      <c r="O549" s="2" t="s">
        <v>67</v>
      </c>
    </row>
    <row r="550" spans="1:15" ht="21" customHeight="1" x14ac:dyDescent="0.3">
      <c r="A550" s="17"/>
      <c r="B550" s="12" t="s">
        <v>14</v>
      </c>
      <c r="C550" s="13">
        <v>2</v>
      </c>
      <c r="D550" s="14" t="s">
        <v>69</v>
      </c>
      <c r="E550" s="12" t="s">
        <v>16</v>
      </c>
      <c r="F550" s="12" t="s">
        <v>42</v>
      </c>
      <c r="G550" s="15">
        <v>2</v>
      </c>
      <c r="H550" s="21">
        <v>12000000</v>
      </c>
      <c r="I550" s="12">
        <v>1</v>
      </c>
      <c r="J550" s="16">
        <v>1.736111111111111E-3</v>
      </c>
      <c r="K550" s="12" t="s">
        <v>18</v>
      </c>
      <c r="L550" s="12" t="s">
        <v>64</v>
      </c>
      <c r="M550" s="12" t="s">
        <v>51</v>
      </c>
      <c r="N550" s="12" t="s">
        <v>66</v>
      </c>
      <c r="O550" s="12" t="s">
        <v>67</v>
      </c>
    </row>
    <row r="551" spans="1:15" ht="21" customHeight="1" x14ac:dyDescent="0.3">
      <c r="A551" s="17"/>
      <c r="B551" s="2" t="s">
        <v>14</v>
      </c>
      <c r="C551" s="3">
        <v>11</v>
      </c>
      <c r="D551" s="4" t="s">
        <v>55</v>
      </c>
      <c r="E551" s="2" t="s">
        <v>38</v>
      </c>
      <c r="F551" s="2" t="s">
        <v>42</v>
      </c>
      <c r="G551" s="5">
        <v>5</v>
      </c>
      <c r="H551" s="20">
        <v>20000000</v>
      </c>
      <c r="I551" s="2">
        <v>1</v>
      </c>
      <c r="J551" s="6">
        <v>1.736111111111111E-3</v>
      </c>
      <c r="K551" s="2" t="s">
        <v>18</v>
      </c>
      <c r="L551" s="2" t="s">
        <v>29</v>
      </c>
      <c r="M551" s="2" t="s">
        <v>48</v>
      </c>
      <c r="N551" s="2" t="s">
        <v>77</v>
      </c>
      <c r="O551" s="2" t="s">
        <v>54</v>
      </c>
    </row>
    <row r="552" spans="1:15" ht="21" customHeight="1" x14ac:dyDescent="0.3">
      <c r="A552" s="17"/>
      <c r="B552" s="12" t="s">
        <v>14</v>
      </c>
      <c r="C552" s="13">
        <v>14</v>
      </c>
      <c r="D552" s="14" t="s">
        <v>57</v>
      </c>
      <c r="E552" s="12" t="s">
        <v>49</v>
      </c>
      <c r="F552" s="12" t="s">
        <v>42</v>
      </c>
      <c r="G552" s="15">
        <v>2</v>
      </c>
      <c r="H552" s="21">
        <v>10000000</v>
      </c>
      <c r="I552" s="12">
        <v>7</v>
      </c>
      <c r="J552" s="16">
        <v>1.736111111111111E-3</v>
      </c>
      <c r="K552" s="12" t="s">
        <v>18</v>
      </c>
      <c r="L552" s="12" t="s">
        <v>29</v>
      </c>
      <c r="M552" s="12" t="s">
        <v>43</v>
      </c>
      <c r="N552" s="12" t="s">
        <v>78</v>
      </c>
      <c r="O552" s="12" t="s">
        <v>53</v>
      </c>
    </row>
    <row r="553" spans="1:15" ht="21" customHeight="1" x14ac:dyDescent="0.3">
      <c r="A553" s="17"/>
      <c r="B553" s="2" t="s">
        <v>14</v>
      </c>
      <c r="C553" s="3">
        <v>10</v>
      </c>
      <c r="D553" s="4" t="s">
        <v>72</v>
      </c>
      <c r="E553" s="2" t="s">
        <v>32</v>
      </c>
      <c r="F553" s="2" t="s">
        <v>23</v>
      </c>
      <c r="G553" s="5">
        <v>1</v>
      </c>
      <c r="H553" s="20">
        <v>7000000</v>
      </c>
      <c r="I553" s="2">
        <v>1</v>
      </c>
      <c r="J553" s="6">
        <v>1.736111111111111E-3</v>
      </c>
      <c r="K553" s="2" t="s">
        <v>18</v>
      </c>
      <c r="L553" s="2" t="s">
        <v>47</v>
      </c>
      <c r="M553" s="2" t="s">
        <v>30</v>
      </c>
      <c r="N553" s="2" t="s">
        <v>78</v>
      </c>
      <c r="O553" s="2" t="s">
        <v>53</v>
      </c>
    </row>
    <row r="554" spans="1:15" ht="21" customHeight="1" x14ac:dyDescent="0.3">
      <c r="A554" s="17"/>
      <c r="B554" s="12" t="s">
        <v>14</v>
      </c>
      <c r="C554" s="13">
        <v>12</v>
      </c>
      <c r="D554" s="14" t="s">
        <v>72</v>
      </c>
      <c r="E554" s="12" t="s">
        <v>28</v>
      </c>
      <c r="F554" s="12" t="s">
        <v>23</v>
      </c>
      <c r="G554" s="15">
        <v>5</v>
      </c>
      <c r="H554" s="21">
        <v>25000000</v>
      </c>
      <c r="I554" s="12">
        <v>2</v>
      </c>
      <c r="J554" s="16">
        <v>1.736111111111111E-3</v>
      </c>
      <c r="K554" s="12" t="s">
        <v>18</v>
      </c>
      <c r="L554" s="12" t="s">
        <v>19</v>
      </c>
      <c r="M554" s="12" t="s">
        <v>20</v>
      </c>
      <c r="N554" s="12" t="s">
        <v>77</v>
      </c>
      <c r="O554" s="12" t="s">
        <v>65</v>
      </c>
    </row>
    <row r="555" spans="1:15" ht="21" customHeight="1" x14ac:dyDescent="0.3">
      <c r="A555" s="17"/>
      <c r="B555" s="2" t="s">
        <v>70</v>
      </c>
      <c r="C555" s="3">
        <v>11</v>
      </c>
      <c r="D555" s="4" t="s">
        <v>59</v>
      </c>
      <c r="E555" s="2" t="s">
        <v>16</v>
      </c>
      <c r="F555" s="2" t="s">
        <v>23</v>
      </c>
      <c r="G555" s="5">
        <v>0</v>
      </c>
      <c r="H555" s="20">
        <v>0</v>
      </c>
      <c r="I555" s="2">
        <v>2</v>
      </c>
      <c r="J555" s="6">
        <v>1.736111111111111E-3</v>
      </c>
      <c r="K555" s="2"/>
      <c r="L555" s="2"/>
      <c r="M555" s="2" t="s">
        <v>48</v>
      </c>
      <c r="N555" s="2" t="s">
        <v>66</v>
      </c>
      <c r="O555" s="2" t="s">
        <v>67</v>
      </c>
    </row>
    <row r="556" spans="1:15" ht="21" customHeight="1" x14ac:dyDescent="0.3">
      <c r="A556" s="17"/>
      <c r="B556" s="12" t="s">
        <v>70</v>
      </c>
      <c r="C556" s="13">
        <v>27</v>
      </c>
      <c r="D556" s="14" t="s">
        <v>59</v>
      </c>
      <c r="E556" s="12" t="s">
        <v>38</v>
      </c>
      <c r="F556" s="12" t="s">
        <v>42</v>
      </c>
      <c r="G556" s="15">
        <v>0</v>
      </c>
      <c r="H556" s="21">
        <v>0</v>
      </c>
      <c r="I556" s="12">
        <v>3</v>
      </c>
      <c r="J556" s="16">
        <v>1.736111111111111E-3</v>
      </c>
      <c r="K556" s="12"/>
      <c r="L556" s="12"/>
      <c r="M556" s="12" t="s">
        <v>30</v>
      </c>
      <c r="N556" s="12" t="s">
        <v>78</v>
      </c>
      <c r="O556" s="12" t="s">
        <v>41</v>
      </c>
    </row>
    <row r="557" spans="1:15" ht="21" customHeight="1" x14ac:dyDescent="0.3">
      <c r="A557" s="17"/>
      <c r="B557" s="2" t="s">
        <v>70</v>
      </c>
      <c r="C557" s="3">
        <v>20</v>
      </c>
      <c r="D557" s="4" t="s">
        <v>27</v>
      </c>
      <c r="E557" s="2" t="s">
        <v>16</v>
      </c>
      <c r="F557" s="2" t="s">
        <v>23</v>
      </c>
      <c r="G557" s="5">
        <v>0</v>
      </c>
      <c r="H557" s="20">
        <v>0</v>
      </c>
      <c r="I557" s="2">
        <v>2</v>
      </c>
      <c r="J557" s="6">
        <v>1.736111111111111E-3</v>
      </c>
      <c r="K557" s="2"/>
      <c r="L557" s="2"/>
      <c r="M557" s="2" t="s">
        <v>43</v>
      </c>
      <c r="N557" s="2" t="s">
        <v>76</v>
      </c>
      <c r="O557" s="2" t="s">
        <v>26</v>
      </c>
    </row>
    <row r="558" spans="1:15" ht="21" customHeight="1" x14ac:dyDescent="0.3">
      <c r="A558" s="17"/>
      <c r="B558" s="12" t="s">
        <v>70</v>
      </c>
      <c r="C558" s="13">
        <v>1</v>
      </c>
      <c r="D558" s="14" t="s">
        <v>37</v>
      </c>
      <c r="E558" s="12" t="s">
        <v>32</v>
      </c>
      <c r="F558" s="12" t="s">
        <v>23</v>
      </c>
      <c r="G558" s="15">
        <v>0</v>
      </c>
      <c r="H558" s="21">
        <v>0</v>
      </c>
      <c r="I558" s="12">
        <v>4</v>
      </c>
      <c r="J558" s="16">
        <v>1.736111111111111E-3</v>
      </c>
      <c r="K558" s="12"/>
      <c r="L558" s="12"/>
      <c r="M558" s="12" t="s">
        <v>48</v>
      </c>
      <c r="N558" s="12" t="s">
        <v>78</v>
      </c>
      <c r="O558" s="12" t="s">
        <v>53</v>
      </c>
    </row>
    <row r="559" spans="1:15" ht="21" customHeight="1" x14ac:dyDescent="0.3">
      <c r="A559" s="17"/>
      <c r="B559" s="2" t="s">
        <v>70</v>
      </c>
      <c r="C559" s="3">
        <v>1</v>
      </c>
      <c r="D559" s="4" t="s">
        <v>44</v>
      </c>
      <c r="E559" s="2" t="s">
        <v>16</v>
      </c>
      <c r="F559" s="2" t="s">
        <v>42</v>
      </c>
      <c r="G559" s="5">
        <v>0</v>
      </c>
      <c r="H559" s="20">
        <v>0</v>
      </c>
      <c r="I559" s="2">
        <v>4</v>
      </c>
      <c r="J559" s="6">
        <v>1.736111111111111E-3</v>
      </c>
      <c r="K559" s="2"/>
      <c r="L559" s="2"/>
      <c r="M559" s="2" t="s">
        <v>33</v>
      </c>
      <c r="N559" s="2" t="s">
        <v>76</v>
      </c>
      <c r="O559" s="2" t="s">
        <v>31</v>
      </c>
    </row>
    <row r="560" spans="1:15" ht="21" customHeight="1" x14ac:dyDescent="0.3">
      <c r="A560" s="17"/>
      <c r="B560" s="12" t="s">
        <v>70</v>
      </c>
      <c r="C560" s="13">
        <v>25</v>
      </c>
      <c r="D560" s="14" t="s">
        <v>44</v>
      </c>
      <c r="E560" s="12" t="s">
        <v>28</v>
      </c>
      <c r="F560" s="12" t="s">
        <v>17</v>
      </c>
      <c r="G560" s="15">
        <v>0</v>
      </c>
      <c r="H560" s="21">
        <v>0</v>
      </c>
      <c r="I560" s="12">
        <v>3</v>
      </c>
      <c r="J560" s="16">
        <v>1.736111111111111E-3</v>
      </c>
      <c r="K560" s="12"/>
      <c r="L560" s="12"/>
      <c r="M560" s="12" t="s">
        <v>25</v>
      </c>
      <c r="N560" s="12" t="s">
        <v>78</v>
      </c>
      <c r="O560" s="12" t="s">
        <v>53</v>
      </c>
    </row>
    <row r="561" spans="1:15" ht="21" customHeight="1" x14ac:dyDescent="0.3">
      <c r="A561" s="17"/>
      <c r="B561" s="2" t="s">
        <v>70</v>
      </c>
      <c r="C561" s="3">
        <v>3</v>
      </c>
      <c r="D561" s="4" t="s">
        <v>69</v>
      </c>
      <c r="E561" s="2" t="s">
        <v>38</v>
      </c>
      <c r="F561" s="2" t="s">
        <v>23</v>
      </c>
      <c r="G561" s="5">
        <v>0</v>
      </c>
      <c r="H561" s="20">
        <v>0</v>
      </c>
      <c r="I561" s="2">
        <v>1</v>
      </c>
      <c r="J561" s="6">
        <v>1.736111111111111E-3</v>
      </c>
      <c r="K561" s="2"/>
      <c r="L561" s="2"/>
      <c r="M561" s="2" t="s">
        <v>30</v>
      </c>
      <c r="N561" s="2" t="s">
        <v>77</v>
      </c>
      <c r="O561" s="2" t="s">
        <v>65</v>
      </c>
    </row>
    <row r="562" spans="1:15" ht="21" customHeight="1" x14ac:dyDescent="0.3">
      <c r="A562" s="17"/>
      <c r="B562" s="12" t="s">
        <v>70</v>
      </c>
      <c r="C562" s="13">
        <v>10</v>
      </c>
      <c r="D562" s="14" t="s">
        <v>69</v>
      </c>
      <c r="E562" s="12" t="s">
        <v>32</v>
      </c>
      <c r="F562" s="12" t="s">
        <v>23</v>
      </c>
      <c r="G562" s="15">
        <v>0</v>
      </c>
      <c r="H562" s="21">
        <v>0</v>
      </c>
      <c r="I562" s="12">
        <v>1</v>
      </c>
      <c r="J562" s="16">
        <v>1.736111111111111E-3</v>
      </c>
      <c r="K562" s="12"/>
      <c r="L562" s="12"/>
      <c r="M562" s="12" t="s">
        <v>33</v>
      </c>
      <c r="N562" s="12" t="s">
        <v>76</v>
      </c>
      <c r="O562" s="12" t="s">
        <v>31</v>
      </c>
    </row>
    <row r="563" spans="1:15" ht="21" customHeight="1" x14ac:dyDescent="0.3">
      <c r="A563" s="17"/>
      <c r="B563" s="2" t="s">
        <v>70</v>
      </c>
      <c r="C563" s="3">
        <v>11</v>
      </c>
      <c r="D563" s="4" t="s">
        <v>59</v>
      </c>
      <c r="E563" s="2" t="s">
        <v>16</v>
      </c>
      <c r="F563" s="2" t="s">
        <v>23</v>
      </c>
      <c r="G563" s="5">
        <v>0</v>
      </c>
      <c r="H563" s="20">
        <v>0</v>
      </c>
      <c r="I563" s="2">
        <v>2</v>
      </c>
      <c r="J563" s="6">
        <v>1.736111111111111E-3</v>
      </c>
      <c r="K563" s="2"/>
      <c r="L563" s="2"/>
      <c r="M563" s="2" t="s">
        <v>48</v>
      </c>
      <c r="N563" s="2" t="s">
        <v>66</v>
      </c>
      <c r="O563" s="2" t="s">
        <v>67</v>
      </c>
    </row>
    <row r="564" spans="1:15" ht="21" customHeight="1" x14ac:dyDescent="0.3">
      <c r="A564" s="17"/>
      <c r="B564" s="12" t="s">
        <v>70</v>
      </c>
      <c r="C564" s="13">
        <v>27</v>
      </c>
      <c r="D564" s="14" t="s">
        <v>59</v>
      </c>
      <c r="E564" s="12" t="s">
        <v>38</v>
      </c>
      <c r="F564" s="12" t="s">
        <v>42</v>
      </c>
      <c r="G564" s="15">
        <v>0</v>
      </c>
      <c r="H564" s="21">
        <v>0</v>
      </c>
      <c r="I564" s="12">
        <v>3</v>
      </c>
      <c r="J564" s="16">
        <v>1.736111111111111E-3</v>
      </c>
      <c r="K564" s="12"/>
      <c r="L564" s="12"/>
      <c r="M564" s="12" t="s">
        <v>30</v>
      </c>
      <c r="N564" s="12" t="s">
        <v>78</v>
      </c>
      <c r="O564" s="12" t="s">
        <v>41</v>
      </c>
    </row>
    <row r="565" spans="1:15" ht="21" customHeight="1" x14ac:dyDescent="0.3">
      <c r="A565" s="17"/>
      <c r="B565" s="2" t="s">
        <v>14</v>
      </c>
      <c r="C565" s="3">
        <v>11</v>
      </c>
      <c r="D565" s="4" t="s">
        <v>57</v>
      </c>
      <c r="E565" s="2" t="s">
        <v>16</v>
      </c>
      <c r="F565" s="2" t="s">
        <v>42</v>
      </c>
      <c r="G565" s="5">
        <v>4</v>
      </c>
      <c r="H565" s="20">
        <v>20000000</v>
      </c>
      <c r="I565" s="2">
        <v>2</v>
      </c>
      <c r="J565" s="6">
        <v>1.9675925925925928E-3</v>
      </c>
      <c r="K565" s="2" t="s">
        <v>18</v>
      </c>
      <c r="L565" s="2" t="s">
        <v>19</v>
      </c>
      <c r="M565" s="2" t="s">
        <v>43</v>
      </c>
      <c r="N565" s="2" t="s">
        <v>78</v>
      </c>
      <c r="O565" s="2" t="s">
        <v>63</v>
      </c>
    </row>
    <row r="566" spans="1:15" ht="21" customHeight="1" x14ac:dyDescent="0.3">
      <c r="A566" s="17"/>
      <c r="B566" s="12" t="s">
        <v>14</v>
      </c>
      <c r="C566" s="13">
        <v>12</v>
      </c>
      <c r="D566" s="14" t="s">
        <v>27</v>
      </c>
      <c r="E566" s="12" t="s">
        <v>32</v>
      </c>
      <c r="F566" s="12" t="s">
        <v>45</v>
      </c>
      <c r="G566" s="15">
        <v>2</v>
      </c>
      <c r="H566" s="21">
        <v>38000000</v>
      </c>
      <c r="I566" s="12">
        <v>1</v>
      </c>
      <c r="J566" s="16">
        <v>1.9675925925925928E-3</v>
      </c>
      <c r="K566" s="12" t="s">
        <v>46</v>
      </c>
      <c r="L566" s="12" t="s">
        <v>56</v>
      </c>
      <c r="M566" s="12" t="s">
        <v>30</v>
      </c>
      <c r="N566" s="12" t="s">
        <v>76</v>
      </c>
      <c r="O566" s="12" t="s">
        <v>71</v>
      </c>
    </row>
    <row r="567" spans="1:15" ht="21" customHeight="1" x14ac:dyDescent="0.3">
      <c r="A567" s="17"/>
      <c r="B567" s="2" t="s">
        <v>14</v>
      </c>
      <c r="C567" s="3">
        <v>30</v>
      </c>
      <c r="D567" s="4" t="s">
        <v>27</v>
      </c>
      <c r="E567" s="2" t="s">
        <v>32</v>
      </c>
      <c r="F567" s="2" t="s">
        <v>23</v>
      </c>
      <c r="G567" s="5">
        <v>5</v>
      </c>
      <c r="H567" s="20">
        <v>25000000</v>
      </c>
      <c r="I567" s="2">
        <v>2</v>
      </c>
      <c r="J567" s="6">
        <v>1.9675925925925928E-3</v>
      </c>
      <c r="K567" s="2" t="s">
        <v>18</v>
      </c>
      <c r="L567" s="2" t="s">
        <v>29</v>
      </c>
      <c r="M567" s="2" t="s">
        <v>30</v>
      </c>
      <c r="N567" s="2" t="s">
        <v>78</v>
      </c>
      <c r="O567" s="2" t="s">
        <v>66</v>
      </c>
    </row>
    <row r="568" spans="1:15" ht="21" customHeight="1" x14ac:dyDescent="0.3">
      <c r="A568" s="17"/>
      <c r="B568" s="12" t="s">
        <v>14</v>
      </c>
      <c r="C568" s="13">
        <v>27</v>
      </c>
      <c r="D568" s="14" t="s">
        <v>37</v>
      </c>
      <c r="E568" s="12" t="s">
        <v>32</v>
      </c>
      <c r="F568" s="12" t="s">
        <v>42</v>
      </c>
      <c r="G568" s="15">
        <v>1</v>
      </c>
      <c r="H568" s="21">
        <v>19000000</v>
      </c>
      <c r="I568" s="12">
        <v>1</v>
      </c>
      <c r="J568" s="16">
        <v>1.9675925925925928E-3</v>
      </c>
      <c r="K568" s="12" t="s">
        <v>46</v>
      </c>
      <c r="L568" s="12" t="s">
        <v>39</v>
      </c>
      <c r="M568" s="12" t="s">
        <v>33</v>
      </c>
      <c r="N568" s="12" t="s">
        <v>78</v>
      </c>
      <c r="O568" s="12" t="s">
        <v>41</v>
      </c>
    </row>
    <row r="569" spans="1:15" ht="21" customHeight="1" x14ac:dyDescent="0.3">
      <c r="A569" s="17"/>
      <c r="B569" s="2" t="s">
        <v>14</v>
      </c>
      <c r="C569" s="3">
        <v>31</v>
      </c>
      <c r="D569" s="4" t="s">
        <v>37</v>
      </c>
      <c r="E569" s="2" t="s">
        <v>28</v>
      </c>
      <c r="F569" s="2" t="s">
        <v>23</v>
      </c>
      <c r="G569" s="5">
        <v>2</v>
      </c>
      <c r="H569" s="20">
        <v>12000000</v>
      </c>
      <c r="I569" s="2">
        <v>2</v>
      </c>
      <c r="J569" s="6">
        <v>1.9675925925925928E-3</v>
      </c>
      <c r="K569" s="2" t="s">
        <v>18</v>
      </c>
      <c r="L569" s="2" t="s">
        <v>56</v>
      </c>
      <c r="M569" s="2" t="s">
        <v>33</v>
      </c>
      <c r="N569" s="2" t="s">
        <v>77</v>
      </c>
      <c r="O569" s="2" t="s">
        <v>34</v>
      </c>
    </row>
    <row r="570" spans="1:15" ht="21" customHeight="1" x14ac:dyDescent="0.3">
      <c r="A570" s="17"/>
      <c r="B570" s="12" t="s">
        <v>14</v>
      </c>
      <c r="C570" s="13">
        <v>25</v>
      </c>
      <c r="D570" s="14" t="s">
        <v>37</v>
      </c>
      <c r="E570" s="12" t="s">
        <v>16</v>
      </c>
      <c r="F570" s="12" t="s">
        <v>42</v>
      </c>
      <c r="G570" s="15">
        <v>3</v>
      </c>
      <c r="H570" s="21">
        <v>15000000</v>
      </c>
      <c r="I570" s="12">
        <v>2</v>
      </c>
      <c r="J570" s="16">
        <v>1.9675925925925928E-3</v>
      </c>
      <c r="K570" s="12" t="s">
        <v>18</v>
      </c>
      <c r="L570" s="12" t="s">
        <v>29</v>
      </c>
      <c r="M570" s="12" t="s">
        <v>20</v>
      </c>
      <c r="N570" s="12" t="s">
        <v>76</v>
      </c>
      <c r="O570" s="12" t="s">
        <v>52</v>
      </c>
    </row>
    <row r="571" spans="1:15" ht="21" customHeight="1" x14ac:dyDescent="0.3">
      <c r="A571" s="17"/>
      <c r="B571" s="2" t="s">
        <v>14</v>
      </c>
      <c r="C571" s="3">
        <v>27</v>
      </c>
      <c r="D571" s="4" t="s">
        <v>37</v>
      </c>
      <c r="E571" s="2" t="s">
        <v>38</v>
      </c>
      <c r="F571" s="2" t="s">
        <v>17</v>
      </c>
      <c r="G571" s="5">
        <v>2</v>
      </c>
      <c r="H571" s="20">
        <v>12000000</v>
      </c>
      <c r="I571" s="2">
        <v>2</v>
      </c>
      <c r="J571" s="6">
        <v>1.9675925925925928E-3</v>
      </c>
      <c r="K571" s="2" t="s">
        <v>18</v>
      </c>
      <c r="L571" s="2" t="s">
        <v>24</v>
      </c>
      <c r="M571" s="2" t="s">
        <v>51</v>
      </c>
      <c r="N571" s="2" t="s">
        <v>76</v>
      </c>
      <c r="O571" s="2" t="s">
        <v>31</v>
      </c>
    </row>
    <row r="572" spans="1:15" ht="21" customHeight="1" x14ac:dyDescent="0.3">
      <c r="A572" s="17"/>
      <c r="B572" s="12" t="s">
        <v>14</v>
      </c>
      <c r="C572" s="13">
        <v>29</v>
      </c>
      <c r="D572" s="14" t="s">
        <v>44</v>
      </c>
      <c r="E572" s="12" t="s">
        <v>38</v>
      </c>
      <c r="F572" s="12" t="s">
        <v>68</v>
      </c>
      <c r="G572" s="15">
        <v>4</v>
      </c>
      <c r="H572" s="21">
        <v>11000000</v>
      </c>
      <c r="I572" s="12">
        <v>3</v>
      </c>
      <c r="J572" s="16">
        <v>1.9675925925925928E-3</v>
      </c>
      <c r="K572" s="12" t="s">
        <v>61</v>
      </c>
      <c r="L572" s="12" t="s">
        <v>56</v>
      </c>
      <c r="M572" s="12" t="s">
        <v>51</v>
      </c>
      <c r="N572" s="12" t="s">
        <v>77</v>
      </c>
      <c r="O572" s="12" t="s">
        <v>54</v>
      </c>
    </row>
    <row r="573" spans="1:15" ht="21" customHeight="1" x14ac:dyDescent="0.3">
      <c r="A573" s="17"/>
      <c r="B573" s="2" t="s">
        <v>14</v>
      </c>
      <c r="C573" s="3">
        <v>18</v>
      </c>
      <c r="D573" s="4" t="s">
        <v>44</v>
      </c>
      <c r="E573" s="2" t="s">
        <v>32</v>
      </c>
      <c r="F573" s="2" t="s">
        <v>17</v>
      </c>
      <c r="G573" s="5">
        <v>5</v>
      </c>
      <c r="H573" s="20">
        <v>21000000</v>
      </c>
      <c r="I573" s="2">
        <v>1</v>
      </c>
      <c r="J573" s="6">
        <v>1.9675925925925928E-3</v>
      </c>
      <c r="K573" s="2" t="s">
        <v>18</v>
      </c>
      <c r="L573" s="2" t="s">
        <v>19</v>
      </c>
      <c r="M573" s="2" t="s">
        <v>48</v>
      </c>
      <c r="N573" s="2" t="s">
        <v>66</v>
      </c>
      <c r="O573" s="2" t="s">
        <v>36</v>
      </c>
    </row>
    <row r="574" spans="1:15" ht="21" customHeight="1" x14ac:dyDescent="0.3">
      <c r="A574" s="17"/>
      <c r="B574" s="12" t="s">
        <v>14</v>
      </c>
      <c r="C574" s="13">
        <v>16</v>
      </c>
      <c r="D574" s="14" t="s">
        <v>69</v>
      </c>
      <c r="E574" s="12" t="s">
        <v>28</v>
      </c>
      <c r="F574" s="12" t="s">
        <v>42</v>
      </c>
      <c r="G574" s="15">
        <v>3</v>
      </c>
      <c r="H574" s="21">
        <v>15000000</v>
      </c>
      <c r="I574" s="12">
        <v>6</v>
      </c>
      <c r="J574" s="16">
        <v>1.9675925925925928E-3</v>
      </c>
      <c r="K574" s="12" t="s">
        <v>18</v>
      </c>
      <c r="L574" s="12" t="s">
        <v>29</v>
      </c>
      <c r="M574" s="12" t="s">
        <v>48</v>
      </c>
      <c r="N574" s="12" t="s">
        <v>76</v>
      </c>
      <c r="O574" s="12" t="s">
        <v>52</v>
      </c>
    </row>
    <row r="575" spans="1:15" ht="21" customHeight="1" x14ac:dyDescent="0.3">
      <c r="A575" s="17"/>
      <c r="B575" s="2" t="s">
        <v>14</v>
      </c>
      <c r="C575" s="3">
        <v>11</v>
      </c>
      <c r="D575" s="4" t="s">
        <v>57</v>
      </c>
      <c r="E575" s="2" t="s">
        <v>16</v>
      </c>
      <c r="F575" s="2" t="s">
        <v>42</v>
      </c>
      <c r="G575" s="5">
        <v>4</v>
      </c>
      <c r="H575" s="20">
        <v>20000000</v>
      </c>
      <c r="I575" s="2">
        <v>2</v>
      </c>
      <c r="J575" s="6">
        <v>1.9675925925925928E-3</v>
      </c>
      <c r="K575" s="2" t="s">
        <v>18</v>
      </c>
      <c r="L575" s="2" t="s">
        <v>19</v>
      </c>
      <c r="M575" s="2" t="s">
        <v>43</v>
      </c>
      <c r="N575" s="2" t="s">
        <v>78</v>
      </c>
      <c r="O575" s="2" t="s">
        <v>63</v>
      </c>
    </row>
    <row r="576" spans="1:15" ht="21" customHeight="1" x14ac:dyDescent="0.3">
      <c r="A576" s="17"/>
      <c r="B576" s="12" t="s">
        <v>70</v>
      </c>
      <c r="C576" s="13">
        <v>24</v>
      </c>
      <c r="D576" s="14" t="s">
        <v>27</v>
      </c>
      <c r="E576" s="12" t="s">
        <v>32</v>
      </c>
      <c r="F576" s="12" t="s">
        <v>42</v>
      </c>
      <c r="G576" s="15">
        <v>0</v>
      </c>
      <c r="H576" s="21">
        <v>0</v>
      </c>
      <c r="I576" s="12">
        <v>2</v>
      </c>
      <c r="J576" s="16">
        <v>1.9675925925925928E-3</v>
      </c>
      <c r="K576" s="12"/>
      <c r="L576" s="12"/>
      <c r="M576" s="12" t="s">
        <v>51</v>
      </c>
      <c r="N576" s="12" t="s">
        <v>66</v>
      </c>
      <c r="O576" s="12" t="s">
        <v>36</v>
      </c>
    </row>
    <row r="577" spans="1:15" ht="21" customHeight="1" x14ac:dyDescent="0.3">
      <c r="A577" s="17"/>
      <c r="B577" s="2" t="s">
        <v>70</v>
      </c>
      <c r="C577" s="3">
        <v>28</v>
      </c>
      <c r="D577" s="4" t="s">
        <v>44</v>
      </c>
      <c r="E577" s="2" t="s">
        <v>16</v>
      </c>
      <c r="F577" s="2" t="s">
        <v>42</v>
      </c>
      <c r="G577" s="5">
        <v>0</v>
      </c>
      <c r="H577" s="20">
        <v>0</v>
      </c>
      <c r="I577" s="2">
        <v>2</v>
      </c>
      <c r="J577" s="6">
        <v>1.9675925925925928E-3</v>
      </c>
      <c r="K577" s="2"/>
      <c r="L577" s="2"/>
      <c r="M577" s="2" t="s">
        <v>33</v>
      </c>
      <c r="N577" s="2" t="s">
        <v>76</v>
      </c>
      <c r="O577" s="2" t="s">
        <v>31</v>
      </c>
    </row>
    <row r="578" spans="1:15" ht="21" customHeight="1" x14ac:dyDescent="0.3">
      <c r="A578" s="17"/>
      <c r="B578" s="12" t="s">
        <v>70</v>
      </c>
      <c r="C578" s="13">
        <v>11</v>
      </c>
      <c r="D578" s="14" t="s">
        <v>44</v>
      </c>
      <c r="E578" s="12" t="s">
        <v>49</v>
      </c>
      <c r="F578" s="12" t="s">
        <v>23</v>
      </c>
      <c r="G578" s="15">
        <v>0</v>
      </c>
      <c r="H578" s="21">
        <v>0</v>
      </c>
      <c r="I578" s="12">
        <v>3</v>
      </c>
      <c r="J578" s="16">
        <v>1.9675925925925928E-3</v>
      </c>
      <c r="K578" s="12"/>
      <c r="L578" s="12"/>
      <c r="M578" s="12" t="s">
        <v>40</v>
      </c>
      <c r="N578" s="12" t="s">
        <v>77</v>
      </c>
      <c r="O578" s="12" t="s">
        <v>65</v>
      </c>
    </row>
    <row r="579" spans="1:15" ht="21" customHeight="1" x14ac:dyDescent="0.3">
      <c r="A579" s="17"/>
      <c r="B579" s="2" t="s">
        <v>14</v>
      </c>
      <c r="C579" s="3">
        <v>12</v>
      </c>
      <c r="D579" s="4" t="s">
        <v>55</v>
      </c>
      <c r="E579" s="2" t="s">
        <v>16</v>
      </c>
      <c r="F579" s="2" t="s">
        <v>23</v>
      </c>
      <c r="G579" s="5">
        <v>2</v>
      </c>
      <c r="H579" s="20">
        <v>12000000</v>
      </c>
      <c r="I579" s="2">
        <v>3</v>
      </c>
      <c r="J579" s="6">
        <v>2.0370370370370373E-3</v>
      </c>
      <c r="K579" s="2" t="s">
        <v>18</v>
      </c>
      <c r="L579" s="2" t="s">
        <v>39</v>
      </c>
      <c r="M579" s="2" t="s">
        <v>33</v>
      </c>
      <c r="N579" s="2" t="s">
        <v>76</v>
      </c>
      <c r="O579" s="2" t="s">
        <v>71</v>
      </c>
    </row>
    <row r="580" spans="1:15" ht="21" customHeight="1" x14ac:dyDescent="0.3">
      <c r="A580" s="17"/>
      <c r="B580" s="12" t="s">
        <v>14</v>
      </c>
      <c r="C580" s="13">
        <v>17</v>
      </c>
      <c r="D580" s="14" t="s">
        <v>60</v>
      </c>
      <c r="E580" s="12" t="s">
        <v>16</v>
      </c>
      <c r="F580" s="12" t="s">
        <v>42</v>
      </c>
      <c r="G580" s="15">
        <v>4</v>
      </c>
      <c r="H580" s="21">
        <v>20000000</v>
      </c>
      <c r="I580" s="12">
        <v>1</v>
      </c>
      <c r="J580" s="16">
        <v>2.0370370370370373E-3</v>
      </c>
      <c r="K580" s="12" t="s">
        <v>61</v>
      </c>
      <c r="L580" s="12" t="s">
        <v>24</v>
      </c>
      <c r="M580" s="12" t="s">
        <v>48</v>
      </c>
      <c r="N580" s="12" t="s">
        <v>78</v>
      </c>
      <c r="O580" s="12" t="s">
        <v>66</v>
      </c>
    </row>
    <row r="581" spans="1:15" ht="21" customHeight="1" x14ac:dyDescent="0.3">
      <c r="A581" s="17"/>
      <c r="B581" s="2" t="s">
        <v>14</v>
      </c>
      <c r="C581" s="3">
        <v>27</v>
      </c>
      <c r="D581" s="4" t="s">
        <v>27</v>
      </c>
      <c r="E581" s="2" t="s">
        <v>49</v>
      </c>
      <c r="F581" s="2" t="s">
        <v>23</v>
      </c>
      <c r="G581" s="5">
        <v>5</v>
      </c>
      <c r="H581" s="20">
        <v>25000000</v>
      </c>
      <c r="I581" s="2">
        <v>1</v>
      </c>
      <c r="J581" s="6">
        <v>2.0370370370370373E-3</v>
      </c>
      <c r="K581" s="2" t="s">
        <v>18</v>
      </c>
      <c r="L581" s="2" t="s">
        <v>56</v>
      </c>
      <c r="M581" s="2" t="s">
        <v>48</v>
      </c>
      <c r="N581" s="2" t="s">
        <v>78</v>
      </c>
      <c r="O581" s="2" t="s">
        <v>62</v>
      </c>
    </row>
    <row r="582" spans="1:15" ht="21" customHeight="1" x14ac:dyDescent="0.3">
      <c r="A582" s="17"/>
      <c r="B582" s="12" t="s">
        <v>14</v>
      </c>
      <c r="C582" s="13">
        <v>15</v>
      </c>
      <c r="D582" s="14" t="s">
        <v>27</v>
      </c>
      <c r="E582" s="12" t="s">
        <v>73</v>
      </c>
      <c r="F582" s="12" t="s">
        <v>17</v>
      </c>
      <c r="G582" s="15">
        <v>2</v>
      </c>
      <c r="H582" s="21">
        <v>10000000</v>
      </c>
      <c r="I582" s="12">
        <v>2</v>
      </c>
      <c r="J582" s="16">
        <v>2.0370370370370373E-3</v>
      </c>
      <c r="K582" s="12" t="s">
        <v>18</v>
      </c>
      <c r="L582" s="12" t="s">
        <v>29</v>
      </c>
      <c r="M582" s="12" t="s">
        <v>51</v>
      </c>
      <c r="N582" s="12" t="s">
        <v>76</v>
      </c>
      <c r="O582" s="12" t="s">
        <v>26</v>
      </c>
    </row>
    <row r="583" spans="1:15" ht="21" customHeight="1" x14ac:dyDescent="0.3">
      <c r="A583" s="17"/>
      <c r="B583" s="2" t="s">
        <v>14</v>
      </c>
      <c r="C583" s="3">
        <v>30</v>
      </c>
      <c r="D583" s="4" t="s">
        <v>27</v>
      </c>
      <c r="E583" s="2" t="s">
        <v>73</v>
      </c>
      <c r="F583" s="2" t="s">
        <v>17</v>
      </c>
      <c r="G583" s="5">
        <v>3</v>
      </c>
      <c r="H583" s="20">
        <v>15000000</v>
      </c>
      <c r="I583" s="2">
        <v>4</v>
      </c>
      <c r="J583" s="6">
        <v>2.0370370370370373E-3</v>
      </c>
      <c r="K583" s="2" t="s">
        <v>18</v>
      </c>
      <c r="L583" s="2" t="s">
        <v>39</v>
      </c>
      <c r="M583" s="2" t="s">
        <v>51</v>
      </c>
      <c r="N583" s="2" t="s">
        <v>66</v>
      </c>
      <c r="O583" s="2" t="s">
        <v>67</v>
      </c>
    </row>
    <row r="584" spans="1:15" ht="21" customHeight="1" x14ac:dyDescent="0.3">
      <c r="A584" s="17"/>
      <c r="B584" s="12" t="s">
        <v>14</v>
      </c>
      <c r="C584" s="13">
        <v>8</v>
      </c>
      <c r="D584" s="14" t="s">
        <v>37</v>
      </c>
      <c r="E584" s="12" t="s">
        <v>28</v>
      </c>
      <c r="F584" s="12" t="s">
        <v>17</v>
      </c>
      <c r="G584" s="15">
        <v>1</v>
      </c>
      <c r="H584" s="21">
        <v>19000000</v>
      </c>
      <c r="I584" s="12">
        <v>2</v>
      </c>
      <c r="J584" s="16">
        <v>2.0370370370370373E-3</v>
      </c>
      <c r="K584" s="12" t="s">
        <v>46</v>
      </c>
      <c r="L584" s="12" t="s">
        <v>47</v>
      </c>
      <c r="M584" s="12" t="s">
        <v>43</v>
      </c>
      <c r="N584" s="12" t="s">
        <v>78</v>
      </c>
      <c r="O584" s="12" t="s">
        <v>53</v>
      </c>
    </row>
    <row r="585" spans="1:15" ht="21" customHeight="1" x14ac:dyDescent="0.3">
      <c r="A585" s="17"/>
      <c r="B585" s="2" t="s">
        <v>14</v>
      </c>
      <c r="C585" s="3">
        <v>6</v>
      </c>
      <c r="D585" s="4" t="s">
        <v>37</v>
      </c>
      <c r="E585" s="2" t="s">
        <v>16</v>
      </c>
      <c r="F585" s="2" t="s">
        <v>23</v>
      </c>
      <c r="G585" s="5">
        <v>1</v>
      </c>
      <c r="H585" s="20">
        <v>7000000</v>
      </c>
      <c r="I585" s="2">
        <v>2</v>
      </c>
      <c r="J585" s="6">
        <v>2.0370370370370373E-3</v>
      </c>
      <c r="K585" s="2" t="s">
        <v>18</v>
      </c>
      <c r="L585" s="2" t="s">
        <v>19</v>
      </c>
      <c r="M585" s="2" t="s">
        <v>30</v>
      </c>
      <c r="N585" s="2" t="s">
        <v>78</v>
      </c>
      <c r="O585" s="2" t="s">
        <v>63</v>
      </c>
    </row>
    <row r="586" spans="1:15" ht="21" customHeight="1" x14ac:dyDescent="0.3">
      <c r="A586" s="17"/>
      <c r="B586" s="12" t="s">
        <v>14</v>
      </c>
      <c r="C586" s="13">
        <v>29</v>
      </c>
      <c r="D586" s="14" t="s">
        <v>37</v>
      </c>
      <c r="E586" s="12" t="s">
        <v>49</v>
      </c>
      <c r="F586" s="12" t="s">
        <v>23</v>
      </c>
      <c r="G586" s="15">
        <v>2</v>
      </c>
      <c r="H586" s="21">
        <v>12000000</v>
      </c>
      <c r="I586" s="12">
        <v>1</v>
      </c>
      <c r="J586" s="16">
        <v>2.0370370370370373E-3</v>
      </c>
      <c r="K586" s="12" t="s">
        <v>18</v>
      </c>
      <c r="L586" s="12" t="s">
        <v>35</v>
      </c>
      <c r="M586" s="12" t="s">
        <v>20</v>
      </c>
      <c r="N586" s="12" t="s">
        <v>77</v>
      </c>
      <c r="O586" s="12" t="s">
        <v>54</v>
      </c>
    </row>
    <row r="587" spans="1:15" ht="21" customHeight="1" x14ac:dyDescent="0.3">
      <c r="A587" s="17"/>
      <c r="B587" s="2" t="s">
        <v>14</v>
      </c>
      <c r="C587" s="3">
        <v>3</v>
      </c>
      <c r="D587" s="4" t="s">
        <v>44</v>
      </c>
      <c r="E587" s="2" t="s">
        <v>16</v>
      </c>
      <c r="F587" s="2" t="s">
        <v>23</v>
      </c>
      <c r="G587" s="5">
        <v>5</v>
      </c>
      <c r="H587" s="20">
        <v>25000000</v>
      </c>
      <c r="I587" s="2">
        <v>2</v>
      </c>
      <c r="J587" s="6">
        <v>2.0370370370370373E-3</v>
      </c>
      <c r="K587" s="2" t="s">
        <v>18</v>
      </c>
      <c r="L587" s="2" t="s">
        <v>29</v>
      </c>
      <c r="M587" s="2" t="s">
        <v>20</v>
      </c>
      <c r="N587" s="2" t="s">
        <v>78</v>
      </c>
      <c r="O587" s="2" t="s">
        <v>53</v>
      </c>
    </row>
    <row r="588" spans="1:15" ht="21" customHeight="1" x14ac:dyDescent="0.3">
      <c r="A588" s="17"/>
      <c r="B588" s="12" t="s">
        <v>14</v>
      </c>
      <c r="C588" s="13">
        <v>30</v>
      </c>
      <c r="D588" s="14" t="s">
        <v>69</v>
      </c>
      <c r="E588" s="12" t="s">
        <v>32</v>
      </c>
      <c r="F588" s="12" t="s">
        <v>42</v>
      </c>
      <c r="G588" s="15">
        <v>2</v>
      </c>
      <c r="H588" s="21">
        <v>38000000</v>
      </c>
      <c r="I588" s="12">
        <v>2</v>
      </c>
      <c r="J588" s="16">
        <v>2.0370370370370373E-3</v>
      </c>
      <c r="K588" s="12" t="s">
        <v>46</v>
      </c>
      <c r="L588" s="12" t="s">
        <v>64</v>
      </c>
      <c r="M588" s="12" t="s">
        <v>30</v>
      </c>
      <c r="N588" s="12" t="s">
        <v>78</v>
      </c>
      <c r="O588" s="12" t="s">
        <v>63</v>
      </c>
    </row>
    <row r="589" spans="1:15" ht="21" customHeight="1" x14ac:dyDescent="0.3">
      <c r="A589" s="17"/>
      <c r="B589" s="2" t="s">
        <v>14</v>
      </c>
      <c r="C589" s="3">
        <v>21</v>
      </c>
      <c r="D589" s="4" t="s">
        <v>69</v>
      </c>
      <c r="E589" s="2" t="s">
        <v>38</v>
      </c>
      <c r="F589" s="2" t="s">
        <v>23</v>
      </c>
      <c r="G589" s="5">
        <v>3</v>
      </c>
      <c r="H589" s="20">
        <v>15000000</v>
      </c>
      <c r="I589" s="2">
        <v>3</v>
      </c>
      <c r="J589" s="6">
        <v>2.0370370370370373E-3</v>
      </c>
      <c r="K589" s="2" t="s">
        <v>18</v>
      </c>
      <c r="L589" s="2" t="s">
        <v>19</v>
      </c>
      <c r="M589" s="2" t="s">
        <v>33</v>
      </c>
      <c r="N589" s="2" t="s">
        <v>77</v>
      </c>
      <c r="O589" s="2" t="s">
        <v>65</v>
      </c>
    </row>
    <row r="590" spans="1:15" ht="21" customHeight="1" x14ac:dyDescent="0.3">
      <c r="A590" s="17"/>
      <c r="B590" s="12" t="s">
        <v>14</v>
      </c>
      <c r="C590" s="13">
        <v>12</v>
      </c>
      <c r="D590" s="14" t="s">
        <v>55</v>
      </c>
      <c r="E590" s="12" t="s">
        <v>16</v>
      </c>
      <c r="F590" s="12" t="s">
        <v>23</v>
      </c>
      <c r="G590" s="15">
        <v>2</v>
      </c>
      <c r="H590" s="21">
        <v>12000000</v>
      </c>
      <c r="I590" s="12">
        <v>3</v>
      </c>
      <c r="J590" s="16">
        <v>2.0370370370370373E-3</v>
      </c>
      <c r="K590" s="12" t="s">
        <v>18</v>
      </c>
      <c r="L590" s="12" t="s">
        <v>39</v>
      </c>
      <c r="M590" s="12" t="s">
        <v>33</v>
      </c>
      <c r="N590" s="12" t="s">
        <v>76</v>
      </c>
      <c r="O590" s="12" t="s">
        <v>71</v>
      </c>
    </row>
    <row r="591" spans="1:15" ht="21" customHeight="1" x14ac:dyDescent="0.3">
      <c r="A591" s="17"/>
      <c r="B591" s="2" t="s">
        <v>14</v>
      </c>
      <c r="C591" s="3">
        <v>17</v>
      </c>
      <c r="D591" s="4" t="s">
        <v>60</v>
      </c>
      <c r="E591" s="2" t="s">
        <v>16</v>
      </c>
      <c r="F591" s="2" t="s">
        <v>42</v>
      </c>
      <c r="G591" s="5">
        <v>4</v>
      </c>
      <c r="H591" s="20">
        <v>20000000</v>
      </c>
      <c r="I591" s="2">
        <v>1</v>
      </c>
      <c r="J591" s="6">
        <v>2.0370370370370373E-3</v>
      </c>
      <c r="K591" s="2" t="s">
        <v>61</v>
      </c>
      <c r="L591" s="2" t="s">
        <v>24</v>
      </c>
      <c r="M591" s="2" t="s">
        <v>48</v>
      </c>
      <c r="N591" s="2" t="s">
        <v>78</v>
      </c>
      <c r="O591" s="2" t="s">
        <v>66</v>
      </c>
    </row>
    <row r="592" spans="1:15" ht="21" customHeight="1" x14ac:dyDescent="0.3">
      <c r="A592" s="17"/>
      <c r="B592" s="12" t="s">
        <v>70</v>
      </c>
      <c r="C592" s="13">
        <v>11</v>
      </c>
      <c r="D592" s="14" t="s">
        <v>44</v>
      </c>
      <c r="E592" s="12" t="s">
        <v>38</v>
      </c>
      <c r="F592" s="12" t="s">
        <v>23</v>
      </c>
      <c r="G592" s="15">
        <v>0</v>
      </c>
      <c r="H592" s="21">
        <v>0</v>
      </c>
      <c r="I592" s="12">
        <v>2</v>
      </c>
      <c r="J592" s="16">
        <v>2.0370370370370373E-3</v>
      </c>
      <c r="K592" s="12"/>
      <c r="L592" s="12"/>
      <c r="M592" s="12" t="s">
        <v>25</v>
      </c>
      <c r="N592" s="12" t="s">
        <v>76</v>
      </c>
      <c r="O592" s="12" t="s">
        <v>31</v>
      </c>
    </row>
    <row r="593" spans="1:15" ht="21" customHeight="1" x14ac:dyDescent="0.3">
      <c r="A593" s="17"/>
      <c r="B593" s="2" t="s">
        <v>70</v>
      </c>
      <c r="C593" s="3">
        <v>1</v>
      </c>
      <c r="D593" s="4" t="s">
        <v>69</v>
      </c>
      <c r="E593" s="2" t="s">
        <v>16</v>
      </c>
      <c r="F593" s="2" t="s">
        <v>23</v>
      </c>
      <c r="G593" s="5">
        <v>0</v>
      </c>
      <c r="H593" s="20">
        <v>0</v>
      </c>
      <c r="I593" s="2">
        <v>2</v>
      </c>
      <c r="J593" s="6">
        <v>2.0370370370370373E-3</v>
      </c>
      <c r="K593" s="2"/>
      <c r="L593" s="2"/>
      <c r="M593" s="2" t="s">
        <v>43</v>
      </c>
      <c r="N593" s="2" t="s">
        <v>66</v>
      </c>
      <c r="O593" s="2" t="s">
        <v>67</v>
      </c>
    </row>
    <row r="594" spans="1:15" ht="21" customHeight="1" x14ac:dyDescent="0.3">
      <c r="A594" s="17"/>
      <c r="B594" s="12" t="s">
        <v>14</v>
      </c>
      <c r="C594" s="13">
        <v>15</v>
      </c>
      <c r="D594" s="14" t="s">
        <v>57</v>
      </c>
      <c r="E594" s="12" t="s">
        <v>16</v>
      </c>
      <c r="F594" s="12" t="s">
        <v>23</v>
      </c>
      <c r="G594" s="15">
        <v>2</v>
      </c>
      <c r="H594" s="21">
        <v>12000000</v>
      </c>
      <c r="I594" s="12">
        <v>2</v>
      </c>
      <c r="J594" s="16">
        <v>2.0833333333333333E-3</v>
      </c>
      <c r="K594" s="12" t="s">
        <v>18</v>
      </c>
      <c r="L594" s="12" t="s">
        <v>29</v>
      </c>
      <c r="M594" s="12" t="s">
        <v>51</v>
      </c>
      <c r="N594" s="12" t="s">
        <v>76</v>
      </c>
      <c r="O594" s="12" t="s">
        <v>26</v>
      </c>
    </row>
    <row r="595" spans="1:15" ht="21" customHeight="1" x14ac:dyDescent="0.3">
      <c r="A595" s="17"/>
      <c r="B595" s="2" t="s">
        <v>14</v>
      </c>
      <c r="C595" s="3">
        <v>8</v>
      </c>
      <c r="D595" s="4" t="s">
        <v>59</v>
      </c>
      <c r="E595" s="2" t="s">
        <v>16</v>
      </c>
      <c r="F595" s="2" t="s">
        <v>42</v>
      </c>
      <c r="G595" s="5">
        <v>3</v>
      </c>
      <c r="H595" s="20">
        <v>15000000</v>
      </c>
      <c r="I595" s="2">
        <v>3</v>
      </c>
      <c r="J595" s="6">
        <v>2.0833333333333333E-3</v>
      </c>
      <c r="K595" s="2" t="s">
        <v>18</v>
      </c>
      <c r="L595" s="2" t="s">
        <v>29</v>
      </c>
      <c r="M595" s="2" t="s">
        <v>40</v>
      </c>
      <c r="N595" s="2" t="s">
        <v>76</v>
      </c>
      <c r="O595" s="2" t="s">
        <v>26</v>
      </c>
    </row>
    <row r="596" spans="1:15" ht="21" customHeight="1" x14ac:dyDescent="0.3">
      <c r="A596" s="17"/>
      <c r="B596" s="12" t="s">
        <v>14</v>
      </c>
      <c r="C596" s="13">
        <v>16</v>
      </c>
      <c r="D596" s="14" t="s">
        <v>22</v>
      </c>
      <c r="E596" s="12" t="s">
        <v>28</v>
      </c>
      <c r="F596" s="12" t="s">
        <v>23</v>
      </c>
      <c r="G596" s="15">
        <v>4</v>
      </c>
      <c r="H596" s="21">
        <v>11000000</v>
      </c>
      <c r="I596" s="12">
        <v>3</v>
      </c>
      <c r="J596" s="16">
        <v>2.0833333333333333E-3</v>
      </c>
      <c r="K596" s="12" t="s">
        <v>61</v>
      </c>
      <c r="L596" s="12" t="s">
        <v>29</v>
      </c>
      <c r="M596" s="12" t="s">
        <v>33</v>
      </c>
      <c r="N596" s="12" t="s">
        <v>78</v>
      </c>
      <c r="O596" s="12" t="s">
        <v>53</v>
      </c>
    </row>
    <row r="597" spans="1:15" ht="21" customHeight="1" x14ac:dyDescent="0.3">
      <c r="A597" s="17"/>
      <c r="B597" s="2" t="s">
        <v>14</v>
      </c>
      <c r="C597" s="3">
        <v>8</v>
      </c>
      <c r="D597" s="4" t="s">
        <v>37</v>
      </c>
      <c r="E597" s="2" t="s">
        <v>16</v>
      </c>
      <c r="F597" s="2" t="s">
        <v>17</v>
      </c>
      <c r="G597" s="5">
        <v>5</v>
      </c>
      <c r="H597" s="20">
        <v>25000000</v>
      </c>
      <c r="I597" s="2">
        <v>2</v>
      </c>
      <c r="J597" s="6">
        <v>2.0833333333333333E-3</v>
      </c>
      <c r="K597" s="2" t="s">
        <v>18</v>
      </c>
      <c r="L597" s="2" t="s">
        <v>29</v>
      </c>
      <c r="M597" s="2" t="s">
        <v>33</v>
      </c>
      <c r="N597" s="2" t="s">
        <v>76</v>
      </c>
      <c r="O597" s="2" t="s">
        <v>52</v>
      </c>
    </row>
    <row r="598" spans="1:15" ht="21" customHeight="1" x14ac:dyDescent="0.3">
      <c r="A598" s="17"/>
      <c r="B598" s="12" t="s">
        <v>14</v>
      </c>
      <c r="C598" s="13">
        <v>21</v>
      </c>
      <c r="D598" s="14" t="s">
        <v>37</v>
      </c>
      <c r="E598" s="12" t="s">
        <v>73</v>
      </c>
      <c r="F598" s="12" t="s">
        <v>42</v>
      </c>
      <c r="G598" s="15">
        <v>2</v>
      </c>
      <c r="H598" s="21">
        <v>12000000</v>
      </c>
      <c r="I598" s="12">
        <v>4</v>
      </c>
      <c r="J598" s="16">
        <v>2.0833333333333333E-3</v>
      </c>
      <c r="K598" s="12" t="s">
        <v>18</v>
      </c>
      <c r="L598" s="12" t="s">
        <v>56</v>
      </c>
      <c r="M598" s="12" t="s">
        <v>43</v>
      </c>
      <c r="N598" s="12" t="s">
        <v>78</v>
      </c>
      <c r="O598" s="12" t="s">
        <v>41</v>
      </c>
    </row>
    <row r="599" spans="1:15" ht="21" customHeight="1" x14ac:dyDescent="0.3">
      <c r="A599" s="17"/>
      <c r="B599" s="2" t="s">
        <v>14</v>
      </c>
      <c r="C599" s="3">
        <v>20</v>
      </c>
      <c r="D599" s="4" t="s">
        <v>37</v>
      </c>
      <c r="E599" s="2" t="s">
        <v>49</v>
      </c>
      <c r="F599" s="2" t="s">
        <v>17</v>
      </c>
      <c r="G599" s="5">
        <v>3</v>
      </c>
      <c r="H599" s="20">
        <v>15000000</v>
      </c>
      <c r="I599" s="2">
        <v>6</v>
      </c>
      <c r="J599" s="6">
        <v>2.0833333333333333E-3</v>
      </c>
      <c r="K599" s="2" t="s">
        <v>18</v>
      </c>
      <c r="L599" s="2" t="s">
        <v>19</v>
      </c>
      <c r="M599" s="2" t="s">
        <v>48</v>
      </c>
      <c r="N599" s="2" t="s">
        <v>78</v>
      </c>
      <c r="O599" s="2" t="s">
        <v>66</v>
      </c>
    </row>
    <row r="600" spans="1:15" ht="21" customHeight="1" x14ac:dyDescent="0.3">
      <c r="A600" s="17"/>
      <c r="B600" s="12" t="s">
        <v>14</v>
      </c>
      <c r="C600" s="13">
        <v>4</v>
      </c>
      <c r="D600" s="14" t="s">
        <v>37</v>
      </c>
      <c r="E600" s="12" t="s">
        <v>16</v>
      </c>
      <c r="F600" s="12" t="s">
        <v>68</v>
      </c>
      <c r="G600" s="15">
        <v>4</v>
      </c>
      <c r="H600" s="21">
        <v>20000000</v>
      </c>
      <c r="I600" s="12">
        <v>3</v>
      </c>
      <c r="J600" s="16">
        <v>2.0833333333333333E-3</v>
      </c>
      <c r="K600" s="12" t="s">
        <v>18</v>
      </c>
      <c r="L600" s="12" t="s">
        <v>19</v>
      </c>
      <c r="M600" s="12" t="s">
        <v>51</v>
      </c>
      <c r="N600" s="12" t="s">
        <v>77</v>
      </c>
      <c r="O600" s="12" t="s">
        <v>65</v>
      </c>
    </row>
    <row r="601" spans="1:15" ht="21" customHeight="1" x14ac:dyDescent="0.3">
      <c r="A601" s="17"/>
      <c r="B601" s="2" t="s">
        <v>14</v>
      </c>
      <c r="C601" s="3">
        <v>22</v>
      </c>
      <c r="D601" s="4" t="s">
        <v>44</v>
      </c>
      <c r="E601" s="2" t="s">
        <v>38</v>
      </c>
      <c r="F601" s="2" t="s">
        <v>42</v>
      </c>
      <c r="G601" s="5">
        <v>3</v>
      </c>
      <c r="H601" s="20">
        <v>15000000</v>
      </c>
      <c r="I601" s="2">
        <v>6</v>
      </c>
      <c r="J601" s="6">
        <v>2.0833333333333333E-3</v>
      </c>
      <c r="K601" s="2" t="s">
        <v>18</v>
      </c>
      <c r="L601" s="2" t="s">
        <v>24</v>
      </c>
      <c r="M601" s="2" t="s">
        <v>43</v>
      </c>
      <c r="N601" s="2" t="s">
        <v>78</v>
      </c>
      <c r="O601" s="2" t="s">
        <v>66</v>
      </c>
    </row>
    <row r="602" spans="1:15" ht="21" customHeight="1" x14ac:dyDescent="0.3">
      <c r="A602" s="17"/>
      <c r="B602" s="12" t="s">
        <v>14</v>
      </c>
      <c r="C602" s="13">
        <v>31</v>
      </c>
      <c r="D602" s="14" t="s">
        <v>69</v>
      </c>
      <c r="E602" s="12" t="s">
        <v>32</v>
      </c>
      <c r="F602" s="12" t="s">
        <v>68</v>
      </c>
      <c r="G602" s="15">
        <v>2</v>
      </c>
      <c r="H602" s="21">
        <v>38000000</v>
      </c>
      <c r="I602" s="12">
        <v>4</v>
      </c>
      <c r="J602" s="16">
        <v>2.0833333333333333E-3</v>
      </c>
      <c r="K602" s="12" t="s">
        <v>46</v>
      </c>
      <c r="L602" s="12" t="s">
        <v>56</v>
      </c>
      <c r="M602" s="12" t="s">
        <v>30</v>
      </c>
      <c r="N602" s="12" t="s">
        <v>76</v>
      </c>
      <c r="O602" s="12" t="s">
        <v>71</v>
      </c>
    </row>
    <row r="603" spans="1:15" ht="21" customHeight="1" x14ac:dyDescent="0.3">
      <c r="A603" s="17"/>
      <c r="B603" s="2" t="s">
        <v>14</v>
      </c>
      <c r="C603" s="3">
        <v>15</v>
      </c>
      <c r="D603" s="4" t="s">
        <v>57</v>
      </c>
      <c r="E603" s="2" t="s">
        <v>16</v>
      </c>
      <c r="F603" s="2" t="s">
        <v>23</v>
      </c>
      <c r="G603" s="5">
        <v>2</v>
      </c>
      <c r="H603" s="20">
        <v>12000000</v>
      </c>
      <c r="I603" s="2">
        <v>2</v>
      </c>
      <c r="J603" s="6">
        <v>2.0833333333333333E-3</v>
      </c>
      <c r="K603" s="2" t="s">
        <v>18</v>
      </c>
      <c r="L603" s="2" t="s">
        <v>29</v>
      </c>
      <c r="M603" s="2" t="s">
        <v>51</v>
      </c>
      <c r="N603" s="2" t="s">
        <v>76</v>
      </c>
      <c r="O603" s="2" t="s">
        <v>26</v>
      </c>
    </row>
    <row r="604" spans="1:15" ht="21" customHeight="1" x14ac:dyDescent="0.3">
      <c r="A604" s="17"/>
      <c r="B604" s="12" t="s">
        <v>14</v>
      </c>
      <c r="C604" s="13">
        <v>8</v>
      </c>
      <c r="D604" s="14" t="s">
        <v>59</v>
      </c>
      <c r="E604" s="12" t="s">
        <v>16</v>
      </c>
      <c r="F604" s="12" t="s">
        <v>42</v>
      </c>
      <c r="G604" s="15">
        <v>3</v>
      </c>
      <c r="H604" s="21">
        <v>15000000</v>
      </c>
      <c r="I604" s="12">
        <v>3</v>
      </c>
      <c r="J604" s="16">
        <v>2.0833333333333333E-3</v>
      </c>
      <c r="K604" s="12" t="s">
        <v>18</v>
      </c>
      <c r="L604" s="12" t="s">
        <v>29</v>
      </c>
      <c r="M604" s="12" t="s">
        <v>40</v>
      </c>
      <c r="N604" s="12" t="s">
        <v>76</v>
      </c>
      <c r="O604" s="12" t="s">
        <v>26</v>
      </c>
    </row>
    <row r="605" spans="1:15" ht="21" customHeight="1" x14ac:dyDescent="0.3">
      <c r="A605" s="17"/>
      <c r="B605" s="2" t="s">
        <v>14</v>
      </c>
      <c r="C605" s="3">
        <v>16</v>
      </c>
      <c r="D605" s="4" t="s">
        <v>22</v>
      </c>
      <c r="E605" s="2" t="s">
        <v>28</v>
      </c>
      <c r="F605" s="2" t="s">
        <v>23</v>
      </c>
      <c r="G605" s="5">
        <v>4</v>
      </c>
      <c r="H605" s="20">
        <v>11000000</v>
      </c>
      <c r="I605" s="2">
        <v>3</v>
      </c>
      <c r="J605" s="6">
        <v>2.0833333333333333E-3</v>
      </c>
      <c r="K605" s="2" t="s">
        <v>61</v>
      </c>
      <c r="L605" s="2" t="s">
        <v>29</v>
      </c>
      <c r="M605" s="2" t="s">
        <v>33</v>
      </c>
      <c r="N605" s="2" t="s">
        <v>78</v>
      </c>
      <c r="O605" s="2" t="s">
        <v>53</v>
      </c>
    </row>
    <row r="606" spans="1:15" ht="21" customHeight="1" x14ac:dyDescent="0.3">
      <c r="A606" s="17"/>
      <c r="B606" s="12" t="s">
        <v>70</v>
      </c>
      <c r="C606" s="13">
        <v>4</v>
      </c>
      <c r="D606" s="14" t="s">
        <v>59</v>
      </c>
      <c r="E606" s="12" t="s">
        <v>16</v>
      </c>
      <c r="F606" s="12" t="s">
        <v>17</v>
      </c>
      <c r="G606" s="15">
        <v>0</v>
      </c>
      <c r="H606" s="21">
        <v>0</v>
      </c>
      <c r="I606" s="12">
        <v>3</v>
      </c>
      <c r="J606" s="16">
        <v>2.0833333333333333E-3</v>
      </c>
      <c r="K606" s="12"/>
      <c r="L606" s="12"/>
      <c r="M606" s="12" t="s">
        <v>30</v>
      </c>
      <c r="N606" s="12" t="s">
        <v>76</v>
      </c>
      <c r="O606" s="12" t="s">
        <v>26</v>
      </c>
    </row>
    <row r="607" spans="1:15" ht="21" customHeight="1" x14ac:dyDescent="0.3">
      <c r="A607" s="17"/>
      <c r="B607" s="2" t="s">
        <v>70</v>
      </c>
      <c r="C607" s="3">
        <v>28</v>
      </c>
      <c r="D607" s="4" t="s">
        <v>27</v>
      </c>
      <c r="E607" s="2" t="s">
        <v>16</v>
      </c>
      <c r="F607" s="2" t="s">
        <v>17</v>
      </c>
      <c r="G607" s="5">
        <v>0</v>
      </c>
      <c r="H607" s="20">
        <v>0</v>
      </c>
      <c r="I607" s="2">
        <v>3</v>
      </c>
      <c r="J607" s="6">
        <v>2.0833333333333333E-3</v>
      </c>
      <c r="K607" s="2"/>
      <c r="L607" s="2"/>
      <c r="M607" s="2" t="s">
        <v>51</v>
      </c>
      <c r="N607" s="2" t="s">
        <v>66</v>
      </c>
      <c r="O607" s="2" t="s">
        <v>36</v>
      </c>
    </row>
    <row r="608" spans="1:15" ht="21" customHeight="1" x14ac:dyDescent="0.3">
      <c r="A608" s="17"/>
      <c r="B608" s="12" t="s">
        <v>70</v>
      </c>
      <c r="C608" s="13">
        <v>10</v>
      </c>
      <c r="D608" s="14" t="s">
        <v>37</v>
      </c>
      <c r="E608" s="12" t="s">
        <v>28</v>
      </c>
      <c r="F608" s="12" t="s">
        <v>42</v>
      </c>
      <c r="G608" s="15">
        <v>0</v>
      </c>
      <c r="H608" s="21">
        <v>0</v>
      </c>
      <c r="I608" s="12">
        <v>3</v>
      </c>
      <c r="J608" s="16">
        <v>2.0833333333333333E-3</v>
      </c>
      <c r="K608" s="12"/>
      <c r="L608" s="12"/>
      <c r="M608" s="12" t="s">
        <v>30</v>
      </c>
      <c r="N608" s="12" t="s">
        <v>78</v>
      </c>
      <c r="O608" s="12" t="s">
        <v>66</v>
      </c>
    </row>
    <row r="609" spans="1:15" ht="21" customHeight="1" x14ac:dyDescent="0.3">
      <c r="A609" s="17"/>
      <c r="B609" s="2" t="s">
        <v>70</v>
      </c>
      <c r="C609" s="3">
        <v>22</v>
      </c>
      <c r="D609" s="4" t="s">
        <v>44</v>
      </c>
      <c r="E609" s="2" t="s">
        <v>49</v>
      </c>
      <c r="F609" s="2" t="s">
        <v>23</v>
      </c>
      <c r="G609" s="5">
        <v>0</v>
      </c>
      <c r="H609" s="20">
        <v>0</v>
      </c>
      <c r="I609" s="2">
        <v>1</v>
      </c>
      <c r="J609" s="6">
        <v>2.0833333333333333E-3</v>
      </c>
      <c r="K609" s="2"/>
      <c r="L609" s="2"/>
      <c r="M609" s="2" t="s">
        <v>40</v>
      </c>
      <c r="N609" s="2" t="s">
        <v>77</v>
      </c>
      <c r="O609" s="2" t="s">
        <v>54</v>
      </c>
    </row>
    <row r="610" spans="1:15" ht="21" customHeight="1" x14ac:dyDescent="0.3">
      <c r="A610" s="17"/>
      <c r="B610" s="12" t="s">
        <v>70</v>
      </c>
      <c r="C610" s="13">
        <v>4</v>
      </c>
      <c r="D610" s="14" t="s">
        <v>59</v>
      </c>
      <c r="E610" s="12" t="s">
        <v>16</v>
      </c>
      <c r="F610" s="12" t="s">
        <v>17</v>
      </c>
      <c r="G610" s="15">
        <v>0</v>
      </c>
      <c r="H610" s="21">
        <v>0</v>
      </c>
      <c r="I610" s="12">
        <v>3</v>
      </c>
      <c r="J610" s="16">
        <v>2.0833333333333333E-3</v>
      </c>
      <c r="K610" s="12"/>
      <c r="L610" s="12"/>
      <c r="M610" s="12" t="s">
        <v>30</v>
      </c>
      <c r="N610" s="12" t="s">
        <v>76</v>
      </c>
      <c r="O610" s="12" t="s">
        <v>26</v>
      </c>
    </row>
    <row r="611" spans="1:15" ht="21" customHeight="1" x14ac:dyDescent="0.3">
      <c r="A611" s="17"/>
      <c r="B611" s="2" t="s">
        <v>14</v>
      </c>
      <c r="C611" s="3">
        <v>4</v>
      </c>
      <c r="D611" s="4" t="s">
        <v>59</v>
      </c>
      <c r="E611" s="2" t="s">
        <v>38</v>
      </c>
      <c r="F611" s="2" t="s">
        <v>42</v>
      </c>
      <c r="G611" s="5">
        <v>1</v>
      </c>
      <c r="H611" s="20">
        <v>19000000</v>
      </c>
      <c r="I611" s="2">
        <v>1</v>
      </c>
      <c r="J611" s="6">
        <v>2.1990740740740742E-3</v>
      </c>
      <c r="K611" s="2" t="s">
        <v>46</v>
      </c>
      <c r="L611" s="2" t="s">
        <v>56</v>
      </c>
      <c r="M611" s="2" t="s">
        <v>33</v>
      </c>
      <c r="N611" s="2" t="s">
        <v>77</v>
      </c>
      <c r="O611" s="2" t="s">
        <v>34</v>
      </c>
    </row>
    <row r="612" spans="1:15" ht="21" customHeight="1" x14ac:dyDescent="0.3">
      <c r="A612" s="17"/>
      <c r="B612" s="12" t="s">
        <v>14</v>
      </c>
      <c r="C612" s="13">
        <v>17</v>
      </c>
      <c r="D612" s="14" t="s">
        <v>22</v>
      </c>
      <c r="E612" s="12" t="s">
        <v>16</v>
      </c>
      <c r="F612" s="12" t="s">
        <v>42</v>
      </c>
      <c r="G612" s="15">
        <v>3</v>
      </c>
      <c r="H612" s="21">
        <v>15000000</v>
      </c>
      <c r="I612" s="12">
        <v>2</v>
      </c>
      <c r="J612" s="16">
        <v>2.1990740740740742E-3</v>
      </c>
      <c r="K612" s="12" t="s">
        <v>18</v>
      </c>
      <c r="L612" s="12" t="s">
        <v>39</v>
      </c>
      <c r="M612" s="12" t="s">
        <v>43</v>
      </c>
      <c r="N612" s="12" t="s">
        <v>76</v>
      </c>
      <c r="O612" s="12" t="s">
        <v>75</v>
      </c>
    </row>
    <row r="613" spans="1:15" ht="21" customHeight="1" x14ac:dyDescent="0.3">
      <c r="A613" s="17"/>
      <c r="B613" s="2" t="s">
        <v>14</v>
      </c>
      <c r="C613" s="3">
        <v>30</v>
      </c>
      <c r="D613" s="4" t="s">
        <v>27</v>
      </c>
      <c r="E613" s="2" t="s">
        <v>16</v>
      </c>
      <c r="F613" s="2" t="s">
        <v>17</v>
      </c>
      <c r="G613" s="5">
        <v>1</v>
      </c>
      <c r="H613" s="20">
        <v>7000000</v>
      </c>
      <c r="I613" s="2">
        <v>2</v>
      </c>
      <c r="J613" s="6">
        <v>2.1990740740740742E-3</v>
      </c>
      <c r="K613" s="2" t="s">
        <v>18</v>
      </c>
      <c r="L613" s="2" t="s">
        <v>19</v>
      </c>
      <c r="M613" s="2" t="s">
        <v>40</v>
      </c>
      <c r="N613" s="2" t="s">
        <v>66</v>
      </c>
      <c r="O613" s="2" t="s">
        <v>36</v>
      </c>
    </row>
    <row r="614" spans="1:15" ht="21" customHeight="1" x14ac:dyDescent="0.3">
      <c r="A614" s="17"/>
      <c r="B614" s="12" t="s">
        <v>14</v>
      </c>
      <c r="C614" s="13">
        <v>18</v>
      </c>
      <c r="D614" s="14" t="s">
        <v>27</v>
      </c>
      <c r="E614" s="12" t="s">
        <v>16</v>
      </c>
      <c r="F614" s="12" t="s">
        <v>42</v>
      </c>
      <c r="G614" s="15">
        <v>2</v>
      </c>
      <c r="H614" s="21">
        <v>12000000</v>
      </c>
      <c r="I614" s="12">
        <v>2</v>
      </c>
      <c r="J614" s="16">
        <v>2.1990740740740742E-3</v>
      </c>
      <c r="K614" s="12" t="s">
        <v>18</v>
      </c>
      <c r="L614" s="12" t="s">
        <v>39</v>
      </c>
      <c r="M614" s="12" t="s">
        <v>20</v>
      </c>
      <c r="N614" s="12" t="s">
        <v>76</v>
      </c>
      <c r="O614" s="12" t="s">
        <v>52</v>
      </c>
    </row>
    <row r="615" spans="1:15" ht="21" customHeight="1" x14ac:dyDescent="0.3">
      <c r="A615" s="17"/>
      <c r="B615" s="2" t="s">
        <v>14</v>
      </c>
      <c r="C615" s="3">
        <v>27</v>
      </c>
      <c r="D615" s="4" t="s">
        <v>27</v>
      </c>
      <c r="E615" s="2" t="s">
        <v>38</v>
      </c>
      <c r="F615" s="2" t="s">
        <v>42</v>
      </c>
      <c r="G615" s="5">
        <v>3</v>
      </c>
      <c r="H615" s="20">
        <v>11000000</v>
      </c>
      <c r="I615" s="2">
        <v>4</v>
      </c>
      <c r="J615" s="6">
        <v>2.1990740740740742E-3</v>
      </c>
      <c r="K615" s="2" t="s">
        <v>18</v>
      </c>
      <c r="L615" s="2" t="s">
        <v>56</v>
      </c>
      <c r="M615" s="2" t="s">
        <v>43</v>
      </c>
      <c r="N615" s="2" t="s">
        <v>78</v>
      </c>
      <c r="O615" s="2" t="s">
        <v>53</v>
      </c>
    </row>
    <row r="616" spans="1:15" ht="21" customHeight="1" x14ac:dyDescent="0.3">
      <c r="A616" s="17"/>
      <c r="B616" s="12" t="s">
        <v>14</v>
      </c>
      <c r="C616" s="13">
        <v>12</v>
      </c>
      <c r="D616" s="14" t="s">
        <v>37</v>
      </c>
      <c r="E616" s="12" t="s">
        <v>32</v>
      </c>
      <c r="F616" s="12" t="s">
        <v>17</v>
      </c>
      <c r="G616" s="15">
        <v>2</v>
      </c>
      <c r="H616" s="21">
        <v>38000000</v>
      </c>
      <c r="I616" s="12">
        <v>4</v>
      </c>
      <c r="J616" s="16">
        <v>2.1990740740740742E-3</v>
      </c>
      <c r="K616" s="12" t="s">
        <v>46</v>
      </c>
      <c r="L616" s="12" t="s">
        <v>29</v>
      </c>
      <c r="M616" s="12" t="s">
        <v>48</v>
      </c>
      <c r="N616" s="12" t="s">
        <v>76</v>
      </c>
      <c r="O616" s="12" t="s">
        <v>71</v>
      </c>
    </row>
    <row r="617" spans="1:15" ht="21" customHeight="1" x14ac:dyDescent="0.3">
      <c r="A617" s="17"/>
      <c r="B617" s="2" t="s">
        <v>14</v>
      </c>
      <c r="C617" s="3">
        <v>8</v>
      </c>
      <c r="D617" s="4" t="s">
        <v>37</v>
      </c>
      <c r="E617" s="2" t="s">
        <v>16</v>
      </c>
      <c r="F617" s="2" t="s">
        <v>23</v>
      </c>
      <c r="G617" s="5">
        <v>2</v>
      </c>
      <c r="H617" s="20">
        <v>12000000</v>
      </c>
      <c r="I617" s="2">
        <v>2</v>
      </c>
      <c r="J617" s="6">
        <v>2.1990740740740742E-3</v>
      </c>
      <c r="K617" s="2" t="s">
        <v>18</v>
      </c>
      <c r="L617" s="2" t="s">
        <v>56</v>
      </c>
      <c r="M617" s="2" t="s">
        <v>25</v>
      </c>
      <c r="N617" s="2" t="s">
        <v>78</v>
      </c>
      <c r="O617" s="2" t="s">
        <v>66</v>
      </c>
    </row>
    <row r="618" spans="1:15" ht="21" customHeight="1" x14ac:dyDescent="0.3">
      <c r="A618" s="17"/>
      <c r="B618" s="12" t="s">
        <v>14</v>
      </c>
      <c r="C618" s="13">
        <v>11</v>
      </c>
      <c r="D618" s="14" t="s">
        <v>44</v>
      </c>
      <c r="E618" s="12" t="s">
        <v>49</v>
      </c>
      <c r="F618" s="12" t="s">
        <v>42</v>
      </c>
      <c r="G618" s="15">
        <v>5</v>
      </c>
      <c r="H618" s="21">
        <v>20000000</v>
      </c>
      <c r="I618" s="12">
        <v>4</v>
      </c>
      <c r="J618" s="16">
        <v>2.1990740740740742E-3</v>
      </c>
      <c r="K618" s="12" t="s">
        <v>18</v>
      </c>
      <c r="L618" s="12" t="s">
        <v>64</v>
      </c>
      <c r="M618" s="12" t="s">
        <v>48</v>
      </c>
      <c r="N618" s="12" t="s">
        <v>77</v>
      </c>
      <c r="O618" s="12" t="s">
        <v>54</v>
      </c>
    </row>
    <row r="619" spans="1:15" ht="21" customHeight="1" x14ac:dyDescent="0.3">
      <c r="A619" s="17"/>
      <c r="B619" s="2" t="s">
        <v>14</v>
      </c>
      <c r="C619" s="3">
        <v>2</v>
      </c>
      <c r="D619" s="4" t="s">
        <v>69</v>
      </c>
      <c r="E619" s="2" t="s">
        <v>16</v>
      </c>
      <c r="F619" s="2" t="s">
        <v>17</v>
      </c>
      <c r="G619" s="5">
        <v>4</v>
      </c>
      <c r="H619" s="20">
        <v>15000000</v>
      </c>
      <c r="I619" s="2">
        <v>1</v>
      </c>
      <c r="J619" s="6">
        <v>2.1990740740740742E-3</v>
      </c>
      <c r="K619" s="2" t="s">
        <v>18</v>
      </c>
      <c r="L619" s="2" t="s">
        <v>19</v>
      </c>
      <c r="M619" s="2" t="s">
        <v>25</v>
      </c>
      <c r="N619" s="2" t="s">
        <v>76</v>
      </c>
      <c r="O619" s="2" t="s">
        <v>31</v>
      </c>
    </row>
    <row r="620" spans="1:15" ht="21" customHeight="1" x14ac:dyDescent="0.3">
      <c r="A620" s="17"/>
      <c r="B620" s="12" t="s">
        <v>14</v>
      </c>
      <c r="C620" s="13">
        <v>4</v>
      </c>
      <c r="D620" s="14" t="s">
        <v>59</v>
      </c>
      <c r="E620" s="12" t="s">
        <v>38</v>
      </c>
      <c r="F620" s="12" t="s">
        <v>42</v>
      </c>
      <c r="G620" s="15">
        <v>1</v>
      </c>
      <c r="H620" s="21">
        <v>19000000</v>
      </c>
      <c r="I620" s="12">
        <v>1</v>
      </c>
      <c r="J620" s="16">
        <v>2.1990740740740742E-3</v>
      </c>
      <c r="K620" s="12" t="s">
        <v>46</v>
      </c>
      <c r="L620" s="12" t="s">
        <v>56</v>
      </c>
      <c r="M620" s="12" t="s">
        <v>33</v>
      </c>
      <c r="N620" s="12" t="s">
        <v>77</v>
      </c>
      <c r="O620" s="12" t="s">
        <v>34</v>
      </c>
    </row>
    <row r="621" spans="1:15" ht="21" customHeight="1" x14ac:dyDescent="0.3">
      <c r="A621" s="17"/>
      <c r="B621" s="2" t="s">
        <v>14</v>
      </c>
      <c r="C621" s="3">
        <v>17</v>
      </c>
      <c r="D621" s="4" t="s">
        <v>22</v>
      </c>
      <c r="E621" s="2" t="s">
        <v>16</v>
      </c>
      <c r="F621" s="2" t="s">
        <v>42</v>
      </c>
      <c r="G621" s="5">
        <v>3</v>
      </c>
      <c r="H621" s="20">
        <v>15000000</v>
      </c>
      <c r="I621" s="2">
        <v>2</v>
      </c>
      <c r="J621" s="6">
        <v>2.1990740740740742E-3</v>
      </c>
      <c r="K621" s="2" t="s">
        <v>18</v>
      </c>
      <c r="L621" s="2" t="s">
        <v>39</v>
      </c>
      <c r="M621" s="2" t="s">
        <v>43</v>
      </c>
      <c r="N621" s="2" t="s">
        <v>76</v>
      </c>
      <c r="O621" s="2" t="s">
        <v>75</v>
      </c>
    </row>
    <row r="622" spans="1:15" ht="21" customHeight="1" x14ac:dyDescent="0.3">
      <c r="A622" s="17"/>
      <c r="B622" s="12" t="s">
        <v>70</v>
      </c>
      <c r="C622" s="13">
        <v>13</v>
      </c>
      <c r="D622" s="14" t="s">
        <v>15</v>
      </c>
      <c r="E622" s="12" t="s">
        <v>28</v>
      </c>
      <c r="F622" s="12" t="s">
        <v>42</v>
      </c>
      <c r="G622" s="15">
        <v>0</v>
      </c>
      <c r="H622" s="21">
        <v>0</v>
      </c>
      <c r="I622" s="12">
        <v>4</v>
      </c>
      <c r="J622" s="16">
        <v>2.1990740740740742E-3</v>
      </c>
      <c r="K622" s="12"/>
      <c r="L622" s="12"/>
      <c r="M622" s="12" t="s">
        <v>48</v>
      </c>
      <c r="N622" s="12" t="s">
        <v>78</v>
      </c>
      <c r="O622" s="12" t="s">
        <v>66</v>
      </c>
    </row>
    <row r="623" spans="1:15" ht="21" customHeight="1" x14ac:dyDescent="0.3">
      <c r="A623" s="17"/>
      <c r="B623" s="2" t="s">
        <v>70</v>
      </c>
      <c r="C623" s="3">
        <v>27</v>
      </c>
      <c r="D623" s="4" t="s">
        <v>37</v>
      </c>
      <c r="E623" s="2" t="s">
        <v>28</v>
      </c>
      <c r="F623" s="2" t="s">
        <v>42</v>
      </c>
      <c r="G623" s="5">
        <v>0</v>
      </c>
      <c r="H623" s="20">
        <v>0</v>
      </c>
      <c r="I623" s="2">
        <v>2</v>
      </c>
      <c r="J623" s="6">
        <v>2.1990740740740742E-3</v>
      </c>
      <c r="K623" s="2"/>
      <c r="L623" s="2"/>
      <c r="M623" s="2" t="s">
        <v>43</v>
      </c>
      <c r="N623" s="2" t="s">
        <v>78</v>
      </c>
      <c r="O623" s="2" t="s">
        <v>62</v>
      </c>
    </row>
    <row r="624" spans="1:15" ht="21" customHeight="1" x14ac:dyDescent="0.3">
      <c r="A624" s="17"/>
      <c r="B624" s="12" t="s">
        <v>70</v>
      </c>
      <c r="C624" s="13">
        <v>20</v>
      </c>
      <c r="D624" s="14" t="s">
        <v>37</v>
      </c>
      <c r="E624" s="12" t="s">
        <v>49</v>
      </c>
      <c r="F624" s="12" t="s">
        <v>42</v>
      </c>
      <c r="G624" s="15">
        <v>0</v>
      </c>
      <c r="H624" s="21">
        <v>0</v>
      </c>
      <c r="I624" s="12">
        <v>1</v>
      </c>
      <c r="J624" s="16">
        <v>2.1990740740740742E-3</v>
      </c>
      <c r="K624" s="12"/>
      <c r="L624" s="12"/>
      <c r="M624" s="12" t="s">
        <v>33</v>
      </c>
      <c r="N624" s="12" t="s">
        <v>66</v>
      </c>
      <c r="O624" s="12" t="s">
        <v>67</v>
      </c>
    </row>
    <row r="625" spans="1:15" ht="21" customHeight="1" x14ac:dyDescent="0.3">
      <c r="A625" s="17"/>
      <c r="B625" s="2" t="s">
        <v>70</v>
      </c>
      <c r="C625" s="3">
        <v>18</v>
      </c>
      <c r="D625" s="4" t="s">
        <v>44</v>
      </c>
      <c r="E625" s="2" t="s">
        <v>32</v>
      </c>
      <c r="F625" s="2" t="s">
        <v>42</v>
      </c>
      <c r="G625" s="5">
        <v>0</v>
      </c>
      <c r="H625" s="20">
        <v>0</v>
      </c>
      <c r="I625" s="2">
        <v>5</v>
      </c>
      <c r="J625" s="6">
        <v>2.1990740740740742E-3</v>
      </c>
      <c r="K625" s="2"/>
      <c r="L625" s="2"/>
      <c r="M625" s="2" t="s">
        <v>51</v>
      </c>
      <c r="N625" s="2" t="s">
        <v>78</v>
      </c>
      <c r="O625" s="2" t="s">
        <v>62</v>
      </c>
    </row>
    <row r="626" spans="1:15" ht="21" customHeight="1" x14ac:dyDescent="0.3">
      <c r="A626" s="17"/>
      <c r="B626" s="12" t="s">
        <v>70</v>
      </c>
      <c r="C626" s="13">
        <v>13</v>
      </c>
      <c r="D626" s="14" t="s">
        <v>15</v>
      </c>
      <c r="E626" s="12" t="s">
        <v>28</v>
      </c>
      <c r="F626" s="12" t="s">
        <v>42</v>
      </c>
      <c r="G626" s="15">
        <v>0</v>
      </c>
      <c r="H626" s="21">
        <v>0</v>
      </c>
      <c r="I626" s="12">
        <v>4</v>
      </c>
      <c r="J626" s="16">
        <v>2.1990740740740742E-3</v>
      </c>
      <c r="K626" s="12"/>
      <c r="L626" s="12"/>
      <c r="M626" s="12" t="s">
        <v>48</v>
      </c>
      <c r="N626" s="12" t="s">
        <v>78</v>
      </c>
      <c r="O626" s="12" t="s">
        <v>66</v>
      </c>
    </row>
    <row r="627" spans="1:15" ht="21" customHeight="1" x14ac:dyDescent="0.3">
      <c r="A627" s="17"/>
      <c r="B627" s="2" t="s">
        <v>14</v>
      </c>
      <c r="C627" s="3">
        <v>17</v>
      </c>
      <c r="D627" s="4" t="s">
        <v>55</v>
      </c>
      <c r="E627" s="2" t="s">
        <v>49</v>
      </c>
      <c r="F627" s="2" t="s">
        <v>68</v>
      </c>
      <c r="G627" s="5">
        <v>3</v>
      </c>
      <c r="H627" s="20">
        <v>15000000</v>
      </c>
      <c r="I627" s="2">
        <v>1</v>
      </c>
      <c r="J627" s="6">
        <v>2.2222222222222222E-3</v>
      </c>
      <c r="K627" s="2" t="s">
        <v>18</v>
      </c>
      <c r="L627" s="2" t="s">
        <v>24</v>
      </c>
      <c r="M627" s="2" t="s">
        <v>30</v>
      </c>
      <c r="N627" s="2" t="s">
        <v>66</v>
      </c>
      <c r="O627" s="2" t="s">
        <v>67</v>
      </c>
    </row>
    <row r="628" spans="1:15" ht="21" customHeight="1" x14ac:dyDescent="0.3">
      <c r="A628" s="17"/>
      <c r="B628" s="12" t="s">
        <v>14</v>
      </c>
      <c r="C628" s="13">
        <v>11</v>
      </c>
      <c r="D628" s="14" t="s">
        <v>57</v>
      </c>
      <c r="E628" s="12" t="s">
        <v>16</v>
      </c>
      <c r="F628" s="12" t="s">
        <v>42</v>
      </c>
      <c r="G628" s="15">
        <v>3</v>
      </c>
      <c r="H628" s="21">
        <v>15000000</v>
      </c>
      <c r="I628" s="12">
        <v>5</v>
      </c>
      <c r="J628" s="16">
        <v>2.2222222222222222E-3</v>
      </c>
      <c r="K628" s="12" t="s">
        <v>18</v>
      </c>
      <c r="L628" s="12" t="s">
        <v>19</v>
      </c>
      <c r="M628" s="12" t="s">
        <v>51</v>
      </c>
      <c r="N628" s="12" t="s">
        <v>66</v>
      </c>
      <c r="O628" s="12" t="s">
        <v>36</v>
      </c>
    </row>
    <row r="629" spans="1:15" ht="21" customHeight="1" x14ac:dyDescent="0.3">
      <c r="A629" s="17"/>
      <c r="B629" s="2" t="s">
        <v>14</v>
      </c>
      <c r="C629" s="3">
        <v>1</v>
      </c>
      <c r="D629" s="4" t="s">
        <v>59</v>
      </c>
      <c r="E629" s="2" t="s">
        <v>49</v>
      </c>
      <c r="F629" s="2" t="s">
        <v>42</v>
      </c>
      <c r="G629" s="5">
        <v>4</v>
      </c>
      <c r="H629" s="20">
        <v>20000000</v>
      </c>
      <c r="I629" s="2">
        <v>3</v>
      </c>
      <c r="J629" s="6">
        <v>2.2222222222222222E-3</v>
      </c>
      <c r="K629" s="2" t="s">
        <v>18</v>
      </c>
      <c r="L629" s="2" t="s">
        <v>56</v>
      </c>
      <c r="M629" s="2" t="s">
        <v>33</v>
      </c>
      <c r="N629" s="2" t="s">
        <v>76</v>
      </c>
      <c r="O629" s="2" t="s">
        <v>52</v>
      </c>
    </row>
    <row r="630" spans="1:15" ht="21" customHeight="1" x14ac:dyDescent="0.3">
      <c r="A630" s="17"/>
      <c r="B630" s="12" t="s">
        <v>14</v>
      </c>
      <c r="C630" s="13">
        <v>10</v>
      </c>
      <c r="D630" s="14" t="s">
        <v>72</v>
      </c>
      <c r="E630" s="12" t="s">
        <v>32</v>
      </c>
      <c r="F630" s="12" t="s">
        <v>42</v>
      </c>
      <c r="G630" s="15">
        <v>1</v>
      </c>
      <c r="H630" s="21">
        <v>7000000</v>
      </c>
      <c r="I630" s="12">
        <v>4</v>
      </c>
      <c r="J630" s="16">
        <v>2.2222222222222222E-3</v>
      </c>
      <c r="K630" s="12" t="s">
        <v>18</v>
      </c>
      <c r="L630" s="12" t="s">
        <v>19</v>
      </c>
      <c r="M630" s="12" t="s">
        <v>51</v>
      </c>
      <c r="N630" s="12" t="s">
        <v>78</v>
      </c>
      <c r="O630" s="12" t="s">
        <v>53</v>
      </c>
    </row>
    <row r="631" spans="1:15" ht="21" customHeight="1" x14ac:dyDescent="0.3">
      <c r="A631" s="17"/>
      <c r="B631" s="2" t="s">
        <v>14</v>
      </c>
      <c r="C631" s="3">
        <v>30</v>
      </c>
      <c r="D631" s="4" t="s">
        <v>27</v>
      </c>
      <c r="E631" s="2" t="s">
        <v>16</v>
      </c>
      <c r="F631" s="2" t="s">
        <v>42</v>
      </c>
      <c r="G631" s="5">
        <v>1</v>
      </c>
      <c r="H631" s="20">
        <v>19000000</v>
      </c>
      <c r="I631" s="2">
        <v>1</v>
      </c>
      <c r="J631" s="6">
        <v>2.2222222222222222E-3</v>
      </c>
      <c r="K631" s="2" t="s">
        <v>46</v>
      </c>
      <c r="L631" s="2" t="s">
        <v>29</v>
      </c>
      <c r="M631" s="2" t="s">
        <v>20</v>
      </c>
      <c r="N631" s="2" t="s">
        <v>76</v>
      </c>
      <c r="O631" s="2" t="s">
        <v>31</v>
      </c>
    </row>
    <row r="632" spans="1:15" ht="21" customHeight="1" x14ac:dyDescent="0.3">
      <c r="A632" s="17"/>
      <c r="B632" s="12" t="s">
        <v>14</v>
      </c>
      <c r="C632" s="13">
        <v>28</v>
      </c>
      <c r="D632" s="14" t="s">
        <v>27</v>
      </c>
      <c r="E632" s="12" t="s">
        <v>49</v>
      </c>
      <c r="F632" s="12" t="s">
        <v>45</v>
      </c>
      <c r="G632" s="15">
        <v>4</v>
      </c>
      <c r="H632" s="21">
        <v>11000000</v>
      </c>
      <c r="I632" s="12">
        <v>2</v>
      </c>
      <c r="J632" s="16">
        <v>2.2222222222222222E-3</v>
      </c>
      <c r="K632" s="12" t="s">
        <v>61</v>
      </c>
      <c r="L632" s="12" t="s">
        <v>56</v>
      </c>
      <c r="M632" s="12" t="s">
        <v>20</v>
      </c>
      <c r="N632" s="12" t="s">
        <v>76</v>
      </c>
      <c r="O632" s="12" t="s">
        <v>26</v>
      </c>
    </row>
    <row r="633" spans="1:15" ht="21" customHeight="1" x14ac:dyDescent="0.3">
      <c r="A633" s="17"/>
      <c r="B633" s="2" t="s">
        <v>14</v>
      </c>
      <c r="C633" s="3">
        <v>22</v>
      </c>
      <c r="D633" s="4" t="s">
        <v>27</v>
      </c>
      <c r="E633" s="2" t="s">
        <v>16</v>
      </c>
      <c r="F633" s="2" t="s">
        <v>42</v>
      </c>
      <c r="G633" s="5">
        <v>5</v>
      </c>
      <c r="H633" s="20">
        <v>25000000</v>
      </c>
      <c r="I633" s="2">
        <v>3</v>
      </c>
      <c r="J633" s="6">
        <v>2.2222222222222222E-3</v>
      </c>
      <c r="K633" s="2" t="s">
        <v>18</v>
      </c>
      <c r="L633" s="2" t="s">
        <v>19</v>
      </c>
      <c r="M633" s="2" t="s">
        <v>43</v>
      </c>
      <c r="N633" s="2" t="s">
        <v>77</v>
      </c>
      <c r="O633" s="2" t="s">
        <v>65</v>
      </c>
    </row>
    <row r="634" spans="1:15" ht="21" customHeight="1" x14ac:dyDescent="0.3">
      <c r="A634" s="17"/>
      <c r="B634" s="12" t="s">
        <v>14</v>
      </c>
      <c r="C634" s="13">
        <v>11</v>
      </c>
      <c r="D634" s="14" t="s">
        <v>27</v>
      </c>
      <c r="E634" s="12" t="s">
        <v>16</v>
      </c>
      <c r="F634" s="12" t="s">
        <v>17</v>
      </c>
      <c r="G634" s="15">
        <v>2</v>
      </c>
      <c r="H634" s="21">
        <v>12000000</v>
      </c>
      <c r="I634" s="12">
        <v>3</v>
      </c>
      <c r="J634" s="16">
        <v>2.2222222222222222E-3</v>
      </c>
      <c r="K634" s="12" t="s">
        <v>18</v>
      </c>
      <c r="L634" s="12" t="s">
        <v>19</v>
      </c>
      <c r="M634" s="12" t="s">
        <v>51</v>
      </c>
      <c r="N634" s="12" t="s">
        <v>76</v>
      </c>
      <c r="O634" s="12" t="s">
        <v>71</v>
      </c>
    </row>
    <row r="635" spans="1:15" ht="21" customHeight="1" x14ac:dyDescent="0.3">
      <c r="A635" s="17"/>
      <c r="B635" s="2" t="s">
        <v>14</v>
      </c>
      <c r="C635" s="3">
        <v>30</v>
      </c>
      <c r="D635" s="4" t="s">
        <v>27</v>
      </c>
      <c r="E635" s="2" t="s">
        <v>38</v>
      </c>
      <c r="F635" s="2" t="s">
        <v>23</v>
      </c>
      <c r="G635" s="5">
        <v>3</v>
      </c>
      <c r="H635" s="20">
        <v>15000000</v>
      </c>
      <c r="I635" s="2">
        <v>5</v>
      </c>
      <c r="J635" s="6">
        <v>2.2222222222222222E-3</v>
      </c>
      <c r="K635" s="2" t="s">
        <v>18</v>
      </c>
      <c r="L635" s="2" t="s">
        <v>29</v>
      </c>
      <c r="M635" s="2" t="s">
        <v>51</v>
      </c>
      <c r="N635" s="2" t="s">
        <v>76</v>
      </c>
      <c r="O635" s="2" t="s">
        <v>52</v>
      </c>
    </row>
    <row r="636" spans="1:15" ht="21" customHeight="1" x14ac:dyDescent="0.3">
      <c r="A636" s="17"/>
      <c r="B636" s="12" t="s">
        <v>14</v>
      </c>
      <c r="C636" s="13">
        <v>2</v>
      </c>
      <c r="D636" s="14" t="s">
        <v>37</v>
      </c>
      <c r="E636" s="12" t="s">
        <v>49</v>
      </c>
      <c r="F636" s="12" t="s">
        <v>42</v>
      </c>
      <c r="G636" s="15">
        <v>5</v>
      </c>
      <c r="H636" s="21">
        <v>21000000</v>
      </c>
      <c r="I636" s="12">
        <v>1</v>
      </c>
      <c r="J636" s="16">
        <v>2.2222222222222222E-3</v>
      </c>
      <c r="K636" s="12" t="s">
        <v>18</v>
      </c>
      <c r="L636" s="12" t="s">
        <v>47</v>
      </c>
      <c r="M636" s="12" t="s">
        <v>30</v>
      </c>
      <c r="N636" s="12" t="s">
        <v>77</v>
      </c>
      <c r="O636" s="12" t="s">
        <v>54</v>
      </c>
    </row>
    <row r="637" spans="1:15" ht="21" customHeight="1" x14ac:dyDescent="0.3">
      <c r="A637" s="17"/>
      <c r="B637" s="2" t="s">
        <v>14</v>
      </c>
      <c r="C637" s="3">
        <v>25</v>
      </c>
      <c r="D637" s="4" t="s">
        <v>37</v>
      </c>
      <c r="E637" s="2" t="s">
        <v>32</v>
      </c>
      <c r="F637" s="2" t="s">
        <v>17</v>
      </c>
      <c r="G637" s="5">
        <v>5</v>
      </c>
      <c r="H637" s="20">
        <v>25000000</v>
      </c>
      <c r="I637" s="2">
        <v>2</v>
      </c>
      <c r="J637" s="6">
        <v>2.2222222222222222E-3</v>
      </c>
      <c r="K637" s="2" t="s">
        <v>18</v>
      </c>
      <c r="L637" s="2" t="s">
        <v>39</v>
      </c>
      <c r="M637" s="2" t="s">
        <v>30</v>
      </c>
      <c r="N637" s="2" t="s">
        <v>78</v>
      </c>
      <c r="O637" s="2" t="s">
        <v>63</v>
      </c>
    </row>
    <row r="638" spans="1:15" ht="21" customHeight="1" x14ac:dyDescent="0.3">
      <c r="A638" s="17"/>
      <c r="B638" s="12" t="s">
        <v>14</v>
      </c>
      <c r="C638" s="13">
        <v>28</v>
      </c>
      <c r="D638" s="14" t="s">
        <v>37</v>
      </c>
      <c r="E638" s="12" t="s">
        <v>73</v>
      </c>
      <c r="F638" s="12" t="s">
        <v>23</v>
      </c>
      <c r="G638" s="15">
        <v>1</v>
      </c>
      <c r="H638" s="21">
        <v>7000000</v>
      </c>
      <c r="I638" s="12">
        <v>2</v>
      </c>
      <c r="J638" s="16">
        <v>2.2222222222222222E-3</v>
      </c>
      <c r="K638" s="12" t="s">
        <v>18</v>
      </c>
      <c r="L638" s="12" t="s">
        <v>24</v>
      </c>
      <c r="M638" s="12" t="s">
        <v>51</v>
      </c>
      <c r="N638" s="12" t="s">
        <v>76</v>
      </c>
      <c r="O638" s="12" t="s">
        <v>26</v>
      </c>
    </row>
    <row r="639" spans="1:15" ht="21" customHeight="1" x14ac:dyDescent="0.3">
      <c r="A639" s="17"/>
      <c r="B639" s="2" t="s">
        <v>14</v>
      </c>
      <c r="C639" s="3">
        <v>22</v>
      </c>
      <c r="D639" s="4" t="s">
        <v>37</v>
      </c>
      <c r="E639" s="2" t="s">
        <v>32</v>
      </c>
      <c r="F639" s="2" t="s">
        <v>23</v>
      </c>
      <c r="G639" s="5">
        <v>3</v>
      </c>
      <c r="H639" s="20">
        <v>15000000</v>
      </c>
      <c r="I639" s="2">
        <v>2</v>
      </c>
      <c r="J639" s="6">
        <v>2.2222222222222222E-3</v>
      </c>
      <c r="K639" s="2" t="s">
        <v>18</v>
      </c>
      <c r="L639" s="2" t="s">
        <v>29</v>
      </c>
      <c r="M639" s="2" t="s">
        <v>48</v>
      </c>
      <c r="N639" s="2" t="s">
        <v>77</v>
      </c>
      <c r="O639" s="2" t="s">
        <v>54</v>
      </c>
    </row>
    <row r="640" spans="1:15" ht="21" customHeight="1" x14ac:dyDescent="0.3">
      <c r="A640" s="17"/>
      <c r="B640" s="12" t="s">
        <v>14</v>
      </c>
      <c r="C640" s="13">
        <v>25</v>
      </c>
      <c r="D640" s="14" t="s">
        <v>37</v>
      </c>
      <c r="E640" s="12" t="s">
        <v>49</v>
      </c>
      <c r="F640" s="12" t="s">
        <v>42</v>
      </c>
      <c r="G640" s="15">
        <v>2</v>
      </c>
      <c r="H640" s="21">
        <v>12000000</v>
      </c>
      <c r="I640" s="12">
        <v>1</v>
      </c>
      <c r="J640" s="16">
        <v>2.2222222222222222E-3</v>
      </c>
      <c r="K640" s="12" t="s">
        <v>18</v>
      </c>
      <c r="L640" s="12" t="s">
        <v>29</v>
      </c>
      <c r="M640" s="12" t="s">
        <v>48</v>
      </c>
      <c r="N640" s="12" t="s">
        <v>77</v>
      </c>
      <c r="O640" s="12" t="s">
        <v>65</v>
      </c>
    </row>
    <row r="641" spans="1:15" ht="21" customHeight="1" x14ac:dyDescent="0.3">
      <c r="A641" s="17"/>
      <c r="B641" s="2" t="s">
        <v>14</v>
      </c>
      <c r="C641" s="3">
        <v>29</v>
      </c>
      <c r="D641" s="4" t="s">
        <v>37</v>
      </c>
      <c r="E641" s="2" t="s">
        <v>49</v>
      </c>
      <c r="F641" s="2" t="s">
        <v>42</v>
      </c>
      <c r="G641" s="5">
        <v>2</v>
      </c>
      <c r="H641" s="20">
        <v>12000000</v>
      </c>
      <c r="I641" s="2">
        <v>1</v>
      </c>
      <c r="J641" s="6">
        <v>2.2222222222222222E-3</v>
      </c>
      <c r="K641" s="2" t="s">
        <v>18</v>
      </c>
      <c r="L641" s="2" t="s">
        <v>24</v>
      </c>
      <c r="M641" s="2" t="s">
        <v>51</v>
      </c>
      <c r="N641" s="2" t="s">
        <v>76</v>
      </c>
      <c r="O641" s="2" t="s">
        <v>26</v>
      </c>
    </row>
    <row r="642" spans="1:15" ht="21" customHeight="1" x14ac:dyDescent="0.3">
      <c r="A642" s="17"/>
      <c r="B642" s="12" t="s">
        <v>14</v>
      </c>
      <c r="C642" s="13">
        <v>20</v>
      </c>
      <c r="D642" s="14" t="s">
        <v>44</v>
      </c>
      <c r="E642" s="12" t="s">
        <v>38</v>
      </c>
      <c r="F642" s="12" t="s">
        <v>42</v>
      </c>
      <c r="G642" s="15">
        <v>2</v>
      </c>
      <c r="H642" s="21">
        <v>38000000</v>
      </c>
      <c r="I642" s="12">
        <v>4</v>
      </c>
      <c r="J642" s="16">
        <v>2.2222222222222222E-3</v>
      </c>
      <c r="K642" s="12" t="s">
        <v>74</v>
      </c>
      <c r="L642" s="12" t="s">
        <v>19</v>
      </c>
      <c r="M642" s="12" t="s">
        <v>43</v>
      </c>
      <c r="N642" s="12" t="s">
        <v>66</v>
      </c>
      <c r="O642" s="12" t="s">
        <v>67</v>
      </c>
    </row>
    <row r="643" spans="1:15" ht="21" customHeight="1" x14ac:dyDescent="0.3">
      <c r="A643" s="17"/>
      <c r="B643" s="2" t="s">
        <v>14</v>
      </c>
      <c r="C643" s="3">
        <v>9</v>
      </c>
      <c r="D643" s="4" t="s">
        <v>44</v>
      </c>
      <c r="E643" s="2" t="s">
        <v>32</v>
      </c>
      <c r="F643" s="2" t="s">
        <v>42</v>
      </c>
      <c r="G643" s="5">
        <v>5</v>
      </c>
      <c r="H643" s="20">
        <v>25000000</v>
      </c>
      <c r="I643" s="2">
        <v>2</v>
      </c>
      <c r="J643" s="6">
        <v>2.2222222222222222E-3</v>
      </c>
      <c r="K643" s="2" t="s">
        <v>18</v>
      </c>
      <c r="L643" s="2" t="s">
        <v>35</v>
      </c>
      <c r="M643" s="2" t="s">
        <v>33</v>
      </c>
      <c r="N643" s="2" t="s">
        <v>66</v>
      </c>
      <c r="O643" s="2" t="s">
        <v>36</v>
      </c>
    </row>
    <row r="644" spans="1:15" ht="21" customHeight="1" x14ac:dyDescent="0.3">
      <c r="A644" s="17"/>
      <c r="B644" s="12" t="s">
        <v>14</v>
      </c>
      <c r="C644" s="13">
        <v>17</v>
      </c>
      <c r="D644" s="14" t="s">
        <v>69</v>
      </c>
      <c r="E644" s="12" t="s">
        <v>16</v>
      </c>
      <c r="F644" s="12" t="s">
        <v>23</v>
      </c>
      <c r="G644" s="15">
        <v>4</v>
      </c>
      <c r="H644" s="21">
        <v>11000000</v>
      </c>
      <c r="I644" s="12">
        <v>1</v>
      </c>
      <c r="J644" s="16">
        <v>2.2222222222222222E-3</v>
      </c>
      <c r="K644" s="12" t="s">
        <v>61</v>
      </c>
      <c r="L644" s="12" t="s">
        <v>64</v>
      </c>
      <c r="M644" s="12" t="s">
        <v>20</v>
      </c>
      <c r="N644" s="12" t="s">
        <v>76</v>
      </c>
      <c r="O644" s="12" t="s">
        <v>26</v>
      </c>
    </row>
    <row r="645" spans="1:15" ht="21" customHeight="1" x14ac:dyDescent="0.3">
      <c r="A645" s="17"/>
      <c r="B645" s="2" t="s">
        <v>14</v>
      </c>
      <c r="C645" s="3">
        <v>10</v>
      </c>
      <c r="D645" s="4" t="s">
        <v>69</v>
      </c>
      <c r="E645" s="2" t="s">
        <v>49</v>
      </c>
      <c r="F645" s="2" t="s">
        <v>42</v>
      </c>
      <c r="G645" s="5">
        <v>2</v>
      </c>
      <c r="H645" s="20">
        <v>12000000</v>
      </c>
      <c r="I645" s="2">
        <v>4</v>
      </c>
      <c r="J645" s="6">
        <v>2.2222222222222222E-3</v>
      </c>
      <c r="K645" s="2" t="s">
        <v>18</v>
      </c>
      <c r="L645" s="2" t="s">
        <v>39</v>
      </c>
      <c r="M645" s="2" t="s">
        <v>20</v>
      </c>
      <c r="N645" s="2" t="s">
        <v>76</v>
      </c>
      <c r="O645" s="2" t="s">
        <v>52</v>
      </c>
    </row>
    <row r="646" spans="1:15" ht="21" customHeight="1" x14ac:dyDescent="0.3">
      <c r="A646" s="17"/>
      <c r="B646" s="12" t="s">
        <v>14</v>
      </c>
      <c r="C646" s="13">
        <v>24</v>
      </c>
      <c r="D646" s="14" t="s">
        <v>69</v>
      </c>
      <c r="E646" s="12" t="s">
        <v>49</v>
      </c>
      <c r="F646" s="12" t="s">
        <v>42</v>
      </c>
      <c r="G646" s="15">
        <v>2</v>
      </c>
      <c r="H646" s="21">
        <v>12000000</v>
      </c>
      <c r="I646" s="12">
        <v>2</v>
      </c>
      <c r="J646" s="16">
        <v>2.2222222222222222E-3</v>
      </c>
      <c r="K646" s="12" t="s">
        <v>18</v>
      </c>
      <c r="L646" s="12" t="s">
        <v>29</v>
      </c>
      <c r="M646" s="12" t="s">
        <v>43</v>
      </c>
      <c r="N646" s="12" t="s">
        <v>77</v>
      </c>
      <c r="O646" s="12" t="s">
        <v>54</v>
      </c>
    </row>
    <row r="647" spans="1:15" ht="21" customHeight="1" x14ac:dyDescent="0.3">
      <c r="A647" s="17"/>
      <c r="B647" s="2" t="s">
        <v>14</v>
      </c>
      <c r="C647" s="3">
        <v>20</v>
      </c>
      <c r="D647" s="4" t="s">
        <v>69</v>
      </c>
      <c r="E647" s="2" t="s">
        <v>38</v>
      </c>
      <c r="F647" s="2" t="s">
        <v>23</v>
      </c>
      <c r="G647" s="5">
        <v>4</v>
      </c>
      <c r="H647" s="20">
        <v>20000000</v>
      </c>
      <c r="I647" s="2">
        <v>4</v>
      </c>
      <c r="J647" s="6">
        <v>2.2222222222222222E-3</v>
      </c>
      <c r="K647" s="2" t="s">
        <v>18</v>
      </c>
      <c r="L647" s="2" t="s">
        <v>39</v>
      </c>
      <c r="M647" s="2" t="s">
        <v>48</v>
      </c>
      <c r="N647" s="2" t="s">
        <v>77</v>
      </c>
      <c r="O647" s="2" t="s">
        <v>65</v>
      </c>
    </row>
    <row r="648" spans="1:15" ht="21" customHeight="1" x14ac:dyDescent="0.3">
      <c r="A648" s="17"/>
      <c r="B648" s="12" t="s">
        <v>14</v>
      </c>
      <c r="C648" s="13">
        <v>17</v>
      </c>
      <c r="D648" s="14" t="s">
        <v>55</v>
      </c>
      <c r="E648" s="12" t="s">
        <v>49</v>
      </c>
      <c r="F648" s="12" t="s">
        <v>68</v>
      </c>
      <c r="G648" s="15">
        <v>3</v>
      </c>
      <c r="H648" s="21">
        <v>15000000</v>
      </c>
      <c r="I648" s="12">
        <v>1</v>
      </c>
      <c r="J648" s="16">
        <v>2.2222222222222222E-3</v>
      </c>
      <c r="K648" s="12" t="s">
        <v>18</v>
      </c>
      <c r="L648" s="12" t="s">
        <v>24</v>
      </c>
      <c r="M648" s="12" t="s">
        <v>30</v>
      </c>
      <c r="N648" s="12" t="s">
        <v>66</v>
      </c>
      <c r="O648" s="12" t="s">
        <v>67</v>
      </c>
    </row>
    <row r="649" spans="1:15" ht="21" customHeight="1" x14ac:dyDescent="0.3">
      <c r="A649" s="17"/>
      <c r="B649" s="2" t="s">
        <v>14</v>
      </c>
      <c r="C649" s="3">
        <v>11</v>
      </c>
      <c r="D649" s="4" t="s">
        <v>57</v>
      </c>
      <c r="E649" s="2" t="s">
        <v>16</v>
      </c>
      <c r="F649" s="2" t="s">
        <v>42</v>
      </c>
      <c r="G649" s="5">
        <v>3</v>
      </c>
      <c r="H649" s="20">
        <v>15000000</v>
      </c>
      <c r="I649" s="2">
        <v>5</v>
      </c>
      <c r="J649" s="6">
        <v>2.2222222222222222E-3</v>
      </c>
      <c r="K649" s="2" t="s">
        <v>18</v>
      </c>
      <c r="L649" s="2" t="s">
        <v>19</v>
      </c>
      <c r="M649" s="2" t="s">
        <v>51</v>
      </c>
      <c r="N649" s="2" t="s">
        <v>66</v>
      </c>
      <c r="O649" s="2" t="s">
        <v>36</v>
      </c>
    </row>
    <row r="650" spans="1:15" ht="21" customHeight="1" x14ac:dyDescent="0.3">
      <c r="A650" s="17"/>
      <c r="B650" s="12" t="s">
        <v>14</v>
      </c>
      <c r="C650" s="13">
        <v>1</v>
      </c>
      <c r="D650" s="14" t="s">
        <v>59</v>
      </c>
      <c r="E650" s="12" t="s">
        <v>49</v>
      </c>
      <c r="F650" s="12" t="s">
        <v>42</v>
      </c>
      <c r="G650" s="15">
        <v>4</v>
      </c>
      <c r="H650" s="21">
        <v>20000000</v>
      </c>
      <c r="I650" s="12">
        <v>3</v>
      </c>
      <c r="J650" s="16">
        <v>2.2222222222222222E-3</v>
      </c>
      <c r="K650" s="12" t="s">
        <v>18</v>
      </c>
      <c r="L650" s="12" t="s">
        <v>56</v>
      </c>
      <c r="M650" s="12" t="s">
        <v>33</v>
      </c>
      <c r="N650" s="12" t="s">
        <v>76</v>
      </c>
      <c r="O650" s="12" t="s">
        <v>52</v>
      </c>
    </row>
    <row r="651" spans="1:15" ht="21" customHeight="1" x14ac:dyDescent="0.3">
      <c r="A651" s="17"/>
      <c r="B651" s="2" t="s">
        <v>14</v>
      </c>
      <c r="C651" s="3">
        <v>10</v>
      </c>
      <c r="D651" s="4" t="s">
        <v>72</v>
      </c>
      <c r="E651" s="2" t="s">
        <v>32</v>
      </c>
      <c r="F651" s="2" t="s">
        <v>42</v>
      </c>
      <c r="G651" s="5">
        <v>1</v>
      </c>
      <c r="H651" s="20">
        <v>7000000</v>
      </c>
      <c r="I651" s="2">
        <v>4</v>
      </c>
      <c r="J651" s="6">
        <v>2.2222222222222222E-3</v>
      </c>
      <c r="K651" s="2" t="s">
        <v>18</v>
      </c>
      <c r="L651" s="2" t="s">
        <v>19</v>
      </c>
      <c r="M651" s="2" t="s">
        <v>51</v>
      </c>
      <c r="N651" s="2" t="s">
        <v>78</v>
      </c>
      <c r="O651" s="2" t="s">
        <v>53</v>
      </c>
    </row>
    <row r="652" spans="1:15" ht="21" customHeight="1" x14ac:dyDescent="0.3">
      <c r="A652" s="17"/>
      <c r="B652" s="12" t="s">
        <v>70</v>
      </c>
      <c r="C652" s="13">
        <v>21</v>
      </c>
      <c r="D652" s="14" t="s">
        <v>57</v>
      </c>
      <c r="E652" s="12" t="s">
        <v>73</v>
      </c>
      <c r="F652" s="12" t="s">
        <v>42</v>
      </c>
      <c r="G652" s="15">
        <v>0</v>
      </c>
      <c r="H652" s="21">
        <v>0</v>
      </c>
      <c r="I652" s="12">
        <v>2</v>
      </c>
      <c r="J652" s="16">
        <v>2.2222222222222222E-3</v>
      </c>
      <c r="K652" s="12"/>
      <c r="L652" s="12"/>
      <c r="M652" s="12" t="s">
        <v>43</v>
      </c>
      <c r="N652" s="12" t="s">
        <v>78</v>
      </c>
      <c r="O652" s="12" t="s">
        <v>53</v>
      </c>
    </row>
    <row r="653" spans="1:15" ht="21" customHeight="1" x14ac:dyDescent="0.3">
      <c r="A653" s="17"/>
      <c r="B653" s="2" t="s">
        <v>70</v>
      </c>
      <c r="C653" s="3">
        <v>16</v>
      </c>
      <c r="D653" s="4" t="s">
        <v>58</v>
      </c>
      <c r="E653" s="2" t="s">
        <v>28</v>
      </c>
      <c r="F653" s="2" t="s">
        <v>17</v>
      </c>
      <c r="G653" s="5">
        <v>0</v>
      </c>
      <c r="H653" s="20">
        <v>0</v>
      </c>
      <c r="I653" s="2">
        <v>5</v>
      </c>
      <c r="J653" s="6">
        <v>2.2222222222222222E-3</v>
      </c>
      <c r="K653" s="2"/>
      <c r="L653" s="2"/>
      <c r="M653" s="2" t="s">
        <v>40</v>
      </c>
      <c r="N653" s="2" t="s">
        <v>78</v>
      </c>
      <c r="O653" s="2" t="s">
        <v>53</v>
      </c>
    </row>
    <row r="654" spans="1:15" ht="21" customHeight="1" x14ac:dyDescent="0.3">
      <c r="A654" s="17"/>
      <c r="B654" s="12" t="s">
        <v>70</v>
      </c>
      <c r="C654" s="13">
        <v>25</v>
      </c>
      <c r="D654" s="14" t="s">
        <v>27</v>
      </c>
      <c r="E654" s="12" t="s">
        <v>28</v>
      </c>
      <c r="F654" s="12" t="s">
        <v>42</v>
      </c>
      <c r="G654" s="15">
        <v>0</v>
      </c>
      <c r="H654" s="21">
        <v>0</v>
      </c>
      <c r="I654" s="12">
        <v>1</v>
      </c>
      <c r="J654" s="16">
        <v>2.2222222222222222E-3</v>
      </c>
      <c r="K654" s="12"/>
      <c r="L654" s="12"/>
      <c r="M654" s="12" t="s">
        <v>30</v>
      </c>
      <c r="N654" s="12" t="s">
        <v>78</v>
      </c>
      <c r="O654" s="12" t="s">
        <v>63</v>
      </c>
    </row>
    <row r="655" spans="1:15" ht="21" customHeight="1" x14ac:dyDescent="0.3">
      <c r="A655" s="17"/>
      <c r="B655" s="2" t="s">
        <v>70</v>
      </c>
      <c r="C655" s="3">
        <v>7</v>
      </c>
      <c r="D655" s="4" t="s">
        <v>69</v>
      </c>
      <c r="E655" s="2" t="s">
        <v>16</v>
      </c>
      <c r="F655" s="2" t="s">
        <v>17</v>
      </c>
      <c r="G655" s="5">
        <v>0</v>
      </c>
      <c r="H655" s="20">
        <v>0</v>
      </c>
      <c r="I655" s="2">
        <v>1</v>
      </c>
      <c r="J655" s="6">
        <v>2.2222222222222222E-3</v>
      </c>
      <c r="K655" s="2"/>
      <c r="L655" s="2"/>
      <c r="M655" s="2" t="s">
        <v>33</v>
      </c>
      <c r="N655" s="2" t="s">
        <v>78</v>
      </c>
      <c r="O655" s="2" t="s">
        <v>41</v>
      </c>
    </row>
    <row r="656" spans="1:15" ht="21" customHeight="1" x14ac:dyDescent="0.3">
      <c r="A656" s="17"/>
      <c r="B656" s="12" t="s">
        <v>70</v>
      </c>
      <c r="C656" s="13">
        <v>23</v>
      </c>
      <c r="D656" s="14" t="s">
        <v>69</v>
      </c>
      <c r="E656" s="12" t="s">
        <v>32</v>
      </c>
      <c r="F656" s="12" t="s">
        <v>42</v>
      </c>
      <c r="G656" s="15">
        <v>0</v>
      </c>
      <c r="H656" s="21">
        <v>0</v>
      </c>
      <c r="I656" s="12">
        <v>5</v>
      </c>
      <c r="J656" s="16">
        <v>2.2222222222222222E-3</v>
      </c>
      <c r="K656" s="12"/>
      <c r="L656" s="12"/>
      <c r="M656" s="12" t="s">
        <v>25</v>
      </c>
      <c r="N656" s="12" t="s">
        <v>76</v>
      </c>
      <c r="O656" s="12" t="s">
        <v>31</v>
      </c>
    </row>
    <row r="657" spans="1:15" ht="21" customHeight="1" x14ac:dyDescent="0.3">
      <c r="A657" s="17"/>
      <c r="B657" s="2" t="s">
        <v>70</v>
      </c>
      <c r="C657" s="3">
        <v>21</v>
      </c>
      <c r="D657" s="4" t="s">
        <v>57</v>
      </c>
      <c r="E657" s="2" t="s">
        <v>73</v>
      </c>
      <c r="F657" s="2" t="s">
        <v>42</v>
      </c>
      <c r="G657" s="5">
        <v>0</v>
      </c>
      <c r="H657" s="20">
        <v>0</v>
      </c>
      <c r="I657" s="2">
        <v>2</v>
      </c>
      <c r="J657" s="6">
        <v>2.2222222222222222E-3</v>
      </c>
      <c r="K657" s="2"/>
      <c r="L657" s="2"/>
      <c r="M657" s="2" t="s">
        <v>43</v>
      </c>
      <c r="N657" s="2" t="s">
        <v>78</v>
      </c>
      <c r="O657" s="2" t="s">
        <v>53</v>
      </c>
    </row>
    <row r="658" spans="1:15" ht="21" customHeight="1" x14ac:dyDescent="0.3">
      <c r="A658" s="17"/>
      <c r="B658" s="12" t="s">
        <v>70</v>
      </c>
      <c r="C658" s="13">
        <v>16</v>
      </c>
      <c r="D658" s="14" t="s">
        <v>58</v>
      </c>
      <c r="E658" s="12" t="s">
        <v>28</v>
      </c>
      <c r="F658" s="12" t="s">
        <v>17</v>
      </c>
      <c r="G658" s="15">
        <v>0</v>
      </c>
      <c r="H658" s="21">
        <v>0</v>
      </c>
      <c r="I658" s="12">
        <v>5</v>
      </c>
      <c r="J658" s="16">
        <v>2.2222222222222222E-3</v>
      </c>
      <c r="K658" s="12"/>
      <c r="L658" s="12"/>
      <c r="M658" s="12" t="s">
        <v>40</v>
      </c>
      <c r="N658" s="12" t="s">
        <v>78</v>
      </c>
      <c r="O658" s="12" t="s">
        <v>53</v>
      </c>
    </row>
    <row r="659" spans="1:15" ht="21" customHeight="1" x14ac:dyDescent="0.3">
      <c r="A659" s="17"/>
      <c r="B659" s="2" t="s">
        <v>14</v>
      </c>
      <c r="C659" s="3">
        <v>30</v>
      </c>
      <c r="D659" s="4" t="s">
        <v>22</v>
      </c>
      <c r="E659" s="2" t="s">
        <v>28</v>
      </c>
      <c r="F659" s="2" t="s">
        <v>23</v>
      </c>
      <c r="G659" s="5">
        <v>5</v>
      </c>
      <c r="H659" s="20">
        <v>25000000</v>
      </c>
      <c r="I659" s="2">
        <v>1</v>
      </c>
      <c r="J659" s="6">
        <v>2.2453703703703702E-3</v>
      </c>
      <c r="K659" s="2" t="s">
        <v>18</v>
      </c>
      <c r="L659" s="2" t="s">
        <v>64</v>
      </c>
      <c r="M659" s="2" t="s">
        <v>25</v>
      </c>
      <c r="N659" s="2" t="s">
        <v>76</v>
      </c>
      <c r="O659" s="2" t="s">
        <v>26</v>
      </c>
    </row>
    <row r="660" spans="1:15" ht="21" customHeight="1" x14ac:dyDescent="0.3">
      <c r="A660" s="17"/>
      <c r="B660" s="12" t="s">
        <v>14</v>
      </c>
      <c r="C660" s="13">
        <v>25</v>
      </c>
      <c r="D660" s="14" t="s">
        <v>27</v>
      </c>
      <c r="E660" s="12" t="s">
        <v>16</v>
      </c>
      <c r="F660" s="12" t="s">
        <v>23</v>
      </c>
      <c r="G660" s="15">
        <v>4</v>
      </c>
      <c r="H660" s="21">
        <v>20000000</v>
      </c>
      <c r="I660" s="12">
        <v>2</v>
      </c>
      <c r="J660" s="16">
        <v>2.2453703703703702E-3</v>
      </c>
      <c r="K660" s="12" t="s">
        <v>61</v>
      </c>
      <c r="L660" s="12" t="s">
        <v>19</v>
      </c>
      <c r="M660" s="12" t="s">
        <v>51</v>
      </c>
      <c r="N660" s="12" t="s">
        <v>78</v>
      </c>
      <c r="O660" s="12" t="s">
        <v>63</v>
      </c>
    </row>
    <row r="661" spans="1:15" ht="21" customHeight="1" x14ac:dyDescent="0.3">
      <c r="A661" s="17"/>
      <c r="B661" s="2" t="s">
        <v>14</v>
      </c>
      <c r="C661" s="3">
        <v>9</v>
      </c>
      <c r="D661" s="4" t="s">
        <v>27</v>
      </c>
      <c r="E661" s="2" t="s">
        <v>28</v>
      </c>
      <c r="F661" s="2" t="s">
        <v>23</v>
      </c>
      <c r="G661" s="5">
        <v>1</v>
      </c>
      <c r="H661" s="20">
        <v>7000000</v>
      </c>
      <c r="I661" s="2">
        <v>2</v>
      </c>
      <c r="J661" s="6">
        <v>2.2453703703703702E-3</v>
      </c>
      <c r="K661" s="2" t="s">
        <v>18</v>
      </c>
      <c r="L661" s="2" t="s">
        <v>29</v>
      </c>
      <c r="M661" s="2" t="s">
        <v>43</v>
      </c>
      <c r="N661" s="2" t="s">
        <v>76</v>
      </c>
      <c r="O661" s="2" t="s">
        <v>26</v>
      </c>
    </row>
    <row r="662" spans="1:15" ht="21" customHeight="1" x14ac:dyDescent="0.3">
      <c r="A662" s="17"/>
      <c r="B662" s="12" t="s">
        <v>14</v>
      </c>
      <c r="C662" s="13">
        <v>29</v>
      </c>
      <c r="D662" s="14" t="s">
        <v>37</v>
      </c>
      <c r="E662" s="12" t="s">
        <v>49</v>
      </c>
      <c r="F662" s="12" t="s">
        <v>42</v>
      </c>
      <c r="G662" s="15">
        <v>2</v>
      </c>
      <c r="H662" s="21">
        <v>12000000</v>
      </c>
      <c r="I662" s="12">
        <v>1</v>
      </c>
      <c r="J662" s="16">
        <v>2.2453703703703702E-3</v>
      </c>
      <c r="K662" s="12" t="s">
        <v>18</v>
      </c>
      <c r="L662" s="12" t="s">
        <v>56</v>
      </c>
      <c r="M662" s="12" t="s">
        <v>30</v>
      </c>
      <c r="N662" s="12" t="s">
        <v>77</v>
      </c>
      <c r="O662" s="12" t="s">
        <v>34</v>
      </c>
    </row>
    <row r="663" spans="1:15" ht="21" customHeight="1" x14ac:dyDescent="0.3">
      <c r="A663" s="17"/>
      <c r="B663" s="2" t="s">
        <v>14</v>
      </c>
      <c r="C663" s="3">
        <v>13</v>
      </c>
      <c r="D663" s="4" t="s">
        <v>37</v>
      </c>
      <c r="E663" s="2" t="s">
        <v>28</v>
      </c>
      <c r="F663" s="2" t="s">
        <v>23</v>
      </c>
      <c r="G663" s="5">
        <v>2</v>
      </c>
      <c r="H663" s="20">
        <v>12000000</v>
      </c>
      <c r="I663" s="2">
        <v>2</v>
      </c>
      <c r="J663" s="6">
        <v>2.2453703703703702E-3</v>
      </c>
      <c r="K663" s="2" t="s">
        <v>18</v>
      </c>
      <c r="L663" s="2" t="s">
        <v>19</v>
      </c>
      <c r="M663" s="2" t="s">
        <v>33</v>
      </c>
      <c r="N663" s="2" t="s">
        <v>66</v>
      </c>
      <c r="O663" s="2" t="s">
        <v>36</v>
      </c>
    </row>
    <row r="664" spans="1:15" ht="21" customHeight="1" x14ac:dyDescent="0.3">
      <c r="A664" s="17"/>
      <c r="B664" s="12" t="s">
        <v>14</v>
      </c>
      <c r="C664" s="13">
        <v>29</v>
      </c>
      <c r="D664" s="14" t="s">
        <v>37</v>
      </c>
      <c r="E664" s="12" t="s">
        <v>32</v>
      </c>
      <c r="F664" s="12" t="s">
        <v>68</v>
      </c>
      <c r="G664" s="15">
        <v>2</v>
      </c>
      <c r="H664" s="21">
        <v>12000000</v>
      </c>
      <c r="I664" s="12">
        <v>1</v>
      </c>
      <c r="J664" s="16">
        <v>2.2453703703703702E-3</v>
      </c>
      <c r="K664" s="12" t="s">
        <v>18</v>
      </c>
      <c r="L664" s="12" t="s">
        <v>47</v>
      </c>
      <c r="M664" s="12" t="s">
        <v>48</v>
      </c>
      <c r="N664" s="12" t="s">
        <v>77</v>
      </c>
      <c r="O664" s="12" t="s">
        <v>54</v>
      </c>
    </row>
    <row r="665" spans="1:15" ht="21" customHeight="1" x14ac:dyDescent="0.3">
      <c r="A665" s="17"/>
      <c r="B665" s="2" t="s">
        <v>14</v>
      </c>
      <c r="C665" s="3">
        <v>1</v>
      </c>
      <c r="D665" s="4" t="s">
        <v>44</v>
      </c>
      <c r="E665" s="2" t="s">
        <v>28</v>
      </c>
      <c r="F665" s="2" t="s">
        <v>23</v>
      </c>
      <c r="G665" s="5">
        <v>2</v>
      </c>
      <c r="H665" s="20">
        <v>38000000</v>
      </c>
      <c r="I665" s="2">
        <v>4</v>
      </c>
      <c r="J665" s="6">
        <v>2.2453703703703702E-3</v>
      </c>
      <c r="K665" s="2" t="s">
        <v>46</v>
      </c>
      <c r="L665" s="2" t="s">
        <v>19</v>
      </c>
      <c r="M665" s="2" t="s">
        <v>30</v>
      </c>
      <c r="N665" s="2" t="s">
        <v>78</v>
      </c>
      <c r="O665" s="2" t="s">
        <v>41</v>
      </c>
    </row>
    <row r="666" spans="1:15" ht="21" customHeight="1" x14ac:dyDescent="0.3">
      <c r="A666" s="17"/>
      <c r="B666" s="12" t="s">
        <v>14</v>
      </c>
      <c r="C666" s="13">
        <v>22</v>
      </c>
      <c r="D666" s="14" t="s">
        <v>44</v>
      </c>
      <c r="E666" s="12" t="s">
        <v>16</v>
      </c>
      <c r="F666" s="12" t="s">
        <v>45</v>
      </c>
      <c r="G666" s="15">
        <v>4</v>
      </c>
      <c r="H666" s="21">
        <v>20000000</v>
      </c>
      <c r="I666" s="12">
        <v>5</v>
      </c>
      <c r="J666" s="16">
        <v>2.2453703703703702E-3</v>
      </c>
      <c r="K666" s="12" t="s">
        <v>18</v>
      </c>
      <c r="L666" s="12" t="s">
        <v>39</v>
      </c>
      <c r="M666" s="12" t="s">
        <v>43</v>
      </c>
      <c r="N666" s="12" t="s">
        <v>78</v>
      </c>
      <c r="O666" s="12" t="s">
        <v>53</v>
      </c>
    </row>
    <row r="667" spans="1:15" ht="21" customHeight="1" x14ac:dyDescent="0.3">
      <c r="A667" s="17"/>
      <c r="B667" s="2" t="s">
        <v>14</v>
      </c>
      <c r="C667" s="3">
        <v>1</v>
      </c>
      <c r="D667" s="4" t="s">
        <v>69</v>
      </c>
      <c r="E667" s="2" t="s">
        <v>16</v>
      </c>
      <c r="F667" s="2" t="s">
        <v>23</v>
      </c>
      <c r="G667" s="5">
        <v>5</v>
      </c>
      <c r="H667" s="20">
        <v>21000000</v>
      </c>
      <c r="I667" s="2">
        <v>2</v>
      </c>
      <c r="J667" s="6">
        <v>2.2453703703703702E-3</v>
      </c>
      <c r="K667" s="2" t="s">
        <v>18</v>
      </c>
      <c r="L667" s="2" t="s">
        <v>47</v>
      </c>
      <c r="M667" s="2" t="s">
        <v>40</v>
      </c>
      <c r="N667" s="2" t="s">
        <v>78</v>
      </c>
      <c r="O667" s="2" t="s">
        <v>66</v>
      </c>
    </row>
    <row r="668" spans="1:15" ht="21" customHeight="1" x14ac:dyDescent="0.3">
      <c r="A668" s="17"/>
      <c r="B668" s="12" t="s">
        <v>14</v>
      </c>
      <c r="C668" s="13">
        <v>15</v>
      </c>
      <c r="D668" s="14" t="s">
        <v>69</v>
      </c>
      <c r="E668" s="12" t="s">
        <v>28</v>
      </c>
      <c r="F668" s="12" t="s">
        <v>42</v>
      </c>
      <c r="G668" s="15">
        <v>3</v>
      </c>
      <c r="H668" s="21">
        <v>15000000</v>
      </c>
      <c r="I668" s="12">
        <v>2</v>
      </c>
      <c r="J668" s="16">
        <v>2.2453703703703702E-3</v>
      </c>
      <c r="K668" s="12" t="s">
        <v>18</v>
      </c>
      <c r="L668" s="12" t="s">
        <v>29</v>
      </c>
      <c r="M668" s="12" t="s">
        <v>20</v>
      </c>
      <c r="N668" s="12" t="s">
        <v>78</v>
      </c>
      <c r="O668" s="12" t="s">
        <v>62</v>
      </c>
    </row>
    <row r="669" spans="1:15" ht="21" customHeight="1" x14ac:dyDescent="0.3">
      <c r="A669" s="17"/>
      <c r="B669" s="2" t="s">
        <v>70</v>
      </c>
      <c r="C669" s="3">
        <v>20</v>
      </c>
      <c r="D669" s="4" t="s">
        <v>58</v>
      </c>
      <c r="E669" s="2" t="s">
        <v>16</v>
      </c>
      <c r="F669" s="2" t="s">
        <v>23</v>
      </c>
      <c r="G669" s="5">
        <v>0</v>
      </c>
      <c r="H669" s="20">
        <v>0</v>
      </c>
      <c r="I669" s="2">
        <v>2</v>
      </c>
      <c r="J669" s="6">
        <v>2.2453703703703702E-3</v>
      </c>
      <c r="K669" s="2"/>
      <c r="L669" s="2"/>
      <c r="M669" s="2" t="s">
        <v>51</v>
      </c>
      <c r="N669" s="2" t="s">
        <v>66</v>
      </c>
      <c r="O669" s="2" t="s">
        <v>36</v>
      </c>
    </row>
    <row r="670" spans="1:15" ht="21" customHeight="1" x14ac:dyDescent="0.3">
      <c r="A670" s="17"/>
      <c r="B670" s="12" t="s">
        <v>70</v>
      </c>
      <c r="C670" s="13">
        <v>10</v>
      </c>
      <c r="D670" s="14" t="s">
        <v>69</v>
      </c>
      <c r="E670" s="12" t="s">
        <v>28</v>
      </c>
      <c r="F670" s="12" t="s">
        <v>42</v>
      </c>
      <c r="G670" s="15">
        <v>0</v>
      </c>
      <c r="H670" s="21">
        <v>0</v>
      </c>
      <c r="I670" s="12">
        <v>4</v>
      </c>
      <c r="J670" s="16">
        <v>2.2453703703703702E-3</v>
      </c>
      <c r="K670" s="12"/>
      <c r="L670" s="12"/>
      <c r="M670" s="12" t="s">
        <v>43</v>
      </c>
      <c r="N670" s="12" t="s">
        <v>78</v>
      </c>
      <c r="O670" s="12" t="s">
        <v>66</v>
      </c>
    </row>
    <row r="671" spans="1:15" ht="21" customHeight="1" x14ac:dyDescent="0.3">
      <c r="A671" s="17"/>
      <c r="B671" s="2" t="s">
        <v>70</v>
      </c>
      <c r="C671" s="3">
        <v>20</v>
      </c>
      <c r="D671" s="4" t="s">
        <v>69</v>
      </c>
      <c r="E671" s="2" t="s">
        <v>16</v>
      </c>
      <c r="F671" s="2" t="s">
        <v>23</v>
      </c>
      <c r="G671" s="5">
        <v>0</v>
      </c>
      <c r="H671" s="20">
        <v>0</v>
      </c>
      <c r="I671" s="2">
        <v>1</v>
      </c>
      <c r="J671" s="6">
        <v>2.2453703703703702E-3</v>
      </c>
      <c r="K671" s="2"/>
      <c r="L671" s="2"/>
      <c r="M671" s="2" t="s">
        <v>33</v>
      </c>
      <c r="N671" s="2" t="s">
        <v>76</v>
      </c>
      <c r="O671" s="2" t="s">
        <v>71</v>
      </c>
    </row>
    <row r="672" spans="1:15" ht="21" customHeight="1" x14ac:dyDescent="0.3">
      <c r="A672" s="17"/>
      <c r="B672" s="12" t="s">
        <v>70</v>
      </c>
      <c r="C672" s="13">
        <v>20</v>
      </c>
      <c r="D672" s="14" t="s">
        <v>58</v>
      </c>
      <c r="E672" s="12" t="s">
        <v>16</v>
      </c>
      <c r="F672" s="12" t="s">
        <v>23</v>
      </c>
      <c r="G672" s="15">
        <v>0</v>
      </c>
      <c r="H672" s="21">
        <v>0</v>
      </c>
      <c r="I672" s="12">
        <v>2</v>
      </c>
      <c r="J672" s="16">
        <v>2.2453703703703702E-3</v>
      </c>
      <c r="K672" s="12"/>
      <c r="L672" s="12"/>
      <c r="M672" s="12" t="s">
        <v>51</v>
      </c>
      <c r="N672" s="12" t="s">
        <v>66</v>
      </c>
      <c r="O672" s="12" t="s">
        <v>36</v>
      </c>
    </row>
    <row r="673" spans="1:15" ht="21" customHeight="1" x14ac:dyDescent="0.3">
      <c r="A673" s="17"/>
      <c r="B673" s="2" t="s">
        <v>14</v>
      </c>
      <c r="C673" s="3">
        <v>12</v>
      </c>
      <c r="D673" s="4" t="s">
        <v>55</v>
      </c>
      <c r="E673" s="2" t="s">
        <v>16</v>
      </c>
      <c r="F673" s="2" t="s">
        <v>23</v>
      </c>
      <c r="G673" s="5">
        <v>5</v>
      </c>
      <c r="H673" s="20">
        <v>25000000</v>
      </c>
      <c r="I673" s="2">
        <v>1</v>
      </c>
      <c r="J673" s="6">
        <v>2.2685185185185182E-3</v>
      </c>
      <c r="K673" s="2" t="s">
        <v>18</v>
      </c>
      <c r="L673" s="2" t="s">
        <v>24</v>
      </c>
      <c r="M673" s="2" t="s">
        <v>30</v>
      </c>
      <c r="N673" s="2" t="s">
        <v>76</v>
      </c>
      <c r="O673" s="2" t="s">
        <v>52</v>
      </c>
    </row>
    <row r="674" spans="1:15" ht="21" customHeight="1" x14ac:dyDescent="0.3">
      <c r="A674" s="17"/>
      <c r="B674" s="12" t="s">
        <v>14</v>
      </c>
      <c r="C674" s="13">
        <v>1</v>
      </c>
      <c r="D674" s="14" t="s">
        <v>60</v>
      </c>
      <c r="E674" s="12" t="s">
        <v>16</v>
      </c>
      <c r="F674" s="12" t="s">
        <v>23</v>
      </c>
      <c r="G674" s="15">
        <v>4</v>
      </c>
      <c r="H674" s="21">
        <v>20000000</v>
      </c>
      <c r="I674" s="12">
        <v>4</v>
      </c>
      <c r="J674" s="16">
        <v>2.2685185185185182E-3</v>
      </c>
      <c r="K674" s="12" t="s">
        <v>61</v>
      </c>
      <c r="L674" s="12" t="s">
        <v>39</v>
      </c>
      <c r="M674" s="12" t="s">
        <v>33</v>
      </c>
      <c r="N674" s="12" t="s">
        <v>66</v>
      </c>
      <c r="O674" s="12" t="s">
        <v>67</v>
      </c>
    </row>
    <row r="675" spans="1:15" ht="21" customHeight="1" x14ac:dyDescent="0.3">
      <c r="A675" s="17"/>
      <c r="B675" s="2" t="s">
        <v>14</v>
      </c>
      <c r="C675" s="3">
        <v>28</v>
      </c>
      <c r="D675" s="4" t="s">
        <v>60</v>
      </c>
      <c r="E675" s="2" t="s">
        <v>49</v>
      </c>
      <c r="F675" s="2" t="s">
        <v>17</v>
      </c>
      <c r="G675" s="5">
        <v>4</v>
      </c>
      <c r="H675" s="20">
        <v>15000000</v>
      </c>
      <c r="I675" s="2">
        <v>2</v>
      </c>
      <c r="J675" s="6">
        <v>2.2685185185185182E-3</v>
      </c>
      <c r="K675" s="2" t="s">
        <v>18</v>
      </c>
      <c r="L675" s="2" t="s">
        <v>29</v>
      </c>
      <c r="M675" s="2" t="s">
        <v>48</v>
      </c>
      <c r="N675" s="2" t="s">
        <v>66</v>
      </c>
      <c r="O675" s="2" t="s">
        <v>67</v>
      </c>
    </row>
    <row r="676" spans="1:15" ht="21" customHeight="1" x14ac:dyDescent="0.3">
      <c r="A676" s="17"/>
      <c r="B676" s="12" t="s">
        <v>14</v>
      </c>
      <c r="C676" s="13">
        <v>3</v>
      </c>
      <c r="D676" s="14" t="s">
        <v>27</v>
      </c>
      <c r="E676" s="12" t="s">
        <v>16</v>
      </c>
      <c r="F676" s="12" t="s">
        <v>17</v>
      </c>
      <c r="G676" s="15">
        <v>3</v>
      </c>
      <c r="H676" s="21">
        <v>12000000</v>
      </c>
      <c r="I676" s="12">
        <v>1</v>
      </c>
      <c r="J676" s="16">
        <v>2.2685185185185182E-3</v>
      </c>
      <c r="K676" s="12" t="s">
        <v>18</v>
      </c>
      <c r="L676" s="12" t="s">
        <v>29</v>
      </c>
      <c r="M676" s="12" t="s">
        <v>30</v>
      </c>
      <c r="N676" s="12" t="s">
        <v>76</v>
      </c>
      <c r="O676" s="12" t="s">
        <v>26</v>
      </c>
    </row>
    <row r="677" spans="1:15" ht="21" customHeight="1" x14ac:dyDescent="0.3">
      <c r="A677" s="17"/>
      <c r="B677" s="2" t="s">
        <v>14</v>
      </c>
      <c r="C677" s="3">
        <v>28</v>
      </c>
      <c r="D677" s="4" t="s">
        <v>37</v>
      </c>
      <c r="E677" s="2" t="s">
        <v>38</v>
      </c>
      <c r="F677" s="2" t="s">
        <v>45</v>
      </c>
      <c r="G677" s="5">
        <v>2</v>
      </c>
      <c r="H677" s="20">
        <v>38000000</v>
      </c>
      <c r="I677" s="2">
        <v>2</v>
      </c>
      <c r="J677" s="6">
        <v>2.2685185185185182E-3</v>
      </c>
      <c r="K677" s="2" t="s">
        <v>46</v>
      </c>
      <c r="L677" s="2" t="s">
        <v>29</v>
      </c>
      <c r="M677" s="2" t="s">
        <v>25</v>
      </c>
      <c r="N677" s="2" t="s">
        <v>78</v>
      </c>
      <c r="O677" s="2" t="s">
        <v>62</v>
      </c>
    </row>
    <row r="678" spans="1:15" ht="21" customHeight="1" x14ac:dyDescent="0.3">
      <c r="A678" s="17"/>
      <c r="B678" s="12" t="s">
        <v>14</v>
      </c>
      <c r="C678" s="13">
        <v>28</v>
      </c>
      <c r="D678" s="14" t="s">
        <v>37</v>
      </c>
      <c r="E678" s="12" t="s">
        <v>16</v>
      </c>
      <c r="F678" s="12" t="s">
        <v>17</v>
      </c>
      <c r="G678" s="15">
        <v>1</v>
      </c>
      <c r="H678" s="21">
        <v>19000000</v>
      </c>
      <c r="I678" s="12">
        <v>1</v>
      </c>
      <c r="J678" s="16">
        <v>2.2685185185185182E-3</v>
      </c>
      <c r="K678" s="12" t="s">
        <v>46</v>
      </c>
      <c r="L678" s="12" t="s">
        <v>19</v>
      </c>
      <c r="M678" s="12" t="s">
        <v>48</v>
      </c>
      <c r="N678" s="12" t="s">
        <v>78</v>
      </c>
      <c r="O678" s="12" t="s">
        <v>53</v>
      </c>
    </row>
    <row r="679" spans="1:15" ht="21" customHeight="1" x14ac:dyDescent="0.3">
      <c r="A679" s="17"/>
      <c r="B679" s="2" t="s">
        <v>14</v>
      </c>
      <c r="C679" s="3">
        <v>23</v>
      </c>
      <c r="D679" s="4" t="s">
        <v>37</v>
      </c>
      <c r="E679" s="2" t="s">
        <v>49</v>
      </c>
      <c r="F679" s="2" t="s">
        <v>42</v>
      </c>
      <c r="G679" s="5">
        <v>2</v>
      </c>
      <c r="H679" s="20">
        <v>10000000</v>
      </c>
      <c r="I679" s="2">
        <v>2</v>
      </c>
      <c r="J679" s="6">
        <v>2.2685185185185182E-3</v>
      </c>
      <c r="K679" s="2" t="s">
        <v>18</v>
      </c>
      <c r="L679" s="2" t="s">
        <v>19</v>
      </c>
      <c r="M679" s="2" t="s">
        <v>25</v>
      </c>
      <c r="N679" s="2" t="s">
        <v>78</v>
      </c>
      <c r="O679" s="2" t="s">
        <v>53</v>
      </c>
    </row>
    <row r="680" spans="1:15" ht="21" customHeight="1" x14ac:dyDescent="0.3">
      <c r="A680" s="17"/>
      <c r="B680" s="12" t="s">
        <v>14</v>
      </c>
      <c r="C680" s="13">
        <v>26</v>
      </c>
      <c r="D680" s="14" t="s">
        <v>37</v>
      </c>
      <c r="E680" s="12" t="s">
        <v>32</v>
      </c>
      <c r="F680" s="12" t="s">
        <v>23</v>
      </c>
      <c r="G680" s="15">
        <v>1</v>
      </c>
      <c r="H680" s="21">
        <v>7000000</v>
      </c>
      <c r="I680" s="12">
        <v>2</v>
      </c>
      <c r="J680" s="16">
        <v>2.2685185185185182E-3</v>
      </c>
      <c r="K680" s="12" t="s">
        <v>18</v>
      </c>
      <c r="L680" s="12" t="s">
        <v>29</v>
      </c>
      <c r="M680" s="12" t="s">
        <v>33</v>
      </c>
      <c r="N680" s="12" t="s">
        <v>76</v>
      </c>
      <c r="O680" s="12" t="s">
        <v>31</v>
      </c>
    </row>
    <row r="681" spans="1:15" ht="21" customHeight="1" x14ac:dyDescent="0.3">
      <c r="A681" s="17"/>
      <c r="B681" s="2" t="s">
        <v>14</v>
      </c>
      <c r="C681" s="3">
        <v>1</v>
      </c>
      <c r="D681" s="4" t="s">
        <v>37</v>
      </c>
      <c r="E681" s="2" t="s">
        <v>38</v>
      </c>
      <c r="F681" s="2" t="s">
        <v>68</v>
      </c>
      <c r="G681" s="5">
        <v>3</v>
      </c>
      <c r="H681" s="20">
        <v>11000000</v>
      </c>
      <c r="I681" s="2">
        <v>3</v>
      </c>
      <c r="J681" s="6">
        <v>2.2685185185185182E-3</v>
      </c>
      <c r="K681" s="2" t="s">
        <v>18</v>
      </c>
      <c r="L681" s="2" t="s">
        <v>19</v>
      </c>
      <c r="M681" s="2" t="s">
        <v>40</v>
      </c>
      <c r="N681" s="2" t="s">
        <v>77</v>
      </c>
      <c r="O681" s="2" t="s">
        <v>65</v>
      </c>
    </row>
    <row r="682" spans="1:15" ht="21" customHeight="1" x14ac:dyDescent="0.3">
      <c r="A682" s="17"/>
      <c r="B682" s="12" t="s">
        <v>14</v>
      </c>
      <c r="C682" s="13">
        <v>12</v>
      </c>
      <c r="D682" s="14" t="s">
        <v>44</v>
      </c>
      <c r="E682" s="12" t="s">
        <v>49</v>
      </c>
      <c r="F682" s="12" t="s">
        <v>17</v>
      </c>
      <c r="G682" s="15">
        <v>5</v>
      </c>
      <c r="H682" s="21">
        <v>25000000</v>
      </c>
      <c r="I682" s="12">
        <v>4</v>
      </c>
      <c r="J682" s="16">
        <v>2.2685185185185182E-3</v>
      </c>
      <c r="K682" s="12" t="s">
        <v>18</v>
      </c>
      <c r="L682" s="12" t="s">
        <v>24</v>
      </c>
      <c r="M682" s="12" t="s">
        <v>43</v>
      </c>
      <c r="N682" s="12" t="s">
        <v>76</v>
      </c>
      <c r="O682" s="12" t="s">
        <v>31</v>
      </c>
    </row>
    <row r="683" spans="1:15" ht="21" customHeight="1" x14ac:dyDescent="0.3">
      <c r="A683" s="17"/>
      <c r="B683" s="2" t="s">
        <v>14</v>
      </c>
      <c r="C683" s="3">
        <v>12</v>
      </c>
      <c r="D683" s="4" t="s">
        <v>55</v>
      </c>
      <c r="E683" s="2" t="s">
        <v>16</v>
      </c>
      <c r="F683" s="2" t="s">
        <v>23</v>
      </c>
      <c r="G683" s="5">
        <v>5</v>
      </c>
      <c r="H683" s="20">
        <v>25000000</v>
      </c>
      <c r="I683" s="2">
        <v>1</v>
      </c>
      <c r="J683" s="6">
        <v>2.2685185185185182E-3</v>
      </c>
      <c r="K683" s="2" t="s">
        <v>18</v>
      </c>
      <c r="L683" s="2" t="s">
        <v>24</v>
      </c>
      <c r="M683" s="2" t="s">
        <v>30</v>
      </c>
      <c r="N683" s="2" t="s">
        <v>76</v>
      </c>
      <c r="O683" s="2" t="s">
        <v>52</v>
      </c>
    </row>
    <row r="684" spans="1:15" ht="21" customHeight="1" x14ac:dyDescent="0.3">
      <c r="A684" s="17"/>
      <c r="B684" s="12" t="s">
        <v>14</v>
      </c>
      <c r="C684" s="13">
        <v>1</v>
      </c>
      <c r="D684" s="14" t="s">
        <v>60</v>
      </c>
      <c r="E684" s="12" t="s">
        <v>16</v>
      </c>
      <c r="F684" s="12" t="s">
        <v>23</v>
      </c>
      <c r="G684" s="15">
        <v>4</v>
      </c>
      <c r="H684" s="21">
        <v>20000000</v>
      </c>
      <c r="I684" s="12">
        <v>4</v>
      </c>
      <c r="J684" s="16">
        <v>2.2685185185185182E-3</v>
      </c>
      <c r="K684" s="12" t="s">
        <v>61</v>
      </c>
      <c r="L684" s="12" t="s">
        <v>39</v>
      </c>
      <c r="M684" s="12" t="s">
        <v>33</v>
      </c>
      <c r="N684" s="12" t="s">
        <v>66</v>
      </c>
      <c r="O684" s="12" t="s">
        <v>67</v>
      </c>
    </row>
    <row r="685" spans="1:15" ht="21" customHeight="1" x14ac:dyDescent="0.3">
      <c r="A685" s="17"/>
      <c r="B685" s="2" t="s">
        <v>14</v>
      </c>
      <c r="C685" s="3">
        <v>28</v>
      </c>
      <c r="D685" s="4" t="s">
        <v>60</v>
      </c>
      <c r="E685" s="2" t="s">
        <v>49</v>
      </c>
      <c r="F685" s="2" t="s">
        <v>17</v>
      </c>
      <c r="G685" s="5">
        <v>4</v>
      </c>
      <c r="H685" s="20">
        <v>15000000</v>
      </c>
      <c r="I685" s="2">
        <v>2</v>
      </c>
      <c r="J685" s="6">
        <v>2.2685185185185182E-3</v>
      </c>
      <c r="K685" s="2" t="s">
        <v>18</v>
      </c>
      <c r="L685" s="2" t="s">
        <v>29</v>
      </c>
      <c r="M685" s="2" t="s">
        <v>48</v>
      </c>
      <c r="N685" s="2" t="s">
        <v>66</v>
      </c>
      <c r="O685" s="2" t="s">
        <v>67</v>
      </c>
    </row>
    <row r="686" spans="1:15" ht="21" customHeight="1" x14ac:dyDescent="0.3">
      <c r="A686" s="17"/>
      <c r="B686" s="12" t="s">
        <v>70</v>
      </c>
      <c r="C686" s="13">
        <v>9</v>
      </c>
      <c r="D686" s="14" t="s">
        <v>60</v>
      </c>
      <c r="E686" s="12" t="s">
        <v>16</v>
      </c>
      <c r="F686" s="12" t="s">
        <v>17</v>
      </c>
      <c r="G686" s="15">
        <v>0</v>
      </c>
      <c r="H686" s="21">
        <v>0</v>
      </c>
      <c r="I686" s="12">
        <v>3</v>
      </c>
      <c r="J686" s="16">
        <v>2.2685185185185182E-3</v>
      </c>
      <c r="K686" s="12"/>
      <c r="L686" s="12"/>
      <c r="M686" s="12" t="s">
        <v>43</v>
      </c>
      <c r="N686" s="12" t="s">
        <v>78</v>
      </c>
      <c r="O686" s="12" t="s">
        <v>66</v>
      </c>
    </row>
    <row r="687" spans="1:15" ht="21" customHeight="1" x14ac:dyDescent="0.3">
      <c r="A687" s="17"/>
      <c r="B687" s="2" t="s">
        <v>70</v>
      </c>
      <c r="C687" s="3">
        <v>17</v>
      </c>
      <c r="D687" s="4" t="s">
        <v>27</v>
      </c>
      <c r="E687" s="2" t="s">
        <v>28</v>
      </c>
      <c r="F687" s="2" t="s">
        <v>17</v>
      </c>
      <c r="G687" s="5">
        <v>0</v>
      </c>
      <c r="H687" s="20">
        <v>0</v>
      </c>
      <c r="I687" s="2">
        <v>2</v>
      </c>
      <c r="J687" s="6">
        <v>2.2685185185185182E-3</v>
      </c>
      <c r="K687" s="2"/>
      <c r="L687" s="2"/>
      <c r="M687" s="2" t="s">
        <v>51</v>
      </c>
      <c r="N687" s="2" t="s">
        <v>77</v>
      </c>
      <c r="O687" s="2" t="s">
        <v>54</v>
      </c>
    </row>
    <row r="688" spans="1:15" ht="21" customHeight="1" x14ac:dyDescent="0.3">
      <c r="A688" s="17"/>
      <c r="B688" s="12" t="s">
        <v>70</v>
      </c>
      <c r="C688" s="13">
        <v>11</v>
      </c>
      <c r="D688" s="14" t="s">
        <v>44</v>
      </c>
      <c r="E688" s="12" t="s">
        <v>73</v>
      </c>
      <c r="F688" s="12" t="s">
        <v>42</v>
      </c>
      <c r="G688" s="15">
        <v>0</v>
      </c>
      <c r="H688" s="21">
        <v>0</v>
      </c>
      <c r="I688" s="12">
        <v>3</v>
      </c>
      <c r="J688" s="16">
        <v>2.2685185185185182E-3</v>
      </c>
      <c r="K688" s="12"/>
      <c r="L688" s="12"/>
      <c r="M688" s="12" t="s">
        <v>40</v>
      </c>
      <c r="N688" s="12" t="s">
        <v>76</v>
      </c>
      <c r="O688" s="12" t="s">
        <v>26</v>
      </c>
    </row>
    <row r="689" spans="1:15" ht="21" customHeight="1" x14ac:dyDescent="0.3">
      <c r="A689" s="17"/>
      <c r="B689" s="2" t="s">
        <v>70</v>
      </c>
      <c r="C689" s="3">
        <v>9</v>
      </c>
      <c r="D689" s="4" t="s">
        <v>60</v>
      </c>
      <c r="E689" s="2" t="s">
        <v>16</v>
      </c>
      <c r="F689" s="2" t="s">
        <v>17</v>
      </c>
      <c r="G689" s="5">
        <v>0</v>
      </c>
      <c r="H689" s="20">
        <v>0</v>
      </c>
      <c r="I689" s="2">
        <v>3</v>
      </c>
      <c r="J689" s="6">
        <v>2.2685185185185182E-3</v>
      </c>
      <c r="K689" s="2"/>
      <c r="L689" s="2"/>
      <c r="M689" s="2" t="s">
        <v>43</v>
      </c>
      <c r="N689" s="2" t="s">
        <v>78</v>
      </c>
      <c r="O689" s="2" t="s">
        <v>66</v>
      </c>
    </row>
    <row r="690" spans="1:15" ht="21" customHeight="1" x14ac:dyDescent="0.3">
      <c r="A690" s="17"/>
      <c r="B690" s="12" t="s">
        <v>14</v>
      </c>
      <c r="C690" s="13">
        <v>3</v>
      </c>
      <c r="D690" s="14" t="s">
        <v>22</v>
      </c>
      <c r="E690" s="12" t="s">
        <v>32</v>
      </c>
      <c r="F690" s="12" t="s">
        <v>42</v>
      </c>
      <c r="G690" s="15">
        <v>1</v>
      </c>
      <c r="H690" s="21">
        <v>19000000</v>
      </c>
      <c r="I690" s="12">
        <v>2</v>
      </c>
      <c r="J690" s="16">
        <v>2.2800925925925927E-3</v>
      </c>
      <c r="K690" s="12" t="s">
        <v>46</v>
      </c>
      <c r="L690" s="12" t="s">
        <v>35</v>
      </c>
      <c r="M690" s="12" t="s">
        <v>43</v>
      </c>
      <c r="N690" s="12" t="s">
        <v>66</v>
      </c>
      <c r="O690" s="12" t="s">
        <v>36</v>
      </c>
    </row>
    <row r="691" spans="1:15" ht="21" customHeight="1" x14ac:dyDescent="0.3">
      <c r="A691" s="17"/>
      <c r="B691" s="2" t="s">
        <v>14</v>
      </c>
      <c r="C691" s="3">
        <v>30</v>
      </c>
      <c r="D691" s="4" t="s">
        <v>22</v>
      </c>
      <c r="E691" s="2" t="s">
        <v>32</v>
      </c>
      <c r="F691" s="2" t="s">
        <v>23</v>
      </c>
      <c r="G691" s="5">
        <v>2</v>
      </c>
      <c r="H691" s="20">
        <v>12000000</v>
      </c>
      <c r="I691" s="2">
        <v>2</v>
      </c>
      <c r="J691" s="6">
        <v>2.2800925925925927E-3</v>
      </c>
      <c r="K691" s="2" t="s">
        <v>18</v>
      </c>
      <c r="L691" s="2" t="s">
        <v>29</v>
      </c>
      <c r="M691" s="2" t="s">
        <v>30</v>
      </c>
      <c r="N691" s="2" t="s">
        <v>76</v>
      </c>
      <c r="O691" s="2" t="s">
        <v>31</v>
      </c>
    </row>
    <row r="692" spans="1:15" ht="21" customHeight="1" x14ac:dyDescent="0.3">
      <c r="A692" s="17"/>
      <c r="B692" s="12" t="s">
        <v>14</v>
      </c>
      <c r="C692" s="13">
        <v>21</v>
      </c>
      <c r="D692" s="14" t="s">
        <v>27</v>
      </c>
      <c r="E692" s="12" t="s">
        <v>16</v>
      </c>
      <c r="F692" s="12" t="s">
        <v>45</v>
      </c>
      <c r="G692" s="15">
        <v>3</v>
      </c>
      <c r="H692" s="21">
        <v>15000000</v>
      </c>
      <c r="I692" s="12">
        <v>1</v>
      </c>
      <c r="J692" s="16">
        <v>2.2800925925925927E-3</v>
      </c>
      <c r="K692" s="12" t="s">
        <v>18</v>
      </c>
      <c r="L692" s="12" t="s">
        <v>29</v>
      </c>
      <c r="M692" s="12" t="s">
        <v>33</v>
      </c>
      <c r="N692" s="12" t="s">
        <v>77</v>
      </c>
      <c r="O692" s="12" t="s">
        <v>65</v>
      </c>
    </row>
    <row r="693" spans="1:15" ht="21" customHeight="1" x14ac:dyDescent="0.3">
      <c r="A693" s="17"/>
      <c r="B693" s="2" t="s">
        <v>14</v>
      </c>
      <c r="C693" s="3">
        <v>31</v>
      </c>
      <c r="D693" s="4" t="s">
        <v>37</v>
      </c>
      <c r="E693" s="2" t="s">
        <v>38</v>
      </c>
      <c r="F693" s="2" t="s">
        <v>23</v>
      </c>
      <c r="G693" s="5">
        <v>3</v>
      </c>
      <c r="H693" s="20">
        <v>15000000</v>
      </c>
      <c r="I693" s="2">
        <v>2</v>
      </c>
      <c r="J693" s="6">
        <v>2.2800925925925927E-3</v>
      </c>
      <c r="K693" s="2" t="s">
        <v>18</v>
      </c>
      <c r="L693" s="2" t="s">
        <v>19</v>
      </c>
      <c r="M693" s="2" t="s">
        <v>20</v>
      </c>
      <c r="N693" s="2" t="s">
        <v>66</v>
      </c>
      <c r="O693" s="2" t="s">
        <v>67</v>
      </c>
    </row>
    <row r="694" spans="1:15" ht="21" customHeight="1" x14ac:dyDescent="0.3">
      <c r="A694" s="17"/>
      <c r="B694" s="12" t="s">
        <v>14</v>
      </c>
      <c r="C694" s="13">
        <v>27</v>
      </c>
      <c r="D694" s="14" t="s">
        <v>37</v>
      </c>
      <c r="E694" s="12" t="s">
        <v>16</v>
      </c>
      <c r="F694" s="12" t="s">
        <v>23</v>
      </c>
      <c r="G694" s="15">
        <v>2</v>
      </c>
      <c r="H694" s="21">
        <v>12000000</v>
      </c>
      <c r="I694" s="12">
        <v>5</v>
      </c>
      <c r="J694" s="16">
        <v>2.2800925925925927E-3</v>
      </c>
      <c r="K694" s="12" t="s">
        <v>18</v>
      </c>
      <c r="L694" s="12" t="s">
        <v>24</v>
      </c>
      <c r="M694" s="12" t="s">
        <v>48</v>
      </c>
      <c r="N694" s="12" t="s">
        <v>78</v>
      </c>
      <c r="O694" s="12" t="s">
        <v>21</v>
      </c>
    </row>
    <row r="695" spans="1:15" ht="21" customHeight="1" x14ac:dyDescent="0.3">
      <c r="A695" s="17"/>
      <c r="B695" s="2" t="s">
        <v>14</v>
      </c>
      <c r="C695" s="3">
        <v>30</v>
      </c>
      <c r="D695" s="4" t="s">
        <v>44</v>
      </c>
      <c r="E695" s="2" t="s">
        <v>16</v>
      </c>
      <c r="F695" s="2" t="s">
        <v>23</v>
      </c>
      <c r="G695" s="5">
        <v>5</v>
      </c>
      <c r="H695" s="20">
        <v>20000000</v>
      </c>
      <c r="I695" s="2">
        <v>2</v>
      </c>
      <c r="J695" s="6">
        <v>2.2800925925925927E-3</v>
      </c>
      <c r="K695" s="2" t="s">
        <v>18</v>
      </c>
      <c r="L695" s="2" t="s">
        <v>19</v>
      </c>
      <c r="M695" s="2" t="s">
        <v>40</v>
      </c>
      <c r="N695" s="2" t="s">
        <v>66</v>
      </c>
      <c r="O695" s="2" t="s">
        <v>36</v>
      </c>
    </row>
    <row r="696" spans="1:15" ht="21" customHeight="1" x14ac:dyDescent="0.3">
      <c r="A696" s="17"/>
      <c r="B696" s="12" t="s">
        <v>14</v>
      </c>
      <c r="C696" s="13">
        <v>20</v>
      </c>
      <c r="D696" s="14" t="s">
        <v>44</v>
      </c>
      <c r="E696" s="12" t="s">
        <v>16</v>
      </c>
      <c r="F696" s="12" t="s">
        <v>17</v>
      </c>
      <c r="G696" s="15">
        <v>3</v>
      </c>
      <c r="H696" s="21">
        <v>15000000</v>
      </c>
      <c r="I696" s="12">
        <v>5</v>
      </c>
      <c r="J696" s="16">
        <v>2.2800925925925927E-3</v>
      </c>
      <c r="K696" s="12" t="s">
        <v>18</v>
      </c>
      <c r="L696" s="12" t="s">
        <v>29</v>
      </c>
      <c r="M696" s="12" t="s">
        <v>43</v>
      </c>
      <c r="N696" s="12" t="s">
        <v>78</v>
      </c>
      <c r="O696" s="12" t="s">
        <v>63</v>
      </c>
    </row>
    <row r="697" spans="1:15" ht="21" customHeight="1" x14ac:dyDescent="0.3">
      <c r="A697" s="17"/>
      <c r="B697" s="2" t="s">
        <v>14</v>
      </c>
      <c r="C697" s="3">
        <v>4</v>
      </c>
      <c r="D697" s="4" t="s">
        <v>44</v>
      </c>
      <c r="E697" s="2" t="s">
        <v>38</v>
      </c>
      <c r="F697" s="2" t="s">
        <v>23</v>
      </c>
      <c r="G697" s="5">
        <v>1</v>
      </c>
      <c r="H697" s="20">
        <v>7000000</v>
      </c>
      <c r="I697" s="2">
        <v>2</v>
      </c>
      <c r="J697" s="6">
        <v>2.2800925925925927E-3</v>
      </c>
      <c r="K697" s="2" t="s">
        <v>18</v>
      </c>
      <c r="L697" s="2" t="s">
        <v>39</v>
      </c>
      <c r="M697" s="2" t="s">
        <v>25</v>
      </c>
      <c r="N697" s="2" t="s">
        <v>76</v>
      </c>
      <c r="O697" s="2" t="s">
        <v>26</v>
      </c>
    </row>
    <row r="698" spans="1:15" ht="21" customHeight="1" x14ac:dyDescent="0.3">
      <c r="A698" s="17"/>
      <c r="B698" s="12" t="s">
        <v>14</v>
      </c>
      <c r="C698" s="13">
        <v>3</v>
      </c>
      <c r="D698" s="14" t="s">
        <v>22</v>
      </c>
      <c r="E698" s="12" t="s">
        <v>32</v>
      </c>
      <c r="F698" s="12" t="s">
        <v>42</v>
      </c>
      <c r="G698" s="15">
        <v>1</v>
      </c>
      <c r="H698" s="21">
        <v>19000000</v>
      </c>
      <c r="I698" s="12">
        <v>2</v>
      </c>
      <c r="J698" s="16">
        <v>2.2800925925925927E-3</v>
      </c>
      <c r="K698" s="12" t="s">
        <v>46</v>
      </c>
      <c r="L698" s="12" t="s">
        <v>35</v>
      </c>
      <c r="M698" s="12" t="s">
        <v>43</v>
      </c>
      <c r="N698" s="12" t="s">
        <v>66</v>
      </c>
      <c r="O698" s="12" t="s">
        <v>36</v>
      </c>
    </row>
    <row r="699" spans="1:15" ht="21" customHeight="1" x14ac:dyDescent="0.3">
      <c r="A699" s="17"/>
      <c r="B699" s="2" t="s">
        <v>14</v>
      </c>
      <c r="C699" s="3">
        <v>30</v>
      </c>
      <c r="D699" s="4" t="s">
        <v>22</v>
      </c>
      <c r="E699" s="2" t="s">
        <v>32</v>
      </c>
      <c r="F699" s="2" t="s">
        <v>23</v>
      </c>
      <c r="G699" s="5">
        <v>2</v>
      </c>
      <c r="H699" s="20">
        <v>12000000</v>
      </c>
      <c r="I699" s="2">
        <v>2</v>
      </c>
      <c r="J699" s="6">
        <v>2.2800925925925927E-3</v>
      </c>
      <c r="K699" s="2" t="s">
        <v>18</v>
      </c>
      <c r="L699" s="2" t="s">
        <v>29</v>
      </c>
      <c r="M699" s="2" t="s">
        <v>30</v>
      </c>
      <c r="N699" s="2" t="s">
        <v>76</v>
      </c>
      <c r="O699" s="2" t="s">
        <v>31</v>
      </c>
    </row>
    <row r="700" spans="1:15" ht="21" customHeight="1" x14ac:dyDescent="0.3">
      <c r="A700" s="17"/>
      <c r="B700" s="12" t="s">
        <v>70</v>
      </c>
      <c r="C700" s="13">
        <v>14</v>
      </c>
      <c r="D700" s="14" t="s">
        <v>37</v>
      </c>
      <c r="E700" s="12" t="s">
        <v>49</v>
      </c>
      <c r="F700" s="12" t="s">
        <v>42</v>
      </c>
      <c r="G700" s="15">
        <v>0</v>
      </c>
      <c r="H700" s="21">
        <v>0</v>
      </c>
      <c r="I700" s="12">
        <v>4</v>
      </c>
      <c r="J700" s="16">
        <v>2.2800925925925927E-3</v>
      </c>
      <c r="K700" s="12"/>
      <c r="L700" s="12"/>
      <c r="M700" s="12" t="s">
        <v>25</v>
      </c>
      <c r="N700" s="12" t="s">
        <v>78</v>
      </c>
      <c r="O700" s="12" t="s">
        <v>53</v>
      </c>
    </row>
    <row r="701" spans="1:15" ht="21" customHeight="1" x14ac:dyDescent="0.3">
      <c r="A701" s="17"/>
      <c r="B701" s="2" t="s">
        <v>70</v>
      </c>
      <c r="C701" s="3">
        <v>5</v>
      </c>
      <c r="D701" s="4" t="s">
        <v>37</v>
      </c>
      <c r="E701" s="2" t="s">
        <v>28</v>
      </c>
      <c r="F701" s="2" t="s">
        <v>23</v>
      </c>
      <c r="G701" s="5">
        <v>0</v>
      </c>
      <c r="H701" s="20">
        <v>0</v>
      </c>
      <c r="I701" s="2">
        <v>1</v>
      </c>
      <c r="J701" s="6">
        <v>2.2800925925925927E-3</v>
      </c>
      <c r="K701" s="2"/>
      <c r="L701" s="2"/>
      <c r="M701" s="2" t="s">
        <v>51</v>
      </c>
      <c r="N701" s="2" t="s">
        <v>76</v>
      </c>
      <c r="O701" s="2" t="s">
        <v>71</v>
      </c>
    </row>
    <row r="702" spans="1:15" ht="21" customHeight="1" x14ac:dyDescent="0.3">
      <c r="A702" s="17"/>
      <c r="B702" s="12" t="s">
        <v>70</v>
      </c>
      <c r="C702" s="13">
        <v>2</v>
      </c>
      <c r="D702" s="14" t="s">
        <v>69</v>
      </c>
      <c r="E702" s="12" t="s">
        <v>49</v>
      </c>
      <c r="F702" s="12" t="s">
        <v>42</v>
      </c>
      <c r="G702" s="15">
        <v>0</v>
      </c>
      <c r="H702" s="21">
        <v>0</v>
      </c>
      <c r="I702" s="12">
        <v>3</v>
      </c>
      <c r="J702" s="16">
        <v>2.2800925925925927E-3</v>
      </c>
      <c r="K702" s="12"/>
      <c r="L702" s="12"/>
      <c r="M702" s="12" t="s">
        <v>30</v>
      </c>
      <c r="N702" s="12" t="s">
        <v>78</v>
      </c>
      <c r="O702" s="12" t="s">
        <v>53</v>
      </c>
    </row>
    <row r="703" spans="1:15" ht="21" customHeight="1" x14ac:dyDescent="0.3">
      <c r="A703" s="17"/>
      <c r="B703" s="2" t="s">
        <v>70</v>
      </c>
      <c r="C703" s="3">
        <v>30</v>
      </c>
      <c r="D703" s="4" t="s">
        <v>69</v>
      </c>
      <c r="E703" s="2" t="s">
        <v>38</v>
      </c>
      <c r="F703" s="2" t="s">
        <v>23</v>
      </c>
      <c r="G703" s="5">
        <v>0</v>
      </c>
      <c r="H703" s="20">
        <v>0</v>
      </c>
      <c r="I703" s="2">
        <v>2</v>
      </c>
      <c r="J703" s="6">
        <v>2.2800925925925927E-3</v>
      </c>
      <c r="K703" s="2"/>
      <c r="L703" s="2"/>
      <c r="M703" s="2" t="s">
        <v>30</v>
      </c>
      <c r="N703" s="2" t="s">
        <v>77</v>
      </c>
      <c r="O703" s="2" t="s">
        <v>54</v>
      </c>
    </row>
    <row r="704" spans="1:15" ht="21" customHeight="1" x14ac:dyDescent="0.3">
      <c r="A704" s="17"/>
      <c r="B704" s="12" t="s">
        <v>70</v>
      </c>
      <c r="C704" s="13">
        <v>10</v>
      </c>
      <c r="D704" s="14" t="s">
        <v>69</v>
      </c>
      <c r="E704" s="12" t="s">
        <v>28</v>
      </c>
      <c r="F704" s="12" t="s">
        <v>42</v>
      </c>
      <c r="G704" s="15">
        <v>0</v>
      </c>
      <c r="H704" s="21">
        <v>0</v>
      </c>
      <c r="I704" s="12">
        <v>1</v>
      </c>
      <c r="J704" s="16">
        <v>2.2800925925925927E-3</v>
      </c>
      <c r="K704" s="12"/>
      <c r="L704" s="12"/>
      <c r="M704" s="12" t="s">
        <v>33</v>
      </c>
      <c r="N704" s="12" t="s">
        <v>77</v>
      </c>
      <c r="O704" s="12" t="s">
        <v>34</v>
      </c>
    </row>
    <row r="705" spans="1:15" ht="21" customHeight="1" x14ac:dyDescent="0.3">
      <c r="A705" s="17"/>
      <c r="B705" s="2" t="s">
        <v>14</v>
      </c>
      <c r="C705" s="3">
        <v>1</v>
      </c>
      <c r="D705" s="4" t="s">
        <v>55</v>
      </c>
      <c r="E705" s="2" t="s">
        <v>49</v>
      </c>
      <c r="F705" s="2" t="s">
        <v>23</v>
      </c>
      <c r="G705" s="5">
        <v>1</v>
      </c>
      <c r="H705" s="20">
        <v>7000000</v>
      </c>
      <c r="I705" s="2">
        <v>3</v>
      </c>
      <c r="J705" s="6">
        <v>2.4305555555555556E-3</v>
      </c>
      <c r="K705" s="2" t="s">
        <v>18</v>
      </c>
      <c r="L705" s="2" t="s">
        <v>50</v>
      </c>
      <c r="M705" s="2" t="s">
        <v>48</v>
      </c>
      <c r="N705" s="2" t="s">
        <v>78</v>
      </c>
      <c r="O705" s="2" t="s">
        <v>41</v>
      </c>
    </row>
    <row r="706" spans="1:15" ht="21" customHeight="1" x14ac:dyDescent="0.3">
      <c r="A706" s="17"/>
      <c r="B706" s="12" t="s">
        <v>14</v>
      </c>
      <c r="C706" s="13">
        <v>11</v>
      </c>
      <c r="D706" s="14" t="s">
        <v>57</v>
      </c>
      <c r="E706" s="12" t="s">
        <v>38</v>
      </c>
      <c r="F706" s="12" t="s">
        <v>23</v>
      </c>
      <c r="G706" s="15">
        <v>4</v>
      </c>
      <c r="H706" s="21">
        <v>20000000</v>
      </c>
      <c r="I706" s="12">
        <v>2</v>
      </c>
      <c r="J706" s="16">
        <v>2.4305555555555556E-3</v>
      </c>
      <c r="K706" s="12" t="s">
        <v>61</v>
      </c>
      <c r="L706" s="12" t="s">
        <v>29</v>
      </c>
      <c r="M706" s="12" t="s">
        <v>51</v>
      </c>
      <c r="N706" s="12" t="s">
        <v>76</v>
      </c>
      <c r="O706" s="12" t="s">
        <v>71</v>
      </c>
    </row>
    <row r="707" spans="1:15" ht="21" customHeight="1" x14ac:dyDescent="0.3">
      <c r="A707" s="17"/>
      <c r="B707" s="2" t="s">
        <v>14</v>
      </c>
      <c r="C707" s="3">
        <v>25</v>
      </c>
      <c r="D707" s="4" t="s">
        <v>22</v>
      </c>
      <c r="E707" s="2" t="s">
        <v>16</v>
      </c>
      <c r="F707" s="2" t="s">
        <v>17</v>
      </c>
      <c r="G707" s="5">
        <v>3</v>
      </c>
      <c r="H707" s="20">
        <v>15000000</v>
      </c>
      <c r="I707" s="2">
        <v>1</v>
      </c>
      <c r="J707" s="6">
        <v>2.4305555555555556E-3</v>
      </c>
      <c r="K707" s="2" t="s">
        <v>18</v>
      </c>
      <c r="L707" s="2" t="s">
        <v>19</v>
      </c>
      <c r="M707" s="2" t="s">
        <v>25</v>
      </c>
      <c r="N707" s="2" t="s">
        <v>66</v>
      </c>
      <c r="O707" s="2" t="s">
        <v>67</v>
      </c>
    </row>
    <row r="708" spans="1:15" ht="21" customHeight="1" x14ac:dyDescent="0.3">
      <c r="A708" s="17"/>
      <c r="B708" s="12" t="s">
        <v>14</v>
      </c>
      <c r="C708" s="13">
        <v>17</v>
      </c>
      <c r="D708" s="14" t="s">
        <v>27</v>
      </c>
      <c r="E708" s="12" t="s">
        <v>73</v>
      </c>
      <c r="F708" s="12" t="s">
        <v>17</v>
      </c>
      <c r="G708" s="15">
        <v>3</v>
      </c>
      <c r="H708" s="21">
        <v>11000000</v>
      </c>
      <c r="I708" s="12">
        <v>4</v>
      </c>
      <c r="J708" s="16">
        <v>2.4305555555555556E-3</v>
      </c>
      <c r="K708" s="12" t="s">
        <v>18</v>
      </c>
      <c r="L708" s="12" t="s">
        <v>19</v>
      </c>
      <c r="M708" s="12" t="s">
        <v>25</v>
      </c>
      <c r="N708" s="12" t="s">
        <v>66</v>
      </c>
      <c r="O708" s="12" t="s">
        <v>67</v>
      </c>
    </row>
    <row r="709" spans="1:15" ht="21" customHeight="1" x14ac:dyDescent="0.3">
      <c r="A709" s="17"/>
      <c r="B709" s="2" t="s">
        <v>14</v>
      </c>
      <c r="C709" s="3">
        <v>30</v>
      </c>
      <c r="D709" s="4" t="s">
        <v>27</v>
      </c>
      <c r="E709" s="2" t="s">
        <v>16</v>
      </c>
      <c r="F709" s="2" t="s">
        <v>23</v>
      </c>
      <c r="G709" s="5">
        <v>5</v>
      </c>
      <c r="H709" s="20">
        <v>25000000</v>
      </c>
      <c r="I709" s="2">
        <v>3</v>
      </c>
      <c r="J709" s="6">
        <v>2.4305555555555556E-3</v>
      </c>
      <c r="K709" s="2" t="s">
        <v>18</v>
      </c>
      <c r="L709" s="2" t="s">
        <v>19</v>
      </c>
      <c r="M709" s="2" t="s">
        <v>33</v>
      </c>
      <c r="N709" s="2" t="s">
        <v>78</v>
      </c>
      <c r="O709" s="2" t="s">
        <v>41</v>
      </c>
    </row>
    <row r="710" spans="1:15" ht="21" customHeight="1" x14ac:dyDescent="0.3">
      <c r="A710" s="17"/>
      <c r="B710" s="12" t="s">
        <v>14</v>
      </c>
      <c r="C710" s="13">
        <v>22</v>
      </c>
      <c r="D710" s="14" t="s">
        <v>37</v>
      </c>
      <c r="E710" s="12" t="s">
        <v>16</v>
      </c>
      <c r="F710" s="12" t="s">
        <v>42</v>
      </c>
      <c r="G710" s="15">
        <v>2</v>
      </c>
      <c r="H710" s="21">
        <v>38000000</v>
      </c>
      <c r="I710" s="12">
        <v>6</v>
      </c>
      <c r="J710" s="16">
        <v>2.4305555555555556E-3</v>
      </c>
      <c r="K710" s="12" t="s">
        <v>46</v>
      </c>
      <c r="L710" s="12" t="s">
        <v>29</v>
      </c>
      <c r="M710" s="12" t="s">
        <v>43</v>
      </c>
      <c r="N710" s="12" t="s">
        <v>78</v>
      </c>
      <c r="O710" s="12" t="s">
        <v>66</v>
      </c>
    </row>
    <row r="711" spans="1:15" ht="21" customHeight="1" x14ac:dyDescent="0.3">
      <c r="A711" s="17"/>
      <c r="B711" s="2" t="s">
        <v>14</v>
      </c>
      <c r="C711" s="3">
        <v>7</v>
      </c>
      <c r="D711" s="4" t="s">
        <v>37</v>
      </c>
      <c r="E711" s="2" t="s">
        <v>16</v>
      </c>
      <c r="F711" s="2" t="s">
        <v>42</v>
      </c>
      <c r="G711" s="5">
        <v>2</v>
      </c>
      <c r="H711" s="20">
        <v>10000000</v>
      </c>
      <c r="I711" s="2">
        <v>5</v>
      </c>
      <c r="J711" s="6">
        <v>2.4305555555555556E-3</v>
      </c>
      <c r="K711" s="2" t="s">
        <v>18</v>
      </c>
      <c r="L711" s="2" t="s">
        <v>29</v>
      </c>
      <c r="M711" s="2" t="s">
        <v>30</v>
      </c>
      <c r="N711" s="2" t="s">
        <v>76</v>
      </c>
      <c r="O711" s="2" t="s">
        <v>31</v>
      </c>
    </row>
    <row r="712" spans="1:15" ht="21" customHeight="1" x14ac:dyDescent="0.3">
      <c r="A712" s="17"/>
      <c r="B712" s="12" t="s">
        <v>14</v>
      </c>
      <c r="C712" s="13">
        <v>8</v>
      </c>
      <c r="D712" s="14" t="s">
        <v>37</v>
      </c>
      <c r="E712" s="12" t="s">
        <v>16</v>
      </c>
      <c r="F712" s="12" t="s">
        <v>42</v>
      </c>
      <c r="G712" s="15">
        <v>3</v>
      </c>
      <c r="H712" s="21">
        <v>12000000</v>
      </c>
      <c r="I712" s="12">
        <v>3</v>
      </c>
      <c r="J712" s="16">
        <v>2.4305555555555556E-3</v>
      </c>
      <c r="K712" s="12" t="s">
        <v>18</v>
      </c>
      <c r="L712" s="12" t="s">
        <v>56</v>
      </c>
      <c r="M712" s="12" t="s">
        <v>30</v>
      </c>
      <c r="N712" s="12" t="s">
        <v>77</v>
      </c>
      <c r="O712" s="12" t="s">
        <v>54</v>
      </c>
    </row>
    <row r="713" spans="1:15" ht="21" customHeight="1" x14ac:dyDescent="0.3">
      <c r="A713" s="17"/>
      <c r="B713" s="2" t="s">
        <v>14</v>
      </c>
      <c r="C713" s="3">
        <v>19</v>
      </c>
      <c r="D713" s="4" t="s">
        <v>37</v>
      </c>
      <c r="E713" s="2" t="s">
        <v>28</v>
      </c>
      <c r="F713" s="2" t="s">
        <v>68</v>
      </c>
      <c r="G713" s="5">
        <v>4</v>
      </c>
      <c r="H713" s="20">
        <v>20000000</v>
      </c>
      <c r="I713" s="2">
        <v>1</v>
      </c>
      <c r="J713" s="6">
        <v>2.4305555555555556E-3</v>
      </c>
      <c r="K713" s="2" t="s">
        <v>18</v>
      </c>
      <c r="L713" s="2" t="s">
        <v>56</v>
      </c>
      <c r="M713" s="2" t="s">
        <v>40</v>
      </c>
      <c r="N713" s="2" t="s">
        <v>76</v>
      </c>
      <c r="O713" s="2" t="s">
        <v>75</v>
      </c>
    </row>
    <row r="714" spans="1:15" ht="21" customHeight="1" x14ac:dyDescent="0.3">
      <c r="A714" s="17"/>
      <c r="B714" s="12" t="s">
        <v>14</v>
      </c>
      <c r="C714" s="13">
        <v>28</v>
      </c>
      <c r="D714" s="14" t="s">
        <v>37</v>
      </c>
      <c r="E714" s="12" t="s">
        <v>38</v>
      </c>
      <c r="F714" s="12" t="s">
        <v>42</v>
      </c>
      <c r="G714" s="15">
        <v>2</v>
      </c>
      <c r="H714" s="21">
        <v>12000000</v>
      </c>
      <c r="I714" s="12">
        <v>3</v>
      </c>
      <c r="J714" s="16">
        <v>2.4305555555555556E-3</v>
      </c>
      <c r="K714" s="12" t="s">
        <v>18</v>
      </c>
      <c r="L714" s="12" t="s">
        <v>47</v>
      </c>
      <c r="M714" s="12" t="s">
        <v>43</v>
      </c>
      <c r="N714" s="12" t="s">
        <v>77</v>
      </c>
      <c r="O714" s="12" t="s">
        <v>65</v>
      </c>
    </row>
    <row r="715" spans="1:15" ht="21" customHeight="1" x14ac:dyDescent="0.3">
      <c r="A715" s="17"/>
      <c r="B715" s="2" t="s">
        <v>14</v>
      </c>
      <c r="C715" s="3">
        <v>5</v>
      </c>
      <c r="D715" s="4" t="s">
        <v>44</v>
      </c>
      <c r="E715" s="2" t="s">
        <v>16</v>
      </c>
      <c r="F715" s="2" t="s">
        <v>42</v>
      </c>
      <c r="G715" s="5">
        <v>1</v>
      </c>
      <c r="H715" s="20">
        <v>19000000</v>
      </c>
      <c r="I715" s="2">
        <v>2</v>
      </c>
      <c r="J715" s="6">
        <v>2.4305555555555556E-3</v>
      </c>
      <c r="K715" s="2" t="s">
        <v>46</v>
      </c>
      <c r="L715" s="2" t="s">
        <v>24</v>
      </c>
      <c r="M715" s="2" t="s">
        <v>25</v>
      </c>
      <c r="N715" s="2" t="s">
        <v>76</v>
      </c>
      <c r="O715" s="2" t="s">
        <v>26</v>
      </c>
    </row>
    <row r="716" spans="1:15" ht="21" customHeight="1" x14ac:dyDescent="0.3">
      <c r="A716" s="17"/>
      <c r="B716" s="12" t="s">
        <v>14</v>
      </c>
      <c r="C716" s="13">
        <v>1</v>
      </c>
      <c r="D716" s="14" t="s">
        <v>55</v>
      </c>
      <c r="E716" s="12" t="s">
        <v>49</v>
      </c>
      <c r="F716" s="12" t="s">
        <v>23</v>
      </c>
      <c r="G716" s="15">
        <v>1</v>
      </c>
      <c r="H716" s="21">
        <v>7000000</v>
      </c>
      <c r="I716" s="12">
        <v>3</v>
      </c>
      <c r="J716" s="16">
        <v>2.4305555555555556E-3</v>
      </c>
      <c r="K716" s="12" t="s">
        <v>18</v>
      </c>
      <c r="L716" s="12" t="s">
        <v>50</v>
      </c>
      <c r="M716" s="12" t="s">
        <v>48</v>
      </c>
      <c r="N716" s="12" t="s">
        <v>78</v>
      </c>
      <c r="O716" s="12" t="s">
        <v>41</v>
      </c>
    </row>
    <row r="717" spans="1:15" ht="21" customHeight="1" x14ac:dyDescent="0.3">
      <c r="A717" s="17"/>
      <c r="B717" s="2" t="s">
        <v>14</v>
      </c>
      <c r="C717" s="3">
        <v>11</v>
      </c>
      <c r="D717" s="4" t="s">
        <v>57</v>
      </c>
      <c r="E717" s="2" t="s">
        <v>38</v>
      </c>
      <c r="F717" s="2" t="s">
        <v>23</v>
      </c>
      <c r="G717" s="5">
        <v>4</v>
      </c>
      <c r="H717" s="20">
        <v>20000000</v>
      </c>
      <c r="I717" s="2">
        <v>2</v>
      </c>
      <c r="J717" s="6">
        <v>2.4305555555555556E-3</v>
      </c>
      <c r="K717" s="2" t="s">
        <v>61</v>
      </c>
      <c r="L717" s="2" t="s">
        <v>29</v>
      </c>
      <c r="M717" s="2" t="s">
        <v>51</v>
      </c>
      <c r="N717" s="2" t="s">
        <v>76</v>
      </c>
      <c r="O717" s="2" t="s">
        <v>71</v>
      </c>
    </row>
    <row r="718" spans="1:15" ht="21" customHeight="1" x14ac:dyDescent="0.3">
      <c r="A718" s="17"/>
      <c r="B718" s="12" t="s">
        <v>14</v>
      </c>
      <c r="C718" s="13">
        <v>25</v>
      </c>
      <c r="D718" s="14" t="s">
        <v>22</v>
      </c>
      <c r="E718" s="12" t="s">
        <v>16</v>
      </c>
      <c r="F718" s="12" t="s">
        <v>17</v>
      </c>
      <c r="G718" s="15">
        <v>3</v>
      </c>
      <c r="H718" s="21">
        <v>15000000</v>
      </c>
      <c r="I718" s="12">
        <v>1</v>
      </c>
      <c r="J718" s="16">
        <v>2.4305555555555556E-3</v>
      </c>
      <c r="K718" s="12" t="s">
        <v>18</v>
      </c>
      <c r="L718" s="12" t="s">
        <v>19</v>
      </c>
      <c r="M718" s="12" t="s">
        <v>25</v>
      </c>
      <c r="N718" s="12" t="s">
        <v>66</v>
      </c>
      <c r="O718" s="12" t="s">
        <v>67</v>
      </c>
    </row>
    <row r="719" spans="1:15" ht="21" customHeight="1" x14ac:dyDescent="0.3">
      <c r="A719" s="17"/>
      <c r="B719" s="2" t="s">
        <v>70</v>
      </c>
      <c r="C719" s="3">
        <v>12</v>
      </c>
      <c r="D719" s="4" t="s">
        <v>27</v>
      </c>
      <c r="E719" s="2" t="s">
        <v>32</v>
      </c>
      <c r="F719" s="2" t="s">
        <v>42</v>
      </c>
      <c r="G719" s="5">
        <v>0</v>
      </c>
      <c r="H719" s="20">
        <v>0</v>
      </c>
      <c r="I719" s="2">
        <v>1</v>
      </c>
      <c r="J719" s="6">
        <v>2.4305555555555556E-3</v>
      </c>
      <c r="K719" s="2"/>
      <c r="L719" s="2"/>
      <c r="M719" s="2" t="s">
        <v>30</v>
      </c>
      <c r="N719" s="2" t="s">
        <v>78</v>
      </c>
      <c r="O719" s="2" t="s">
        <v>62</v>
      </c>
    </row>
    <row r="720" spans="1:15" ht="21" customHeight="1" x14ac:dyDescent="0.3">
      <c r="A720" s="17"/>
      <c r="B720" s="12" t="s">
        <v>70</v>
      </c>
      <c r="C720" s="13">
        <v>14</v>
      </c>
      <c r="D720" s="14" t="s">
        <v>69</v>
      </c>
      <c r="E720" s="12" t="s">
        <v>28</v>
      </c>
      <c r="F720" s="12" t="s">
        <v>23</v>
      </c>
      <c r="G720" s="15">
        <v>0</v>
      </c>
      <c r="H720" s="21">
        <v>0</v>
      </c>
      <c r="I720" s="12">
        <v>4</v>
      </c>
      <c r="J720" s="16">
        <v>2.4305555555555556E-3</v>
      </c>
      <c r="K720" s="12"/>
      <c r="L720" s="12"/>
      <c r="M720" s="12" t="s">
        <v>30</v>
      </c>
      <c r="N720" s="12" t="s">
        <v>76</v>
      </c>
      <c r="O720" s="12" t="s">
        <v>31</v>
      </c>
    </row>
    <row r="721" spans="1:15" ht="21" customHeight="1" x14ac:dyDescent="0.3">
      <c r="A721" s="17"/>
      <c r="B721" s="2" t="s">
        <v>14</v>
      </c>
      <c r="C721" s="3">
        <v>11</v>
      </c>
      <c r="D721" s="4" t="s">
        <v>57</v>
      </c>
      <c r="E721" s="2" t="s">
        <v>16</v>
      </c>
      <c r="F721" s="2" t="s">
        <v>68</v>
      </c>
      <c r="G721" s="5">
        <v>3</v>
      </c>
      <c r="H721" s="20">
        <v>15000000</v>
      </c>
      <c r="I721" s="2">
        <v>1</v>
      </c>
      <c r="J721" s="6">
        <v>2.5462962962962961E-3</v>
      </c>
      <c r="K721" s="2" t="s">
        <v>18</v>
      </c>
      <c r="L721" s="2" t="s">
        <v>19</v>
      </c>
      <c r="M721" s="2" t="s">
        <v>33</v>
      </c>
      <c r="N721" s="2" t="s">
        <v>66</v>
      </c>
      <c r="O721" s="2" t="s">
        <v>67</v>
      </c>
    </row>
    <row r="722" spans="1:15" ht="21" customHeight="1" x14ac:dyDescent="0.3">
      <c r="A722" s="17"/>
      <c r="B722" s="12" t="s">
        <v>14</v>
      </c>
      <c r="C722" s="13">
        <v>13</v>
      </c>
      <c r="D722" s="14" t="s">
        <v>72</v>
      </c>
      <c r="E722" s="12" t="s">
        <v>38</v>
      </c>
      <c r="F722" s="12" t="s">
        <v>23</v>
      </c>
      <c r="G722" s="15">
        <v>3</v>
      </c>
      <c r="H722" s="21">
        <v>15000000</v>
      </c>
      <c r="I722" s="12">
        <v>5</v>
      </c>
      <c r="J722" s="16">
        <v>2.5462962962962961E-3</v>
      </c>
      <c r="K722" s="12" t="s">
        <v>18</v>
      </c>
      <c r="L722" s="12" t="s">
        <v>47</v>
      </c>
      <c r="M722" s="12" t="s">
        <v>51</v>
      </c>
      <c r="N722" s="12" t="s">
        <v>77</v>
      </c>
      <c r="O722" s="12" t="s">
        <v>65</v>
      </c>
    </row>
    <row r="723" spans="1:15" ht="21" customHeight="1" x14ac:dyDescent="0.3">
      <c r="A723" s="17"/>
      <c r="B723" s="2" t="s">
        <v>14</v>
      </c>
      <c r="C723" s="3">
        <v>10</v>
      </c>
      <c r="D723" s="4" t="s">
        <v>22</v>
      </c>
      <c r="E723" s="2" t="s">
        <v>16</v>
      </c>
      <c r="F723" s="2" t="s">
        <v>23</v>
      </c>
      <c r="G723" s="5">
        <v>2</v>
      </c>
      <c r="H723" s="20">
        <v>12000000</v>
      </c>
      <c r="I723" s="2">
        <v>2</v>
      </c>
      <c r="J723" s="6">
        <v>2.5462962962962961E-3</v>
      </c>
      <c r="K723" s="2" t="s">
        <v>18</v>
      </c>
      <c r="L723" s="2" t="s">
        <v>29</v>
      </c>
      <c r="M723" s="2" t="s">
        <v>48</v>
      </c>
      <c r="N723" s="2" t="s">
        <v>76</v>
      </c>
      <c r="O723" s="2" t="s">
        <v>52</v>
      </c>
    </row>
    <row r="724" spans="1:15" ht="21" customHeight="1" x14ac:dyDescent="0.3">
      <c r="A724" s="17"/>
      <c r="B724" s="12" t="s">
        <v>14</v>
      </c>
      <c r="C724" s="13">
        <v>19</v>
      </c>
      <c r="D724" s="14" t="s">
        <v>22</v>
      </c>
      <c r="E724" s="12" t="s">
        <v>49</v>
      </c>
      <c r="F724" s="12" t="s">
        <v>42</v>
      </c>
      <c r="G724" s="15">
        <v>3</v>
      </c>
      <c r="H724" s="21">
        <v>15000000</v>
      </c>
      <c r="I724" s="12">
        <v>2</v>
      </c>
      <c r="J724" s="16">
        <v>2.5462962962962961E-3</v>
      </c>
      <c r="K724" s="12" t="s">
        <v>18</v>
      </c>
      <c r="L724" s="12" t="s">
        <v>19</v>
      </c>
      <c r="M724" s="12" t="s">
        <v>40</v>
      </c>
      <c r="N724" s="12" t="s">
        <v>77</v>
      </c>
      <c r="O724" s="12" t="s">
        <v>65</v>
      </c>
    </row>
    <row r="725" spans="1:15" ht="21" customHeight="1" x14ac:dyDescent="0.3">
      <c r="A725" s="17"/>
      <c r="B725" s="2" t="s">
        <v>14</v>
      </c>
      <c r="C725" s="3">
        <v>11</v>
      </c>
      <c r="D725" s="4" t="s">
        <v>27</v>
      </c>
      <c r="E725" s="2" t="s">
        <v>16</v>
      </c>
      <c r="F725" s="2" t="s">
        <v>23</v>
      </c>
      <c r="G725" s="5">
        <v>5</v>
      </c>
      <c r="H725" s="20">
        <v>21000000</v>
      </c>
      <c r="I725" s="2">
        <v>5</v>
      </c>
      <c r="J725" s="6">
        <v>2.5462962962962961E-3</v>
      </c>
      <c r="K725" s="2" t="s">
        <v>18</v>
      </c>
      <c r="L725" s="2" t="s">
        <v>56</v>
      </c>
      <c r="M725" s="2" t="s">
        <v>40</v>
      </c>
      <c r="N725" s="2" t="s">
        <v>76</v>
      </c>
      <c r="O725" s="2" t="s">
        <v>75</v>
      </c>
    </row>
    <row r="726" spans="1:15" ht="21" customHeight="1" x14ac:dyDescent="0.3">
      <c r="A726" s="17"/>
      <c r="B726" s="12" t="s">
        <v>14</v>
      </c>
      <c r="C726" s="13">
        <v>30</v>
      </c>
      <c r="D726" s="14" t="s">
        <v>27</v>
      </c>
      <c r="E726" s="12" t="s">
        <v>32</v>
      </c>
      <c r="F726" s="12" t="s">
        <v>17</v>
      </c>
      <c r="G726" s="15">
        <v>4</v>
      </c>
      <c r="H726" s="21">
        <v>20000000</v>
      </c>
      <c r="I726" s="12">
        <v>4</v>
      </c>
      <c r="J726" s="16">
        <v>2.5462962962962961E-3</v>
      </c>
      <c r="K726" s="12" t="s">
        <v>18</v>
      </c>
      <c r="L726" s="12" t="s">
        <v>50</v>
      </c>
      <c r="M726" s="12" t="s">
        <v>43</v>
      </c>
      <c r="N726" s="12" t="s">
        <v>76</v>
      </c>
      <c r="O726" s="12" t="s">
        <v>26</v>
      </c>
    </row>
    <row r="727" spans="1:15" ht="21" customHeight="1" x14ac:dyDescent="0.3">
      <c r="A727" s="17"/>
      <c r="B727" s="2" t="s">
        <v>14</v>
      </c>
      <c r="C727" s="3">
        <v>30</v>
      </c>
      <c r="D727" s="4" t="s">
        <v>37</v>
      </c>
      <c r="E727" s="2" t="s">
        <v>28</v>
      </c>
      <c r="F727" s="2" t="s">
        <v>42</v>
      </c>
      <c r="G727" s="5">
        <v>2</v>
      </c>
      <c r="H727" s="20">
        <v>12000000</v>
      </c>
      <c r="I727" s="2">
        <v>1</v>
      </c>
      <c r="J727" s="6">
        <v>2.5462962962962961E-3</v>
      </c>
      <c r="K727" s="2" t="s">
        <v>18</v>
      </c>
      <c r="L727" s="2" t="s">
        <v>56</v>
      </c>
      <c r="M727" s="2" t="s">
        <v>48</v>
      </c>
      <c r="N727" s="2" t="s">
        <v>77</v>
      </c>
      <c r="O727" s="2" t="s">
        <v>65</v>
      </c>
    </row>
    <row r="728" spans="1:15" ht="21" customHeight="1" x14ac:dyDescent="0.3">
      <c r="A728" s="17"/>
      <c r="B728" s="12" t="s">
        <v>14</v>
      </c>
      <c r="C728" s="13">
        <v>17</v>
      </c>
      <c r="D728" s="14" t="s">
        <v>44</v>
      </c>
      <c r="E728" s="12" t="s">
        <v>32</v>
      </c>
      <c r="F728" s="12" t="s">
        <v>17</v>
      </c>
      <c r="G728" s="15">
        <v>4</v>
      </c>
      <c r="H728" s="21">
        <v>11000000</v>
      </c>
      <c r="I728" s="12">
        <v>1</v>
      </c>
      <c r="J728" s="16">
        <v>2.5462962962962961E-3</v>
      </c>
      <c r="K728" s="12" t="s">
        <v>61</v>
      </c>
      <c r="L728" s="12" t="s">
        <v>29</v>
      </c>
      <c r="M728" s="12" t="s">
        <v>40</v>
      </c>
      <c r="N728" s="12" t="s">
        <v>66</v>
      </c>
      <c r="O728" s="12" t="s">
        <v>67</v>
      </c>
    </row>
    <row r="729" spans="1:15" ht="21" customHeight="1" x14ac:dyDescent="0.3">
      <c r="A729" s="17"/>
      <c r="B729" s="2" t="s">
        <v>14</v>
      </c>
      <c r="C729" s="3">
        <v>16</v>
      </c>
      <c r="D729" s="4" t="s">
        <v>44</v>
      </c>
      <c r="E729" s="2" t="s">
        <v>38</v>
      </c>
      <c r="F729" s="2" t="s">
        <v>68</v>
      </c>
      <c r="G729" s="5">
        <v>5</v>
      </c>
      <c r="H729" s="20">
        <v>25000000</v>
      </c>
      <c r="I729" s="2">
        <v>1</v>
      </c>
      <c r="J729" s="6">
        <v>2.5462962962962961E-3</v>
      </c>
      <c r="K729" s="2" t="s">
        <v>18</v>
      </c>
      <c r="L729" s="2" t="s">
        <v>29</v>
      </c>
      <c r="M729" s="2" t="s">
        <v>25</v>
      </c>
      <c r="N729" s="2" t="s">
        <v>76</v>
      </c>
      <c r="O729" s="2" t="s">
        <v>52</v>
      </c>
    </row>
    <row r="730" spans="1:15" ht="21" customHeight="1" x14ac:dyDescent="0.3">
      <c r="A730" s="17"/>
      <c r="B730" s="12" t="s">
        <v>14</v>
      </c>
      <c r="C730" s="13">
        <v>27</v>
      </c>
      <c r="D730" s="14" t="s">
        <v>69</v>
      </c>
      <c r="E730" s="12" t="s">
        <v>32</v>
      </c>
      <c r="F730" s="12" t="s">
        <v>42</v>
      </c>
      <c r="G730" s="15">
        <v>2</v>
      </c>
      <c r="H730" s="21">
        <v>38000000</v>
      </c>
      <c r="I730" s="12">
        <v>1</v>
      </c>
      <c r="J730" s="16">
        <v>2.5462962962962961E-3</v>
      </c>
      <c r="K730" s="12" t="s">
        <v>46</v>
      </c>
      <c r="L730" s="12" t="s">
        <v>19</v>
      </c>
      <c r="M730" s="12" t="s">
        <v>30</v>
      </c>
      <c r="N730" s="12" t="s">
        <v>78</v>
      </c>
      <c r="O730" s="12" t="s">
        <v>63</v>
      </c>
    </row>
    <row r="731" spans="1:15" ht="21" customHeight="1" x14ac:dyDescent="0.3">
      <c r="A731" s="17"/>
      <c r="B731" s="2" t="s">
        <v>14</v>
      </c>
      <c r="C731" s="3">
        <v>11</v>
      </c>
      <c r="D731" s="4" t="s">
        <v>57</v>
      </c>
      <c r="E731" s="2" t="s">
        <v>16</v>
      </c>
      <c r="F731" s="2" t="s">
        <v>68</v>
      </c>
      <c r="G731" s="5">
        <v>3</v>
      </c>
      <c r="H731" s="20">
        <v>15000000</v>
      </c>
      <c r="I731" s="2">
        <v>1</v>
      </c>
      <c r="J731" s="6">
        <v>2.5462962962962961E-3</v>
      </c>
      <c r="K731" s="2" t="s">
        <v>18</v>
      </c>
      <c r="L731" s="2" t="s">
        <v>19</v>
      </c>
      <c r="M731" s="2" t="s">
        <v>33</v>
      </c>
      <c r="N731" s="2" t="s">
        <v>66</v>
      </c>
      <c r="O731" s="2" t="s">
        <v>67</v>
      </c>
    </row>
    <row r="732" spans="1:15" ht="21" customHeight="1" x14ac:dyDescent="0.3">
      <c r="A732" s="17"/>
      <c r="B732" s="12" t="s">
        <v>14</v>
      </c>
      <c r="C732" s="13">
        <v>13</v>
      </c>
      <c r="D732" s="14" t="s">
        <v>72</v>
      </c>
      <c r="E732" s="12" t="s">
        <v>38</v>
      </c>
      <c r="F732" s="12" t="s">
        <v>23</v>
      </c>
      <c r="G732" s="15">
        <v>3</v>
      </c>
      <c r="H732" s="21">
        <v>15000000</v>
      </c>
      <c r="I732" s="12">
        <v>5</v>
      </c>
      <c r="J732" s="16">
        <v>2.5462962962962961E-3</v>
      </c>
      <c r="K732" s="12" t="s">
        <v>18</v>
      </c>
      <c r="L732" s="12" t="s">
        <v>47</v>
      </c>
      <c r="M732" s="12" t="s">
        <v>51</v>
      </c>
      <c r="N732" s="12" t="s">
        <v>77</v>
      </c>
      <c r="O732" s="12" t="s">
        <v>65</v>
      </c>
    </row>
    <row r="733" spans="1:15" ht="21" customHeight="1" x14ac:dyDescent="0.3">
      <c r="A733" s="17"/>
      <c r="B733" s="2" t="s">
        <v>14</v>
      </c>
      <c r="C733" s="3">
        <v>10</v>
      </c>
      <c r="D733" s="4" t="s">
        <v>22</v>
      </c>
      <c r="E733" s="2" t="s">
        <v>16</v>
      </c>
      <c r="F733" s="2" t="s">
        <v>23</v>
      </c>
      <c r="G733" s="5">
        <v>2</v>
      </c>
      <c r="H733" s="20">
        <v>12000000</v>
      </c>
      <c r="I733" s="2">
        <v>2</v>
      </c>
      <c r="J733" s="6">
        <v>2.5462962962962961E-3</v>
      </c>
      <c r="K733" s="2" t="s">
        <v>18</v>
      </c>
      <c r="L733" s="2" t="s">
        <v>29</v>
      </c>
      <c r="M733" s="2" t="s">
        <v>48</v>
      </c>
      <c r="N733" s="2" t="s">
        <v>76</v>
      </c>
      <c r="O733" s="2" t="s">
        <v>52</v>
      </c>
    </row>
    <row r="734" spans="1:15" ht="21" customHeight="1" x14ac:dyDescent="0.3">
      <c r="A734" s="17"/>
      <c r="B734" s="12" t="s">
        <v>14</v>
      </c>
      <c r="C734" s="13">
        <v>19</v>
      </c>
      <c r="D734" s="14" t="s">
        <v>22</v>
      </c>
      <c r="E734" s="12" t="s">
        <v>49</v>
      </c>
      <c r="F734" s="12" t="s">
        <v>42</v>
      </c>
      <c r="G734" s="15">
        <v>3</v>
      </c>
      <c r="H734" s="21">
        <v>15000000</v>
      </c>
      <c r="I734" s="12">
        <v>2</v>
      </c>
      <c r="J734" s="16">
        <v>2.5462962962962961E-3</v>
      </c>
      <c r="K734" s="12" t="s">
        <v>18</v>
      </c>
      <c r="L734" s="12" t="s">
        <v>19</v>
      </c>
      <c r="M734" s="12" t="s">
        <v>40</v>
      </c>
      <c r="N734" s="12" t="s">
        <v>77</v>
      </c>
      <c r="O734" s="12" t="s">
        <v>65</v>
      </c>
    </row>
    <row r="735" spans="1:15" ht="21" customHeight="1" x14ac:dyDescent="0.3">
      <c r="A735" s="17"/>
      <c r="B735" s="2" t="s">
        <v>70</v>
      </c>
      <c r="C735" s="3">
        <v>23</v>
      </c>
      <c r="D735" s="4" t="s">
        <v>27</v>
      </c>
      <c r="E735" s="2" t="s">
        <v>32</v>
      </c>
      <c r="F735" s="2" t="s">
        <v>42</v>
      </c>
      <c r="G735" s="5">
        <v>0</v>
      </c>
      <c r="H735" s="20">
        <v>0</v>
      </c>
      <c r="I735" s="2">
        <v>1</v>
      </c>
      <c r="J735" s="6">
        <v>2.5462962962962961E-3</v>
      </c>
      <c r="K735" s="2"/>
      <c r="L735" s="2"/>
      <c r="M735" s="2" t="s">
        <v>40</v>
      </c>
      <c r="N735" s="2" t="s">
        <v>76</v>
      </c>
      <c r="O735" s="2" t="s">
        <v>26</v>
      </c>
    </row>
    <row r="736" spans="1:15" ht="21" customHeight="1" x14ac:dyDescent="0.3">
      <c r="A736" s="17"/>
      <c r="B736" s="12" t="s">
        <v>70</v>
      </c>
      <c r="C736" s="13">
        <v>19</v>
      </c>
      <c r="D736" s="14" t="s">
        <v>37</v>
      </c>
      <c r="E736" s="12" t="s">
        <v>32</v>
      </c>
      <c r="F736" s="12" t="s">
        <v>42</v>
      </c>
      <c r="G736" s="15">
        <v>0</v>
      </c>
      <c r="H736" s="21">
        <v>0</v>
      </c>
      <c r="I736" s="12">
        <v>4</v>
      </c>
      <c r="J736" s="16">
        <v>2.5462962962962961E-3</v>
      </c>
      <c r="K736" s="12"/>
      <c r="L736" s="12"/>
      <c r="M736" s="12" t="s">
        <v>43</v>
      </c>
      <c r="N736" s="12" t="s">
        <v>78</v>
      </c>
      <c r="O736" s="12" t="s">
        <v>63</v>
      </c>
    </row>
    <row r="737" spans="1:15" ht="21" customHeight="1" x14ac:dyDescent="0.3">
      <c r="A737" s="17"/>
      <c r="B737" s="2" t="s">
        <v>70</v>
      </c>
      <c r="C737" s="3">
        <v>27</v>
      </c>
      <c r="D737" s="4" t="s">
        <v>44</v>
      </c>
      <c r="E737" s="2" t="s">
        <v>16</v>
      </c>
      <c r="F737" s="2" t="s">
        <v>42</v>
      </c>
      <c r="G737" s="5">
        <v>0</v>
      </c>
      <c r="H737" s="20">
        <v>0</v>
      </c>
      <c r="I737" s="2">
        <v>1</v>
      </c>
      <c r="J737" s="6">
        <v>2.5462962962962961E-3</v>
      </c>
      <c r="K737" s="2"/>
      <c r="L737" s="2"/>
      <c r="M737" s="2" t="s">
        <v>30</v>
      </c>
      <c r="N737" s="2" t="s">
        <v>78</v>
      </c>
      <c r="O737" s="2" t="s">
        <v>62</v>
      </c>
    </row>
    <row r="738" spans="1:15" ht="21" customHeight="1" x14ac:dyDescent="0.3">
      <c r="A738" s="17"/>
      <c r="B738" s="12" t="s">
        <v>14</v>
      </c>
      <c r="C738" s="13">
        <v>15</v>
      </c>
      <c r="D738" s="14" t="s">
        <v>57</v>
      </c>
      <c r="E738" s="12" t="s">
        <v>49</v>
      </c>
      <c r="F738" s="12" t="s">
        <v>23</v>
      </c>
      <c r="G738" s="15">
        <v>3</v>
      </c>
      <c r="H738" s="21">
        <v>12000000</v>
      </c>
      <c r="I738" s="12">
        <v>4</v>
      </c>
      <c r="J738" s="16">
        <v>2.7777777777777779E-3</v>
      </c>
      <c r="K738" s="12" t="s">
        <v>18</v>
      </c>
      <c r="L738" s="12" t="s">
        <v>29</v>
      </c>
      <c r="M738" s="12" t="s">
        <v>30</v>
      </c>
      <c r="N738" s="12" t="s">
        <v>78</v>
      </c>
      <c r="O738" s="12" t="s">
        <v>53</v>
      </c>
    </row>
    <row r="739" spans="1:15" ht="21" customHeight="1" x14ac:dyDescent="0.3">
      <c r="A739" s="17"/>
      <c r="B739" s="2" t="s">
        <v>14</v>
      </c>
      <c r="C739" s="3">
        <v>4</v>
      </c>
      <c r="D739" s="4" t="s">
        <v>72</v>
      </c>
      <c r="E739" s="2" t="s">
        <v>28</v>
      </c>
      <c r="F739" s="2" t="s">
        <v>23</v>
      </c>
      <c r="G739" s="5">
        <v>1</v>
      </c>
      <c r="H739" s="20">
        <v>19000000</v>
      </c>
      <c r="I739" s="2">
        <v>2</v>
      </c>
      <c r="J739" s="6">
        <v>2.7777777777777779E-3</v>
      </c>
      <c r="K739" s="2" t="s">
        <v>46</v>
      </c>
      <c r="L739" s="2" t="s">
        <v>47</v>
      </c>
      <c r="M739" s="2" t="s">
        <v>25</v>
      </c>
      <c r="N739" s="2" t="s">
        <v>77</v>
      </c>
      <c r="O739" s="2" t="s">
        <v>34</v>
      </c>
    </row>
    <row r="740" spans="1:15" ht="21" customHeight="1" x14ac:dyDescent="0.3">
      <c r="A740" s="17"/>
      <c r="B740" s="12" t="s">
        <v>14</v>
      </c>
      <c r="C740" s="13">
        <v>11</v>
      </c>
      <c r="D740" s="14" t="s">
        <v>27</v>
      </c>
      <c r="E740" s="12" t="s">
        <v>16</v>
      </c>
      <c r="F740" s="12" t="s">
        <v>17</v>
      </c>
      <c r="G740" s="15">
        <v>2</v>
      </c>
      <c r="H740" s="21">
        <v>38000000</v>
      </c>
      <c r="I740" s="12">
        <v>1</v>
      </c>
      <c r="J740" s="16">
        <v>2.7777777777777779E-3</v>
      </c>
      <c r="K740" s="12" t="s">
        <v>74</v>
      </c>
      <c r="L740" s="12" t="s">
        <v>39</v>
      </c>
      <c r="M740" s="12" t="s">
        <v>40</v>
      </c>
      <c r="N740" s="12" t="s">
        <v>76</v>
      </c>
      <c r="O740" s="12" t="s">
        <v>75</v>
      </c>
    </row>
    <row r="741" spans="1:15" ht="21" customHeight="1" x14ac:dyDescent="0.3">
      <c r="A741" s="17"/>
      <c r="B741" s="2" t="s">
        <v>14</v>
      </c>
      <c r="C741" s="3">
        <v>23</v>
      </c>
      <c r="D741" s="4" t="s">
        <v>27</v>
      </c>
      <c r="E741" s="2" t="s">
        <v>32</v>
      </c>
      <c r="F741" s="2" t="s">
        <v>17</v>
      </c>
      <c r="G741" s="5">
        <v>1</v>
      </c>
      <c r="H741" s="20">
        <v>7000000</v>
      </c>
      <c r="I741" s="2">
        <v>3</v>
      </c>
      <c r="J741" s="6">
        <v>2.7777777777777779E-3</v>
      </c>
      <c r="K741" s="2" t="s">
        <v>18</v>
      </c>
      <c r="L741" s="2" t="s">
        <v>19</v>
      </c>
      <c r="M741" s="2" t="s">
        <v>43</v>
      </c>
      <c r="N741" s="2" t="s">
        <v>66</v>
      </c>
      <c r="O741" s="2" t="s">
        <v>36</v>
      </c>
    </row>
    <row r="742" spans="1:15" ht="21" customHeight="1" x14ac:dyDescent="0.3">
      <c r="A742" s="17"/>
      <c r="B742" s="12" t="s">
        <v>14</v>
      </c>
      <c r="C742" s="13">
        <v>8</v>
      </c>
      <c r="D742" s="14" t="s">
        <v>37</v>
      </c>
      <c r="E742" s="12" t="s">
        <v>28</v>
      </c>
      <c r="F742" s="12" t="s">
        <v>23</v>
      </c>
      <c r="G742" s="15">
        <v>4</v>
      </c>
      <c r="H742" s="21">
        <v>20000000</v>
      </c>
      <c r="I742" s="12">
        <v>4</v>
      </c>
      <c r="J742" s="16">
        <v>2.7777777777777779E-3</v>
      </c>
      <c r="K742" s="12" t="s">
        <v>61</v>
      </c>
      <c r="L742" s="12" t="s">
        <v>19</v>
      </c>
      <c r="M742" s="12" t="s">
        <v>20</v>
      </c>
      <c r="N742" s="12" t="s">
        <v>76</v>
      </c>
      <c r="O742" s="12" t="s">
        <v>31</v>
      </c>
    </row>
    <row r="743" spans="1:15" ht="21" customHeight="1" x14ac:dyDescent="0.3">
      <c r="A743" s="17"/>
      <c r="B743" s="2" t="s">
        <v>14</v>
      </c>
      <c r="C743" s="3">
        <v>8</v>
      </c>
      <c r="D743" s="4" t="s">
        <v>37</v>
      </c>
      <c r="E743" s="2" t="s">
        <v>28</v>
      </c>
      <c r="F743" s="2" t="s">
        <v>17</v>
      </c>
      <c r="G743" s="5">
        <v>3</v>
      </c>
      <c r="H743" s="20">
        <v>15000000</v>
      </c>
      <c r="I743" s="2">
        <v>1</v>
      </c>
      <c r="J743" s="6">
        <v>2.7777777777777779E-3</v>
      </c>
      <c r="K743" s="2" t="s">
        <v>18</v>
      </c>
      <c r="L743" s="2" t="s">
        <v>47</v>
      </c>
      <c r="M743" s="2" t="s">
        <v>33</v>
      </c>
      <c r="N743" s="2" t="s">
        <v>78</v>
      </c>
      <c r="O743" s="2" t="s">
        <v>66</v>
      </c>
    </row>
    <row r="744" spans="1:15" ht="21" customHeight="1" x14ac:dyDescent="0.3">
      <c r="A744" s="17"/>
      <c r="B744" s="12" t="s">
        <v>14</v>
      </c>
      <c r="C744" s="13">
        <v>29</v>
      </c>
      <c r="D744" s="14" t="s">
        <v>37</v>
      </c>
      <c r="E744" s="12" t="s">
        <v>16</v>
      </c>
      <c r="F744" s="12" t="s">
        <v>17</v>
      </c>
      <c r="G744" s="15">
        <v>2</v>
      </c>
      <c r="H744" s="21">
        <v>12000000</v>
      </c>
      <c r="I744" s="12">
        <v>1</v>
      </c>
      <c r="J744" s="16">
        <v>2.7777777777777779E-3</v>
      </c>
      <c r="K744" s="12" t="s">
        <v>18</v>
      </c>
      <c r="L744" s="12" t="s">
        <v>64</v>
      </c>
      <c r="M744" s="12" t="s">
        <v>48</v>
      </c>
      <c r="N744" s="12" t="s">
        <v>78</v>
      </c>
      <c r="O744" s="12" t="s">
        <v>62</v>
      </c>
    </row>
    <row r="745" spans="1:15" ht="21" customHeight="1" x14ac:dyDescent="0.3">
      <c r="A745" s="17"/>
      <c r="B745" s="2" t="s">
        <v>14</v>
      </c>
      <c r="C745" s="3">
        <v>25</v>
      </c>
      <c r="D745" s="4" t="s">
        <v>37</v>
      </c>
      <c r="E745" s="2" t="s">
        <v>32</v>
      </c>
      <c r="F745" s="2" t="s">
        <v>23</v>
      </c>
      <c r="G745" s="5">
        <v>5</v>
      </c>
      <c r="H745" s="20">
        <v>25000000</v>
      </c>
      <c r="I745" s="2">
        <v>3</v>
      </c>
      <c r="J745" s="6">
        <v>2.7777777777777779E-3</v>
      </c>
      <c r="K745" s="2" t="s">
        <v>18</v>
      </c>
      <c r="L745" s="2" t="s">
        <v>29</v>
      </c>
      <c r="M745" s="2" t="s">
        <v>51</v>
      </c>
      <c r="N745" s="2" t="s">
        <v>77</v>
      </c>
      <c r="O745" s="2" t="s">
        <v>65</v>
      </c>
    </row>
    <row r="746" spans="1:15" ht="21" customHeight="1" x14ac:dyDescent="0.3">
      <c r="A746" s="17"/>
      <c r="B746" s="12" t="s">
        <v>14</v>
      </c>
      <c r="C746" s="13">
        <v>22</v>
      </c>
      <c r="D746" s="14" t="s">
        <v>44</v>
      </c>
      <c r="E746" s="12" t="s">
        <v>28</v>
      </c>
      <c r="F746" s="12" t="s">
        <v>23</v>
      </c>
      <c r="G746" s="15">
        <v>2</v>
      </c>
      <c r="H746" s="21">
        <v>12000000</v>
      </c>
      <c r="I746" s="12">
        <v>4</v>
      </c>
      <c r="J746" s="16">
        <v>2.7777777777777779E-3</v>
      </c>
      <c r="K746" s="12" t="s">
        <v>18</v>
      </c>
      <c r="L746" s="12" t="s">
        <v>39</v>
      </c>
      <c r="M746" s="12" t="s">
        <v>25</v>
      </c>
      <c r="N746" s="12" t="s">
        <v>76</v>
      </c>
      <c r="O746" s="12" t="s">
        <v>52</v>
      </c>
    </row>
    <row r="747" spans="1:15" ht="21" customHeight="1" x14ac:dyDescent="0.3">
      <c r="A747" s="17"/>
      <c r="B747" s="2" t="s">
        <v>14</v>
      </c>
      <c r="C747" s="3">
        <v>15</v>
      </c>
      <c r="D747" s="4" t="s">
        <v>57</v>
      </c>
      <c r="E747" s="2" t="s">
        <v>49</v>
      </c>
      <c r="F747" s="2" t="s">
        <v>23</v>
      </c>
      <c r="G747" s="5">
        <v>3</v>
      </c>
      <c r="H747" s="20">
        <v>12000000</v>
      </c>
      <c r="I747" s="2">
        <v>4</v>
      </c>
      <c r="J747" s="6">
        <v>2.7777777777777779E-3</v>
      </c>
      <c r="K747" s="2" t="s">
        <v>18</v>
      </c>
      <c r="L747" s="2" t="s">
        <v>29</v>
      </c>
      <c r="M747" s="2" t="s">
        <v>30</v>
      </c>
      <c r="N747" s="2" t="s">
        <v>78</v>
      </c>
      <c r="O747" s="2" t="s">
        <v>53</v>
      </c>
    </row>
    <row r="748" spans="1:15" ht="21" customHeight="1" x14ac:dyDescent="0.3">
      <c r="A748" s="17"/>
      <c r="B748" s="12" t="s">
        <v>14</v>
      </c>
      <c r="C748" s="13">
        <v>4</v>
      </c>
      <c r="D748" s="14" t="s">
        <v>72</v>
      </c>
      <c r="E748" s="12" t="s">
        <v>28</v>
      </c>
      <c r="F748" s="12" t="s">
        <v>23</v>
      </c>
      <c r="G748" s="15">
        <v>1</v>
      </c>
      <c r="H748" s="21">
        <v>19000000</v>
      </c>
      <c r="I748" s="12">
        <v>2</v>
      </c>
      <c r="J748" s="16">
        <v>2.7777777777777779E-3</v>
      </c>
      <c r="K748" s="12" t="s">
        <v>46</v>
      </c>
      <c r="L748" s="12" t="s">
        <v>47</v>
      </c>
      <c r="M748" s="12" t="s">
        <v>25</v>
      </c>
      <c r="N748" s="12" t="s">
        <v>77</v>
      </c>
      <c r="O748" s="12" t="s">
        <v>34</v>
      </c>
    </row>
    <row r="749" spans="1:15" ht="21" customHeight="1" x14ac:dyDescent="0.3">
      <c r="A749" s="17"/>
      <c r="B749" s="2" t="s">
        <v>70</v>
      </c>
      <c r="C749" s="3">
        <v>25</v>
      </c>
      <c r="D749" s="4" t="s">
        <v>37</v>
      </c>
      <c r="E749" s="2" t="s">
        <v>32</v>
      </c>
      <c r="F749" s="2" t="s">
        <v>42</v>
      </c>
      <c r="G749" s="5">
        <v>0</v>
      </c>
      <c r="H749" s="20">
        <v>0</v>
      </c>
      <c r="I749" s="2">
        <v>5</v>
      </c>
      <c r="J749" s="6">
        <v>2.7777777777777779E-3</v>
      </c>
      <c r="K749" s="2"/>
      <c r="L749" s="2"/>
      <c r="M749" s="2" t="s">
        <v>33</v>
      </c>
      <c r="N749" s="2" t="s">
        <v>77</v>
      </c>
      <c r="O749" s="2" t="s">
        <v>54</v>
      </c>
    </row>
    <row r="750" spans="1:15" ht="21" customHeight="1" x14ac:dyDescent="0.3">
      <c r="A750" s="17"/>
      <c r="B750" s="12" t="s">
        <v>70</v>
      </c>
      <c r="C750" s="13">
        <v>26</v>
      </c>
      <c r="D750" s="14" t="s">
        <v>44</v>
      </c>
      <c r="E750" s="12" t="s">
        <v>16</v>
      </c>
      <c r="F750" s="12" t="s">
        <v>23</v>
      </c>
      <c r="G750" s="15">
        <v>0</v>
      </c>
      <c r="H750" s="21">
        <v>0</v>
      </c>
      <c r="I750" s="12">
        <v>2</v>
      </c>
      <c r="J750" s="16">
        <v>2.7777777777777779E-3</v>
      </c>
      <c r="K750" s="12"/>
      <c r="L750" s="12"/>
      <c r="M750" s="12" t="s">
        <v>43</v>
      </c>
      <c r="N750" s="12" t="s">
        <v>76</v>
      </c>
      <c r="O750" s="12" t="s">
        <v>26</v>
      </c>
    </row>
    <row r="751" spans="1:15" ht="21" customHeight="1" x14ac:dyDescent="0.3">
      <c r="A751" s="17"/>
      <c r="B751" s="2" t="s">
        <v>70</v>
      </c>
      <c r="C751" s="3">
        <v>26</v>
      </c>
      <c r="D751" s="4" t="s">
        <v>44</v>
      </c>
      <c r="E751" s="2" t="s">
        <v>28</v>
      </c>
      <c r="F751" s="2" t="s">
        <v>23</v>
      </c>
      <c r="G751" s="5">
        <v>0</v>
      </c>
      <c r="H751" s="20">
        <v>0</v>
      </c>
      <c r="I751" s="2">
        <v>3</v>
      </c>
      <c r="J751" s="6">
        <v>2.7777777777777779E-3</v>
      </c>
      <c r="K751" s="2"/>
      <c r="L751" s="2"/>
      <c r="M751" s="2" t="s">
        <v>51</v>
      </c>
      <c r="N751" s="2" t="s">
        <v>76</v>
      </c>
      <c r="O751" s="2" t="s">
        <v>26</v>
      </c>
    </row>
    <row r="752" spans="1:15" ht="21" customHeight="1" x14ac:dyDescent="0.3">
      <c r="A752" s="17"/>
      <c r="B752" s="12" t="s">
        <v>70</v>
      </c>
      <c r="C752" s="13">
        <v>10</v>
      </c>
      <c r="D752" s="14" t="s">
        <v>69</v>
      </c>
      <c r="E752" s="12" t="s">
        <v>32</v>
      </c>
      <c r="F752" s="12" t="s">
        <v>17</v>
      </c>
      <c r="G752" s="15">
        <v>0</v>
      </c>
      <c r="H752" s="21">
        <v>0</v>
      </c>
      <c r="I752" s="12">
        <v>3</v>
      </c>
      <c r="J752" s="16">
        <v>2.7777777777777779E-3</v>
      </c>
      <c r="K752" s="12"/>
      <c r="L752" s="12"/>
      <c r="M752" s="12" t="s">
        <v>43</v>
      </c>
      <c r="N752" s="12" t="s">
        <v>66</v>
      </c>
      <c r="O752" s="12" t="s">
        <v>36</v>
      </c>
    </row>
    <row r="753" spans="1:15" ht="21" customHeight="1" x14ac:dyDescent="0.3">
      <c r="A753" s="17"/>
      <c r="B753" s="2" t="s">
        <v>14</v>
      </c>
      <c r="C753" s="3">
        <v>16</v>
      </c>
      <c r="D753" s="4" t="s">
        <v>55</v>
      </c>
      <c r="E753" s="2" t="s">
        <v>32</v>
      </c>
      <c r="F753" s="2" t="s">
        <v>23</v>
      </c>
      <c r="G753" s="5">
        <v>2</v>
      </c>
      <c r="H753" s="20">
        <v>12000000</v>
      </c>
      <c r="I753" s="2">
        <v>1</v>
      </c>
      <c r="J753" s="6">
        <v>3.2407407407407406E-3</v>
      </c>
      <c r="K753" s="2" t="s">
        <v>18</v>
      </c>
      <c r="L753" s="2" t="s">
        <v>29</v>
      </c>
      <c r="M753" s="2" t="s">
        <v>40</v>
      </c>
      <c r="N753" s="2" t="s">
        <v>76</v>
      </c>
      <c r="O753" s="2" t="s">
        <v>26</v>
      </c>
    </row>
    <row r="754" spans="1:15" ht="21" customHeight="1" x14ac:dyDescent="0.3">
      <c r="A754" s="17"/>
      <c r="B754" s="12" t="s">
        <v>14</v>
      </c>
      <c r="C754" s="13">
        <v>11</v>
      </c>
      <c r="D754" s="14" t="s">
        <v>57</v>
      </c>
      <c r="E754" s="12" t="s">
        <v>16</v>
      </c>
      <c r="F754" s="12" t="s">
        <v>42</v>
      </c>
      <c r="G754" s="15">
        <v>2</v>
      </c>
      <c r="H754" s="21">
        <v>12000000</v>
      </c>
      <c r="I754" s="12">
        <v>4</v>
      </c>
      <c r="J754" s="16">
        <v>3.2407407407407406E-3</v>
      </c>
      <c r="K754" s="12" t="s">
        <v>18</v>
      </c>
      <c r="L754" s="12" t="s">
        <v>19</v>
      </c>
      <c r="M754" s="12" t="s">
        <v>43</v>
      </c>
      <c r="N754" s="12" t="s">
        <v>66</v>
      </c>
      <c r="O754" s="12" t="s">
        <v>36</v>
      </c>
    </row>
    <row r="755" spans="1:15" ht="21" customHeight="1" x14ac:dyDescent="0.3">
      <c r="A755" s="17"/>
      <c r="B755" s="2" t="s">
        <v>14</v>
      </c>
      <c r="C755" s="3">
        <v>1</v>
      </c>
      <c r="D755" s="4" t="s">
        <v>59</v>
      </c>
      <c r="E755" s="2" t="s">
        <v>32</v>
      </c>
      <c r="F755" s="2" t="s">
        <v>23</v>
      </c>
      <c r="G755" s="5">
        <v>2</v>
      </c>
      <c r="H755" s="20">
        <v>12000000</v>
      </c>
      <c r="I755" s="2">
        <v>2</v>
      </c>
      <c r="J755" s="6">
        <v>3.2407407407407406E-3</v>
      </c>
      <c r="K755" s="2" t="s">
        <v>18</v>
      </c>
      <c r="L755" s="2" t="s">
        <v>29</v>
      </c>
      <c r="M755" s="2" t="s">
        <v>51</v>
      </c>
      <c r="N755" s="2" t="s">
        <v>66</v>
      </c>
      <c r="O755" s="2" t="s">
        <v>67</v>
      </c>
    </row>
    <row r="756" spans="1:15" ht="21" customHeight="1" x14ac:dyDescent="0.3">
      <c r="A756" s="17"/>
      <c r="B756" s="12" t="s">
        <v>14</v>
      </c>
      <c r="C756" s="13">
        <v>9</v>
      </c>
      <c r="D756" s="14" t="s">
        <v>27</v>
      </c>
      <c r="E756" s="12" t="s">
        <v>32</v>
      </c>
      <c r="F756" s="12" t="s">
        <v>23</v>
      </c>
      <c r="G756" s="15">
        <v>2</v>
      </c>
      <c r="H756" s="21">
        <v>38000000</v>
      </c>
      <c r="I756" s="12">
        <v>5</v>
      </c>
      <c r="J756" s="16">
        <v>3.2407407407407406E-3</v>
      </c>
      <c r="K756" s="12" t="s">
        <v>46</v>
      </c>
      <c r="L756" s="12" t="s">
        <v>19</v>
      </c>
      <c r="M756" s="12" t="s">
        <v>48</v>
      </c>
      <c r="N756" s="12" t="s">
        <v>76</v>
      </c>
      <c r="O756" s="12" t="s">
        <v>31</v>
      </c>
    </row>
    <row r="757" spans="1:15" ht="21" customHeight="1" x14ac:dyDescent="0.3">
      <c r="A757" s="17"/>
      <c r="B757" s="2" t="s">
        <v>14</v>
      </c>
      <c r="C757" s="3">
        <v>11</v>
      </c>
      <c r="D757" s="4" t="s">
        <v>27</v>
      </c>
      <c r="E757" s="2" t="s">
        <v>32</v>
      </c>
      <c r="F757" s="2" t="s">
        <v>42</v>
      </c>
      <c r="G757" s="5">
        <v>2</v>
      </c>
      <c r="H757" s="20">
        <v>12000000</v>
      </c>
      <c r="I757" s="2">
        <v>5</v>
      </c>
      <c r="J757" s="6">
        <v>3.2407407407407406E-3</v>
      </c>
      <c r="K757" s="2" t="s">
        <v>18</v>
      </c>
      <c r="L757" s="2" t="s">
        <v>50</v>
      </c>
      <c r="M757" s="2" t="s">
        <v>20</v>
      </c>
      <c r="N757" s="2" t="s">
        <v>78</v>
      </c>
      <c r="O757" s="2" t="s">
        <v>63</v>
      </c>
    </row>
    <row r="758" spans="1:15" ht="21" customHeight="1" x14ac:dyDescent="0.3">
      <c r="A758" s="17"/>
      <c r="B758" s="12" t="s">
        <v>14</v>
      </c>
      <c r="C758" s="13">
        <v>22</v>
      </c>
      <c r="D758" s="14" t="s">
        <v>27</v>
      </c>
      <c r="E758" s="12" t="s">
        <v>49</v>
      </c>
      <c r="F758" s="12" t="s">
        <v>42</v>
      </c>
      <c r="G758" s="15">
        <v>3</v>
      </c>
      <c r="H758" s="21">
        <v>15000000</v>
      </c>
      <c r="I758" s="12">
        <v>4</v>
      </c>
      <c r="J758" s="16">
        <v>3.2407407407407406E-3</v>
      </c>
      <c r="K758" s="12" t="s">
        <v>18</v>
      </c>
      <c r="L758" s="12" t="s">
        <v>56</v>
      </c>
      <c r="M758" s="12" t="s">
        <v>30</v>
      </c>
      <c r="N758" s="12" t="s">
        <v>77</v>
      </c>
      <c r="O758" s="12" t="s">
        <v>65</v>
      </c>
    </row>
    <row r="759" spans="1:15" ht="21" customHeight="1" x14ac:dyDescent="0.3">
      <c r="A759" s="17"/>
      <c r="B759" s="2" t="s">
        <v>14</v>
      </c>
      <c r="C759" s="3">
        <v>30</v>
      </c>
      <c r="D759" s="4" t="s">
        <v>27</v>
      </c>
      <c r="E759" s="2" t="s">
        <v>49</v>
      </c>
      <c r="F759" s="2" t="s">
        <v>23</v>
      </c>
      <c r="G759" s="5">
        <v>3</v>
      </c>
      <c r="H759" s="20">
        <v>15000000</v>
      </c>
      <c r="I759" s="2">
        <v>3</v>
      </c>
      <c r="J759" s="6">
        <v>3.2407407407407406E-3</v>
      </c>
      <c r="K759" s="2" t="s">
        <v>18</v>
      </c>
      <c r="L759" s="2" t="s">
        <v>29</v>
      </c>
      <c r="M759" s="2" t="s">
        <v>25</v>
      </c>
      <c r="N759" s="2" t="s">
        <v>76</v>
      </c>
      <c r="O759" s="2" t="s">
        <v>31</v>
      </c>
    </row>
    <row r="760" spans="1:15" ht="21" customHeight="1" x14ac:dyDescent="0.3">
      <c r="A760" s="17"/>
      <c r="B760" s="12" t="s">
        <v>14</v>
      </c>
      <c r="C760" s="13">
        <v>10</v>
      </c>
      <c r="D760" s="14" t="s">
        <v>37</v>
      </c>
      <c r="E760" s="12" t="s">
        <v>28</v>
      </c>
      <c r="F760" s="12" t="s">
        <v>17</v>
      </c>
      <c r="G760" s="15">
        <v>4</v>
      </c>
      <c r="H760" s="21">
        <v>11000000</v>
      </c>
      <c r="I760" s="12">
        <v>2</v>
      </c>
      <c r="J760" s="16">
        <v>3.2407407407407406E-3</v>
      </c>
      <c r="K760" s="12" t="s">
        <v>61</v>
      </c>
      <c r="L760" s="12" t="s">
        <v>19</v>
      </c>
      <c r="M760" s="12" t="s">
        <v>30</v>
      </c>
      <c r="N760" s="12" t="s">
        <v>76</v>
      </c>
      <c r="O760" s="12" t="s">
        <v>75</v>
      </c>
    </row>
    <row r="761" spans="1:15" ht="21" customHeight="1" x14ac:dyDescent="0.3">
      <c r="A761" s="17"/>
      <c r="B761" s="2" t="s">
        <v>14</v>
      </c>
      <c r="C761" s="3">
        <v>24</v>
      </c>
      <c r="D761" s="4" t="s">
        <v>37</v>
      </c>
      <c r="E761" s="2" t="s">
        <v>16</v>
      </c>
      <c r="F761" s="2" t="s">
        <v>42</v>
      </c>
      <c r="G761" s="5">
        <v>4</v>
      </c>
      <c r="H761" s="20">
        <v>20000000</v>
      </c>
      <c r="I761" s="2">
        <v>1</v>
      </c>
      <c r="J761" s="6">
        <v>3.2407407407407406E-3</v>
      </c>
      <c r="K761" s="2" t="s">
        <v>61</v>
      </c>
      <c r="L761" s="2" t="s">
        <v>19</v>
      </c>
      <c r="M761" s="2" t="s">
        <v>30</v>
      </c>
      <c r="N761" s="2" t="s">
        <v>66</v>
      </c>
      <c r="O761" s="2" t="s">
        <v>36</v>
      </c>
    </row>
    <row r="762" spans="1:15" ht="21" customHeight="1" x14ac:dyDescent="0.3">
      <c r="A762" s="17"/>
      <c r="B762" s="12" t="s">
        <v>14</v>
      </c>
      <c r="C762" s="13">
        <v>26</v>
      </c>
      <c r="D762" s="14" t="s">
        <v>37</v>
      </c>
      <c r="E762" s="12" t="s">
        <v>28</v>
      </c>
      <c r="F762" s="12" t="s">
        <v>42</v>
      </c>
      <c r="G762" s="15">
        <v>5</v>
      </c>
      <c r="H762" s="21">
        <v>20000000</v>
      </c>
      <c r="I762" s="12">
        <v>2</v>
      </c>
      <c r="J762" s="16">
        <v>3.2407407407407406E-3</v>
      </c>
      <c r="K762" s="12" t="s">
        <v>18</v>
      </c>
      <c r="L762" s="12" t="s">
        <v>19</v>
      </c>
      <c r="M762" s="12" t="s">
        <v>30</v>
      </c>
      <c r="N762" s="12" t="s">
        <v>78</v>
      </c>
      <c r="O762" s="12" t="s">
        <v>41</v>
      </c>
    </row>
    <row r="763" spans="1:15" ht="21" customHeight="1" x14ac:dyDescent="0.3">
      <c r="A763" s="17"/>
      <c r="B763" s="2" t="s">
        <v>14</v>
      </c>
      <c r="C763" s="3">
        <v>1</v>
      </c>
      <c r="D763" s="4" t="s">
        <v>37</v>
      </c>
      <c r="E763" s="2" t="s">
        <v>32</v>
      </c>
      <c r="F763" s="2" t="s">
        <v>45</v>
      </c>
      <c r="G763" s="5">
        <v>4</v>
      </c>
      <c r="H763" s="20">
        <v>20000000</v>
      </c>
      <c r="I763" s="2">
        <v>2</v>
      </c>
      <c r="J763" s="6">
        <v>3.2407407407407406E-3</v>
      </c>
      <c r="K763" s="2" t="s">
        <v>18</v>
      </c>
      <c r="L763" s="2" t="s">
        <v>39</v>
      </c>
      <c r="M763" s="2" t="s">
        <v>33</v>
      </c>
      <c r="N763" s="2" t="s">
        <v>78</v>
      </c>
      <c r="O763" s="2" t="s">
        <v>63</v>
      </c>
    </row>
    <row r="764" spans="1:15" ht="21" customHeight="1" x14ac:dyDescent="0.3">
      <c r="A764" s="17"/>
      <c r="B764" s="12" t="s">
        <v>14</v>
      </c>
      <c r="C764" s="13">
        <v>30</v>
      </c>
      <c r="D764" s="14" t="s">
        <v>37</v>
      </c>
      <c r="E764" s="12" t="s">
        <v>49</v>
      </c>
      <c r="F764" s="12" t="s">
        <v>45</v>
      </c>
      <c r="G764" s="15">
        <v>1</v>
      </c>
      <c r="H764" s="21">
        <v>7000000</v>
      </c>
      <c r="I764" s="12">
        <v>3</v>
      </c>
      <c r="J764" s="16">
        <v>3.2407407407407406E-3</v>
      </c>
      <c r="K764" s="12" t="s">
        <v>18</v>
      </c>
      <c r="L764" s="12" t="s">
        <v>47</v>
      </c>
      <c r="M764" s="12" t="s">
        <v>33</v>
      </c>
      <c r="N764" s="12" t="s">
        <v>77</v>
      </c>
      <c r="O764" s="12" t="s">
        <v>54</v>
      </c>
    </row>
    <row r="765" spans="1:15" ht="21" customHeight="1" x14ac:dyDescent="0.3">
      <c r="A765" s="17"/>
      <c r="B765" s="2" t="s">
        <v>14</v>
      </c>
      <c r="C765" s="3">
        <v>8</v>
      </c>
      <c r="D765" s="4" t="s">
        <v>37</v>
      </c>
      <c r="E765" s="2" t="s">
        <v>32</v>
      </c>
      <c r="F765" s="2" t="s">
        <v>23</v>
      </c>
      <c r="G765" s="5">
        <v>5</v>
      </c>
      <c r="H765" s="20">
        <v>25000000</v>
      </c>
      <c r="I765" s="2">
        <v>4</v>
      </c>
      <c r="J765" s="6">
        <v>3.2407407407407406E-3</v>
      </c>
      <c r="K765" s="2" t="s">
        <v>18</v>
      </c>
      <c r="L765" s="2" t="s">
        <v>24</v>
      </c>
      <c r="M765" s="2" t="s">
        <v>20</v>
      </c>
      <c r="N765" s="2" t="s">
        <v>77</v>
      </c>
      <c r="O765" s="2" t="s">
        <v>65</v>
      </c>
    </row>
    <row r="766" spans="1:15" ht="21" customHeight="1" x14ac:dyDescent="0.3">
      <c r="A766" s="17"/>
      <c r="B766" s="12" t="s">
        <v>14</v>
      </c>
      <c r="C766" s="13">
        <v>11</v>
      </c>
      <c r="D766" s="14" t="s">
        <v>37</v>
      </c>
      <c r="E766" s="12" t="s">
        <v>16</v>
      </c>
      <c r="F766" s="12" t="s">
        <v>42</v>
      </c>
      <c r="G766" s="15">
        <v>3</v>
      </c>
      <c r="H766" s="21">
        <v>15000000</v>
      </c>
      <c r="I766" s="12">
        <v>3</v>
      </c>
      <c r="J766" s="16">
        <v>3.2407407407407406E-3</v>
      </c>
      <c r="K766" s="12" t="s">
        <v>18</v>
      </c>
      <c r="L766" s="12" t="s">
        <v>39</v>
      </c>
      <c r="M766" s="12" t="s">
        <v>25</v>
      </c>
      <c r="N766" s="12" t="s">
        <v>78</v>
      </c>
      <c r="O766" s="12" t="s">
        <v>63</v>
      </c>
    </row>
    <row r="767" spans="1:15" ht="21" customHeight="1" x14ac:dyDescent="0.3">
      <c r="A767" s="17"/>
      <c r="B767" s="2" t="s">
        <v>14</v>
      </c>
      <c r="C767" s="3">
        <v>11</v>
      </c>
      <c r="D767" s="4" t="s">
        <v>37</v>
      </c>
      <c r="E767" s="2" t="s">
        <v>38</v>
      </c>
      <c r="F767" s="2" t="s">
        <v>42</v>
      </c>
      <c r="G767" s="5">
        <v>3</v>
      </c>
      <c r="H767" s="20">
        <v>15000000</v>
      </c>
      <c r="I767" s="2">
        <v>1</v>
      </c>
      <c r="J767" s="6">
        <v>3.2407407407407406E-3</v>
      </c>
      <c r="K767" s="2" t="s">
        <v>18</v>
      </c>
      <c r="L767" s="2" t="s">
        <v>35</v>
      </c>
      <c r="M767" s="2" t="s">
        <v>48</v>
      </c>
      <c r="N767" s="2" t="s">
        <v>78</v>
      </c>
      <c r="O767" s="2" t="s">
        <v>41</v>
      </c>
    </row>
    <row r="768" spans="1:15" ht="21" customHeight="1" x14ac:dyDescent="0.3">
      <c r="A768" s="17"/>
      <c r="B768" s="12" t="s">
        <v>14</v>
      </c>
      <c r="C768" s="13">
        <v>9</v>
      </c>
      <c r="D768" s="14" t="s">
        <v>44</v>
      </c>
      <c r="E768" s="12" t="s">
        <v>38</v>
      </c>
      <c r="F768" s="12" t="s">
        <v>23</v>
      </c>
      <c r="G768" s="15">
        <v>1</v>
      </c>
      <c r="H768" s="21">
        <v>19000000</v>
      </c>
      <c r="I768" s="12">
        <v>5</v>
      </c>
      <c r="J768" s="16">
        <v>3.2407407407407406E-3</v>
      </c>
      <c r="K768" s="12" t="s">
        <v>46</v>
      </c>
      <c r="L768" s="12" t="s">
        <v>29</v>
      </c>
      <c r="M768" s="12" t="s">
        <v>51</v>
      </c>
      <c r="N768" s="12" t="s">
        <v>77</v>
      </c>
      <c r="O768" s="12" t="s">
        <v>54</v>
      </c>
    </row>
    <row r="769" spans="1:15" ht="21" customHeight="1" x14ac:dyDescent="0.3">
      <c r="A769" s="17"/>
      <c r="B769" s="2" t="s">
        <v>14</v>
      </c>
      <c r="C769" s="3">
        <v>22</v>
      </c>
      <c r="D769" s="4" t="s">
        <v>44</v>
      </c>
      <c r="E769" s="2" t="s">
        <v>32</v>
      </c>
      <c r="F769" s="2" t="s">
        <v>42</v>
      </c>
      <c r="G769" s="5">
        <v>1</v>
      </c>
      <c r="H769" s="20">
        <v>19000000</v>
      </c>
      <c r="I769" s="2">
        <v>1</v>
      </c>
      <c r="J769" s="6">
        <v>3.2407407407407406E-3</v>
      </c>
      <c r="K769" s="2" t="s">
        <v>46</v>
      </c>
      <c r="L769" s="2" t="s">
        <v>64</v>
      </c>
      <c r="M769" s="2" t="s">
        <v>51</v>
      </c>
      <c r="N769" s="2" t="s">
        <v>76</v>
      </c>
      <c r="O769" s="2" t="s">
        <v>31</v>
      </c>
    </row>
    <row r="770" spans="1:15" ht="21" customHeight="1" x14ac:dyDescent="0.3">
      <c r="A770" s="17"/>
      <c r="B770" s="12" t="s">
        <v>14</v>
      </c>
      <c r="C770" s="13">
        <v>12</v>
      </c>
      <c r="D770" s="14" t="s">
        <v>44</v>
      </c>
      <c r="E770" s="12" t="s">
        <v>28</v>
      </c>
      <c r="F770" s="12" t="s">
        <v>42</v>
      </c>
      <c r="G770" s="15">
        <v>4</v>
      </c>
      <c r="H770" s="21">
        <v>20000000</v>
      </c>
      <c r="I770" s="12">
        <v>2</v>
      </c>
      <c r="J770" s="16">
        <v>3.2407407407407406E-3</v>
      </c>
      <c r="K770" s="12" t="s">
        <v>18</v>
      </c>
      <c r="L770" s="12" t="s">
        <v>29</v>
      </c>
      <c r="M770" s="12" t="s">
        <v>33</v>
      </c>
      <c r="N770" s="12" t="s">
        <v>78</v>
      </c>
      <c r="O770" s="12" t="s">
        <v>53</v>
      </c>
    </row>
    <row r="771" spans="1:15" ht="21" customHeight="1" x14ac:dyDescent="0.3">
      <c r="A771" s="17"/>
      <c r="B771" s="2" t="s">
        <v>14</v>
      </c>
      <c r="C771" s="3">
        <v>22</v>
      </c>
      <c r="D771" s="4" t="s">
        <v>44</v>
      </c>
      <c r="E771" s="2" t="s">
        <v>32</v>
      </c>
      <c r="F771" s="2" t="s">
        <v>42</v>
      </c>
      <c r="G771" s="5">
        <v>3</v>
      </c>
      <c r="H771" s="20">
        <v>15000000</v>
      </c>
      <c r="I771" s="2">
        <v>1</v>
      </c>
      <c r="J771" s="6">
        <v>3.2407407407407406E-3</v>
      </c>
      <c r="K771" s="2" t="s">
        <v>18</v>
      </c>
      <c r="L771" s="2" t="s">
        <v>19</v>
      </c>
      <c r="M771" s="2" t="s">
        <v>48</v>
      </c>
      <c r="N771" s="2" t="s">
        <v>78</v>
      </c>
      <c r="O771" s="2" t="s">
        <v>63</v>
      </c>
    </row>
    <row r="772" spans="1:15" ht="21" customHeight="1" x14ac:dyDescent="0.3">
      <c r="A772" s="17"/>
      <c r="B772" s="12" t="s">
        <v>14</v>
      </c>
      <c r="C772" s="13">
        <v>16</v>
      </c>
      <c r="D772" s="14" t="s">
        <v>55</v>
      </c>
      <c r="E772" s="12" t="s">
        <v>32</v>
      </c>
      <c r="F772" s="12" t="s">
        <v>23</v>
      </c>
      <c r="G772" s="15">
        <v>2</v>
      </c>
      <c r="H772" s="21">
        <v>12000000</v>
      </c>
      <c r="I772" s="12">
        <v>1</v>
      </c>
      <c r="J772" s="16">
        <v>3.2407407407407406E-3</v>
      </c>
      <c r="K772" s="12" t="s">
        <v>18</v>
      </c>
      <c r="L772" s="12" t="s">
        <v>29</v>
      </c>
      <c r="M772" s="12" t="s">
        <v>40</v>
      </c>
      <c r="N772" s="12" t="s">
        <v>76</v>
      </c>
      <c r="O772" s="12" t="s">
        <v>26</v>
      </c>
    </row>
    <row r="773" spans="1:15" ht="21" customHeight="1" x14ac:dyDescent="0.3">
      <c r="A773" s="17"/>
      <c r="B773" s="2" t="s">
        <v>14</v>
      </c>
      <c r="C773" s="3">
        <v>11</v>
      </c>
      <c r="D773" s="4" t="s">
        <v>57</v>
      </c>
      <c r="E773" s="2" t="s">
        <v>16</v>
      </c>
      <c r="F773" s="2" t="s">
        <v>42</v>
      </c>
      <c r="G773" s="5">
        <v>2</v>
      </c>
      <c r="H773" s="20">
        <v>12000000</v>
      </c>
      <c r="I773" s="2">
        <v>4</v>
      </c>
      <c r="J773" s="6">
        <v>3.2407407407407406E-3</v>
      </c>
      <c r="K773" s="2" t="s">
        <v>18</v>
      </c>
      <c r="L773" s="2" t="s">
        <v>19</v>
      </c>
      <c r="M773" s="2" t="s">
        <v>43</v>
      </c>
      <c r="N773" s="2" t="s">
        <v>66</v>
      </c>
      <c r="O773" s="2" t="s">
        <v>36</v>
      </c>
    </row>
    <row r="774" spans="1:15" ht="21" customHeight="1" x14ac:dyDescent="0.3">
      <c r="A774" s="17"/>
      <c r="B774" s="12" t="s">
        <v>14</v>
      </c>
      <c r="C774" s="13">
        <v>1</v>
      </c>
      <c r="D774" s="14" t="s">
        <v>59</v>
      </c>
      <c r="E774" s="12" t="s">
        <v>32</v>
      </c>
      <c r="F774" s="12" t="s">
        <v>23</v>
      </c>
      <c r="G774" s="15">
        <v>2</v>
      </c>
      <c r="H774" s="21">
        <v>12000000</v>
      </c>
      <c r="I774" s="12">
        <v>2</v>
      </c>
      <c r="J774" s="16">
        <v>3.2407407407407406E-3</v>
      </c>
      <c r="K774" s="12" t="s">
        <v>18</v>
      </c>
      <c r="L774" s="12" t="s">
        <v>29</v>
      </c>
      <c r="M774" s="12" t="s">
        <v>51</v>
      </c>
      <c r="N774" s="12" t="s">
        <v>66</v>
      </c>
      <c r="O774" s="12" t="s">
        <v>67</v>
      </c>
    </row>
    <row r="775" spans="1:15" ht="21" customHeight="1" x14ac:dyDescent="0.3">
      <c r="A775" s="17"/>
      <c r="B775" s="2" t="s">
        <v>70</v>
      </c>
      <c r="C775" s="3">
        <v>15</v>
      </c>
      <c r="D775" s="4" t="s">
        <v>58</v>
      </c>
      <c r="E775" s="2" t="s">
        <v>38</v>
      </c>
      <c r="F775" s="2" t="s">
        <v>17</v>
      </c>
      <c r="G775" s="5">
        <v>0</v>
      </c>
      <c r="H775" s="20">
        <v>0</v>
      </c>
      <c r="I775" s="2">
        <v>2</v>
      </c>
      <c r="J775" s="6">
        <v>3.2407407407407406E-3</v>
      </c>
      <c r="K775" s="2"/>
      <c r="L775" s="2"/>
      <c r="M775" s="2" t="s">
        <v>43</v>
      </c>
      <c r="N775" s="2" t="s">
        <v>76</v>
      </c>
      <c r="O775" s="2" t="s">
        <v>26</v>
      </c>
    </row>
    <row r="776" spans="1:15" ht="21" customHeight="1" x14ac:dyDescent="0.3">
      <c r="A776" s="17"/>
      <c r="B776" s="12" t="s">
        <v>70</v>
      </c>
      <c r="C776" s="13">
        <v>11</v>
      </c>
      <c r="D776" s="14" t="s">
        <v>59</v>
      </c>
      <c r="E776" s="12" t="s">
        <v>16</v>
      </c>
      <c r="F776" s="12" t="s">
        <v>42</v>
      </c>
      <c r="G776" s="15">
        <v>0</v>
      </c>
      <c r="H776" s="21">
        <v>0</v>
      </c>
      <c r="I776" s="12">
        <v>5</v>
      </c>
      <c r="J776" s="16">
        <v>3.2407407407407406E-3</v>
      </c>
      <c r="K776" s="12"/>
      <c r="L776" s="12"/>
      <c r="M776" s="12" t="s">
        <v>33</v>
      </c>
      <c r="N776" s="12" t="s">
        <v>66</v>
      </c>
      <c r="O776" s="12" t="s">
        <v>67</v>
      </c>
    </row>
    <row r="777" spans="1:15" ht="21" customHeight="1" x14ac:dyDescent="0.3">
      <c r="A777" s="17"/>
      <c r="B777" s="2" t="s">
        <v>70</v>
      </c>
      <c r="C777" s="3">
        <v>14</v>
      </c>
      <c r="D777" s="4" t="s">
        <v>22</v>
      </c>
      <c r="E777" s="2" t="s">
        <v>28</v>
      </c>
      <c r="F777" s="2" t="s">
        <v>42</v>
      </c>
      <c r="G777" s="5">
        <v>0</v>
      </c>
      <c r="H777" s="20">
        <v>0</v>
      </c>
      <c r="I777" s="2">
        <v>4</v>
      </c>
      <c r="J777" s="6">
        <v>3.2407407407407406E-3</v>
      </c>
      <c r="K777" s="2"/>
      <c r="L777" s="2"/>
      <c r="M777" s="2" t="s">
        <v>43</v>
      </c>
      <c r="N777" s="2" t="s">
        <v>78</v>
      </c>
      <c r="O777" s="2" t="s">
        <v>41</v>
      </c>
    </row>
    <row r="778" spans="1:15" ht="21" customHeight="1" x14ac:dyDescent="0.3">
      <c r="A778" s="17"/>
      <c r="B778" s="12" t="s">
        <v>70</v>
      </c>
      <c r="C778" s="13">
        <v>24</v>
      </c>
      <c r="D778" s="14" t="s">
        <v>27</v>
      </c>
      <c r="E778" s="12" t="s">
        <v>73</v>
      </c>
      <c r="F778" s="12" t="s">
        <v>42</v>
      </c>
      <c r="G778" s="15">
        <v>0</v>
      </c>
      <c r="H778" s="21">
        <v>0</v>
      </c>
      <c r="I778" s="12">
        <v>3</v>
      </c>
      <c r="J778" s="16">
        <v>3.2407407407407406E-3</v>
      </c>
      <c r="K778" s="12"/>
      <c r="L778" s="12"/>
      <c r="M778" s="12" t="s">
        <v>20</v>
      </c>
      <c r="N778" s="12" t="s">
        <v>78</v>
      </c>
      <c r="O778" s="12" t="s">
        <v>63</v>
      </c>
    </row>
    <row r="779" spans="1:15" ht="21" customHeight="1" x14ac:dyDescent="0.3">
      <c r="A779" s="17"/>
      <c r="B779" s="2" t="s">
        <v>70</v>
      </c>
      <c r="C779" s="3">
        <v>1</v>
      </c>
      <c r="D779" s="4" t="s">
        <v>37</v>
      </c>
      <c r="E779" s="2" t="s">
        <v>16</v>
      </c>
      <c r="F779" s="2" t="s">
        <v>42</v>
      </c>
      <c r="G779" s="5">
        <v>0</v>
      </c>
      <c r="H779" s="20">
        <v>0</v>
      </c>
      <c r="I779" s="2">
        <v>1</v>
      </c>
      <c r="J779" s="6">
        <v>3.2407407407407406E-3</v>
      </c>
      <c r="K779" s="2"/>
      <c r="L779" s="2"/>
      <c r="M779" s="2" t="s">
        <v>43</v>
      </c>
      <c r="N779" s="2" t="s">
        <v>76</v>
      </c>
      <c r="O779" s="2" t="s">
        <v>52</v>
      </c>
    </row>
    <row r="780" spans="1:15" ht="21" customHeight="1" x14ac:dyDescent="0.3">
      <c r="A780" s="17"/>
      <c r="B780" s="12" t="s">
        <v>70</v>
      </c>
      <c r="C780" s="13">
        <v>19</v>
      </c>
      <c r="D780" s="14" t="s">
        <v>69</v>
      </c>
      <c r="E780" s="12" t="s">
        <v>32</v>
      </c>
      <c r="F780" s="12" t="s">
        <v>42</v>
      </c>
      <c r="G780" s="15">
        <v>0</v>
      </c>
      <c r="H780" s="21">
        <v>0</v>
      </c>
      <c r="I780" s="12">
        <v>2</v>
      </c>
      <c r="J780" s="16">
        <v>3.2407407407407406E-3</v>
      </c>
      <c r="K780" s="12"/>
      <c r="L780" s="12"/>
      <c r="M780" s="12" t="s">
        <v>30</v>
      </c>
      <c r="N780" s="12" t="s">
        <v>66</v>
      </c>
      <c r="O780" s="12" t="s">
        <v>67</v>
      </c>
    </row>
    <row r="781" spans="1:15" ht="21" customHeight="1" x14ac:dyDescent="0.3">
      <c r="A781" s="17"/>
      <c r="B781" s="2" t="s">
        <v>70</v>
      </c>
      <c r="C781" s="3">
        <v>15</v>
      </c>
      <c r="D781" s="4" t="s">
        <v>58</v>
      </c>
      <c r="E781" s="2" t="s">
        <v>38</v>
      </c>
      <c r="F781" s="2" t="s">
        <v>17</v>
      </c>
      <c r="G781" s="5">
        <v>0</v>
      </c>
      <c r="H781" s="20">
        <v>0</v>
      </c>
      <c r="I781" s="2">
        <v>2</v>
      </c>
      <c r="J781" s="6">
        <v>3.2407407407407406E-3</v>
      </c>
      <c r="K781" s="2"/>
      <c r="L781" s="2"/>
      <c r="M781" s="2" t="s">
        <v>43</v>
      </c>
      <c r="N781" s="2" t="s">
        <v>76</v>
      </c>
      <c r="O781" s="2" t="s">
        <v>26</v>
      </c>
    </row>
    <row r="782" spans="1:15" ht="21" customHeight="1" x14ac:dyDescent="0.3">
      <c r="A782" s="17"/>
      <c r="B782" s="12" t="s">
        <v>70</v>
      </c>
      <c r="C782" s="13">
        <v>11</v>
      </c>
      <c r="D782" s="14" t="s">
        <v>59</v>
      </c>
      <c r="E782" s="12" t="s">
        <v>16</v>
      </c>
      <c r="F782" s="12" t="s">
        <v>42</v>
      </c>
      <c r="G782" s="15">
        <v>0</v>
      </c>
      <c r="H782" s="21">
        <v>0</v>
      </c>
      <c r="I782" s="12">
        <v>5</v>
      </c>
      <c r="J782" s="16">
        <v>3.2407407407407406E-3</v>
      </c>
      <c r="K782" s="12"/>
      <c r="L782" s="12"/>
      <c r="M782" s="12" t="s">
        <v>33</v>
      </c>
      <c r="N782" s="12" t="s">
        <v>66</v>
      </c>
      <c r="O782" s="12" t="s">
        <v>67</v>
      </c>
    </row>
    <row r="783" spans="1:15" ht="21" customHeight="1" x14ac:dyDescent="0.3">
      <c r="A783" s="17"/>
      <c r="B783" s="2" t="s">
        <v>14</v>
      </c>
      <c r="C783" s="3">
        <v>19</v>
      </c>
      <c r="D783" s="4" t="s">
        <v>22</v>
      </c>
      <c r="E783" s="2" t="s">
        <v>28</v>
      </c>
      <c r="F783" s="2" t="s">
        <v>45</v>
      </c>
      <c r="G783" s="5">
        <v>1</v>
      </c>
      <c r="H783" s="20">
        <v>7000000</v>
      </c>
      <c r="I783" s="2">
        <v>5</v>
      </c>
      <c r="J783" s="6">
        <v>3.2986111111111111E-3</v>
      </c>
      <c r="K783" s="2" t="s">
        <v>18</v>
      </c>
      <c r="L783" s="2" t="s">
        <v>24</v>
      </c>
      <c r="M783" s="2" t="s">
        <v>48</v>
      </c>
      <c r="N783" s="2" t="s">
        <v>78</v>
      </c>
      <c r="O783" s="2" t="s">
        <v>53</v>
      </c>
    </row>
    <row r="784" spans="1:15" ht="21" customHeight="1" x14ac:dyDescent="0.3">
      <c r="A784" s="17"/>
      <c r="B784" s="12" t="s">
        <v>14</v>
      </c>
      <c r="C784" s="13">
        <v>5</v>
      </c>
      <c r="D784" s="14" t="s">
        <v>27</v>
      </c>
      <c r="E784" s="12" t="s">
        <v>32</v>
      </c>
      <c r="F784" s="12" t="s">
        <v>42</v>
      </c>
      <c r="G784" s="15">
        <v>4</v>
      </c>
      <c r="H784" s="21">
        <v>15000000</v>
      </c>
      <c r="I784" s="12">
        <v>3</v>
      </c>
      <c r="J784" s="16">
        <v>3.2986111111111111E-3</v>
      </c>
      <c r="K784" s="12" t="s">
        <v>18</v>
      </c>
      <c r="L784" s="12" t="s">
        <v>19</v>
      </c>
      <c r="M784" s="12" t="s">
        <v>33</v>
      </c>
      <c r="N784" s="12" t="s">
        <v>66</v>
      </c>
      <c r="O784" s="12" t="s">
        <v>67</v>
      </c>
    </row>
    <row r="785" spans="1:15" ht="21" customHeight="1" x14ac:dyDescent="0.3">
      <c r="A785" s="17"/>
      <c r="B785" s="2" t="s">
        <v>14</v>
      </c>
      <c r="C785" s="3">
        <v>11</v>
      </c>
      <c r="D785" s="4" t="s">
        <v>37</v>
      </c>
      <c r="E785" s="2" t="s">
        <v>16</v>
      </c>
      <c r="F785" s="2" t="s">
        <v>45</v>
      </c>
      <c r="G785" s="5">
        <v>2</v>
      </c>
      <c r="H785" s="20">
        <v>38000000</v>
      </c>
      <c r="I785" s="2">
        <v>1</v>
      </c>
      <c r="J785" s="6">
        <v>3.2986111111111111E-3</v>
      </c>
      <c r="K785" s="2" t="s">
        <v>46</v>
      </c>
      <c r="L785" s="2" t="s">
        <v>19</v>
      </c>
      <c r="M785" s="2" t="s">
        <v>40</v>
      </c>
      <c r="N785" s="2" t="s">
        <v>78</v>
      </c>
      <c r="O785" s="2" t="s">
        <v>53</v>
      </c>
    </row>
    <row r="786" spans="1:15" ht="21" customHeight="1" x14ac:dyDescent="0.3">
      <c r="A786" s="17"/>
      <c r="B786" s="12" t="s">
        <v>14</v>
      </c>
      <c r="C786" s="13">
        <v>1</v>
      </c>
      <c r="D786" s="14" t="s">
        <v>37</v>
      </c>
      <c r="E786" s="12" t="s">
        <v>49</v>
      </c>
      <c r="F786" s="12" t="s">
        <v>17</v>
      </c>
      <c r="G786" s="15">
        <v>3</v>
      </c>
      <c r="H786" s="21">
        <v>15000000</v>
      </c>
      <c r="I786" s="12">
        <v>1</v>
      </c>
      <c r="J786" s="16">
        <v>3.2986111111111111E-3</v>
      </c>
      <c r="K786" s="12" t="s">
        <v>18</v>
      </c>
      <c r="L786" s="12" t="s">
        <v>39</v>
      </c>
      <c r="M786" s="12" t="s">
        <v>30</v>
      </c>
      <c r="N786" s="12" t="s">
        <v>66</v>
      </c>
      <c r="O786" s="12" t="s">
        <v>36</v>
      </c>
    </row>
    <row r="787" spans="1:15" ht="21" customHeight="1" x14ac:dyDescent="0.3">
      <c r="A787" s="17"/>
      <c r="B787" s="2" t="s">
        <v>14</v>
      </c>
      <c r="C787" s="3">
        <v>21</v>
      </c>
      <c r="D787" s="4" t="s">
        <v>37</v>
      </c>
      <c r="E787" s="2" t="s">
        <v>28</v>
      </c>
      <c r="F787" s="2" t="s">
        <v>17</v>
      </c>
      <c r="G787" s="5">
        <v>5</v>
      </c>
      <c r="H787" s="20">
        <v>20000000</v>
      </c>
      <c r="I787" s="2">
        <v>5</v>
      </c>
      <c r="J787" s="6">
        <v>3.2986111111111111E-3</v>
      </c>
      <c r="K787" s="2" t="s">
        <v>18</v>
      </c>
      <c r="L787" s="2" t="s">
        <v>56</v>
      </c>
      <c r="M787" s="2" t="s">
        <v>20</v>
      </c>
      <c r="N787" s="2" t="s">
        <v>76</v>
      </c>
      <c r="O787" s="2" t="s">
        <v>31</v>
      </c>
    </row>
    <row r="788" spans="1:15" ht="21" customHeight="1" x14ac:dyDescent="0.3">
      <c r="A788" s="17"/>
      <c r="B788" s="12" t="s">
        <v>14</v>
      </c>
      <c r="C788" s="13">
        <v>27</v>
      </c>
      <c r="D788" s="14" t="s">
        <v>44</v>
      </c>
      <c r="E788" s="12" t="s">
        <v>38</v>
      </c>
      <c r="F788" s="12" t="s">
        <v>42</v>
      </c>
      <c r="G788" s="15">
        <v>3</v>
      </c>
      <c r="H788" s="21">
        <v>11000000</v>
      </c>
      <c r="I788" s="12">
        <v>3</v>
      </c>
      <c r="J788" s="16">
        <v>3.2986111111111111E-3</v>
      </c>
      <c r="K788" s="12" t="s">
        <v>18</v>
      </c>
      <c r="L788" s="12" t="s">
        <v>56</v>
      </c>
      <c r="M788" s="12" t="s">
        <v>48</v>
      </c>
      <c r="N788" s="12" t="s">
        <v>77</v>
      </c>
      <c r="O788" s="12" t="s">
        <v>34</v>
      </c>
    </row>
    <row r="789" spans="1:15" ht="21" customHeight="1" x14ac:dyDescent="0.3">
      <c r="A789" s="17"/>
      <c r="B789" s="2" t="s">
        <v>14</v>
      </c>
      <c r="C789" s="3">
        <v>28</v>
      </c>
      <c r="D789" s="4" t="s">
        <v>44</v>
      </c>
      <c r="E789" s="2" t="s">
        <v>38</v>
      </c>
      <c r="F789" s="2" t="s">
        <v>23</v>
      </c>
      <c r="G789" s="5">
        <v>2</v>
      </c>
      <c r="H789" s="20">
        <v>12000000</v>
      </c>
      <c r="I789" s="2">
        <v>3</v>
      </c>
      <c r="J789" s="6">
        <v>3.2986111111111111E-3</v>
      </c>
      <c r="K789" s="2" t="s">
        <v>18</v>
      </c>
      <c r="L789" s="2" t="s">
        <v>39</v>
      </c>
      <c r="M789" s="2" t="s">
        <v>51</v>
      </c>
      <c r="N789" s="2" t="s">
        <v>78</v>
      </c>
      <c r="O789" s="2" t="s">
        <v>62</v>
      </c>
    </row>
    <row r="790" spans="1:15" ht="21" customHeight="1" x14ac:dyDescent="0.3">
      <c r="A790" s="17"/>
      <c r="B790" s="12" t="s">
        <v>14</v>
      </c>
      <c r="C790" s="13">
        <v>11</v>
      </c>
      <c r="D790" s="14" t="s">
        <v>69</v>
      </c>
      <c r="E790" s="12" t="s">
        <v>38</v>
      </c>
      <c r="F790" s="12" t="s">
        <v>23</v>
      </c>
      <c r="G790" s="15">
        <v>1</v>
      </c>
      <c r="H790" s="21">
        <v>19000000</v>
      </c>
      <c r="I790" s="12">
        <v>1</v>
      </c>
      <c r="J790" s="16">
        <v>3.2986111111111111E-3</v>
      </c>
      <c r="K790" s="12" t="s">
        <v>46</v>
      </c>
      <c r="L790" s="12" t="s">
        <v>29</v>
      </c>
      <c r="M790" s="12" t="s">
        <v>30</v>
      </c>
      <c r="N790" s="12" t="s">
        <v>78</v>
      </c>
      <c r="O790" s="12" t="s">
        <v>66</v>
      </c>
    </row>
    <row r="791" spans="1:15" ht="21" customHeight="1" x14ac:dyDescent="0.3">
      <c r="A791" s="17"/>
      <c r="B791" s="2" t="s">
        <v>14</v>
      </c>
      <c r="C791" s="3">
        <v>25</v>
      </c>
      <c r="D791" s="4" t="s">
        <v>69</v>
      </c>
      <c r="E791" s="2" t="s">
        <v>16</v>
      </c>
      <c r="F791" s="2" t="s">
        <v>23</v>
      </c>
      <c r="G791" s="5">
        <v>2</v>
      </c>
      <c r="H791" s="20">
        <v>12000000</v>
      </c>
      <c r="I791" s="2">
        <v>1</v>
      </c>
      <c r="J791" s="6">
        <v>3.2986111111111111E-3</v>
      </c>
      <c r="K791" s="2" t="s">
        <v>18</v>
      </c>
      <c r="L791" s="2" t="s">
        <v>56</v>
      </c>
      <c r="M791" s="2" t="s">
        <v>43</v>
      </c>
      <c r="N791" s="2" t="s">
        <v>77</v>
      </c>
      <c r="O791" s="2" t="s">
        <v>54</v>
      </c>
    </row>
    <row r="792" spans="1:15" ht="21" customHeight="1" x14ac:dyDescent="0.3">
      <c r="A792" s="17"/>
      <c r="B792" s="12" t="s">
        <v>14</v>
      </c>
      <c r="C792" s="13">
        <v>23</v>
      </c>
      <c r="D792" s="14" t="s">
        <v>69</v>
      </c>
      <c r="E792" s="12" t="s">
        <v>16</v>
      </c>
      <c r="F792" s="12" t="s">
        <v>17</v>
      </c>
      <c r="G792" s="15">
        <v>2</v>
      </c>
      <c r="H792" s="21">
        <v>12000000</v>
      </c>
      <c r="I792" s="12">
        <v>1</v>
      </c>
      <c r="J792" s="16">
        <v>3.2986111111111111E-3</v>
      </c>
      <c r="K792" s="12" t="s">
        <v>18</v>
      </c>
      <c r="L792" s="12" t="s">
        <v>64</v>
      </c>
      <c r="M792" s="12" t="s">
        <v>48</v>
      </c>
      <c r="N792" s="12" t="s">
        <v>76</v>
      </c>
      <c r="O792" s="12" t="s">
        <v>26</v>
      </c>
    </row>
    <row r="793" spans="1:15" ht="21" customHeight="1" x14ac:dyDescent="0.3">
      <c r="A793" s="17"/>
      <c r="B793" s="2" t="s">
        <v>14</v>
      </c>
      <c r="C793" s="3">
        <v>19</v>
      </c>
      <c r="D793" s="4" t="s">
        <v>22</v>
      </c>
      <c r="E793" s="2" t="s">
        <v>28</v>
      </c>
      <c r="F793" s="2" t="s">
        <v>45</v>
      </c>
      <c r="G793" s="5">
        <v>1</v>
      </c>
      <c r="H793" s="20">
        <v>7000000</v>
      </c>
      <c r="I793" s="2">
        <v>5</v>
      </c>
      <c r="J793" s="6">
        <v>3.2986111111111111E-3</v>
      </c>
      <c r="K793" s="2" t="s">
        <v>18</v>
      </c>
      <c r="L793" s="2" t="s">
        <v>24</v>
      </c>
      <c r="M793" s="2" t="s">
        <v>48</v>
      </c>
      <c r="N793" s="2" t="s">
        <v>78</v>
      </c>
      <c r="O793" s="2" t="s">
        <v>53</v>
      </c>
    </row>
    <row r="794" spans="1:15" ht="21" customHeight="1" x14ac:dyDescent="0.3">
      <c r="A794" s="17"/>
      <c r="B794" s="12" t="s">
        <v>70</v>
      </c>
      <c r="C794" s="13">
        <v>11</v>
      </c>
      <c r="D794" s="14" t="s">
        <v>55</v>
      </c>
      <c r="E794" s="12" t="s">
        <v>38</v>
      </c>
      <c r="F794" s="12" t="s">
        <v>23</v>
      </c>
      <c r="G794" s="15">
        <v>0</v>
      </c>
      <c r="H794" s="21">
        <v>0</v>
      </c>
      <c r="I794" s="12">
        <v>4</v>
      </c>
      <c r="J794" s="16">
        <v>3.2986111111111111E-3</v>
      </c>
      <c r="K794" s="12"/>
      <c r="L794" s="12"/>
      <c r="M794" s="12" t="s">
        <v>30</v>
      </c>
      <c r="N794" s="12" t="s">
        <v>77</v>
      </c>
      <c r="O794" s="12" t="s">
        <v>65</v>
      </c>
    </row>
    <row r="795" spans="1:15" ht="21" customHeight="1" x14ac:dyDescent="0.3">
      <c r="A795" s="17"/>
      <c r="B795" s="2" t="s">
        <v>70</v>
      </c>
      <c r="C795" s="3">
        <v>19</v>
      </c>
      <c r="D795" s="4" t="s">
        <v>27</v>
      </c>
      <c r="E795" s="2" t="s">
        <v>16</v>
      </c>
      <c r="F795" s="2" t="s">
        <v>42</v>
      </c>
      <c r="G795" s="5">
        <v>0</v>
      </c>
      <c r="H795" s="20">
        <v>0</v>
      </c>
      <c r="I795" s="2">
        <v>6</v>
      </c>
      <c r="J795" s="6">
        <v>3.2986111111111111E-3</v>
      </c>
      <c r="K795" s="2"/>
      <c r="L795" s="2"/>
      <c r="M795" s="2" t="s">
        <v>30</v>
      </c>
      <c r="N795" s="2" t="s">
        <v>76</v>
      </c>
      <c r="O795" s="2" t="s">
        <v>71</v>
      </c>
    </row>
    <row r="796" spans="1:15" ht="21" customHeight="1" x14ac:dyDescent="0.3">
      <c r="A796" s="17"/>
      <c r="B796" s="12" t="s">
        <v>70</v>
      </c>
      <c r="C796" s="13">
        <v>18</v>
      </c>
      <c r="D796" s="14" t="s">
        <v>44</v>
      </c>
      <c r="E796" s="12" t="s">
        <v>73</v>
      </c>
      <c r="F796" s="12" t="s">
        <v>42</v>
      </c>
      <c r="G796" s="15">
        <v>0</v>
      </c>
      <c r="H796" s="21">
        <v>0</v>
      </c>
      <c r="I796" s="12">
        <v>4</v>
      </c>
      <c r="J796" s="16">
        <v>3.2986111111111111E-3</v>
      </c>
      <c r="K796" s="12"/>
      <c r="L796" s="12"/>
      <c r="M796" s="12" t="s">
        <v>51</v>
      </c>
      <c r="N796" s="12" t="s">
        <v>66</v>
      </c>
      <c r="O796" s="12" t="s">
        <v>67</v>
      </c>
    </row>
    <row r="797" spans="1:15" ht="21" customHeight="1" x14ac:dyDescent="0.3">
      <c r="A797" s="17"/>
      <c r="B797" s="2" t="s">
        <v>70</v>
      </c>
      <c r="C797" s="3">
        <v>11</v>
      </c>
      <c r="D797" s="4" t="s">
        <v>55</v>
      </c>
      <c r="E797" s="2" t="s">
        <v>38</v>
      </c>
      <c r="F797" s="2" t="s">
        <v>23</v>
      </c>
      <c r="G797" s="5">
        <v>0</v>
      </c>
      <c r="H797" s="20">
        <v>0</v>
      </c>
      <c r="I797" s="2">
        <v>4</v>
      </c>
      <c r="J797" s="6">
        <v>3.2986111111111111E-3</v>
      </c>
      <c r="K797" s="2"/>
      <c r="L797" s="2"/>
      <c r="M797" s="2" t="s">
        <v>30</v>
      </c>
      <c r="N797" s="2" t="s">
        <v>77</v>
      </c>
      <c r="O797" s="2" t="s">
        <v>65</v>
      </c>
    </row>
    <row r="798" spans="1:15" ht="21" customHeight="1" x14ac:dyDescent="0.3">
      <c r="A798" s="17"/>
      <c r="B798" s="12" t="s">
        <v>14</v>
      </c>
      <c r="C798" s="13">
        <v>13</v>
      </c>
      <c r="D798" s="14" t="s">
        <v>55</v>
      </c>
      <c r="E798" s="12" t="s">
        <v>49</v>
      </c>
      <c r="F798" s="12" t="s">
        <v>42</v>
      </c>
      <c r="G798" s="15">
        <v>2</v>
      </c>
      <c r="H798" s="21">
        <v>12000000</v>
      </c>
      <c r="I798" s="12">
        <v>1</v>
      </c>
      <c r="J798" s="16">
        <v>3.3333333333333335E-3</v>
      </c>
      <c r="K798" s="12" t="s">
        <v>18</v>
      </c>
      <c r="L798" s="12" t="s">
        <v>56</v>
      </c>
      <c r="M798" s="12" t="s">
        <v>30</v>
      </c>
      <c r="N798" s="12" t="s">
        <v>76</v>
      </c>
      <c r="O798" s="12" t="s">
        <v>26</v>
      </c>
    </row>
    <row r="799" spans="1:15" ht="21" customHeight="1" x14ac:dyDescent="0.3">
      <c r="A799" s="17"/>
      <c r="B799" s="2" t="s">
        <v>14</v>
      </c>
      <c r="C799" s="3">
        <v>1</v>
      </c>
      <c r="D799" s="4" t="s">
        <v>59</v>
      </c>
      <c r="E799" s="2" t="s">
        <v>49</v>
      </c>
      <c r="F799" s="2" t="s">
        <v>23</v>
      </c>
      <c r="G799" s="5">
        <v>4</v>
      </c>
      <c r="H799" s="20">
        <v>20000000</v>
      </c>
      <c r="I799" s="2">
        <v>4</v>
      </c>
      <c r="J799" s="6">
        <v>3.3333333333333335E-3</v>
      </c>
      <c r="K799" s="2" t="s">
        <v>61</v>
      </c>
      <c r="L799" s="2" t="s">
        <v>64</v>
      </c>
      <c r="M799" s="2" t="s">
        <v>43</v>
      </c>
      <c r="N799" s="2" t="s">
        <v>78</v>
      </c>
      <c r="O799" s="2" t="s">
        <v>63</v>
      </c>
    </row>
    <row r="800" spans="1:15" ht="21" customHeight="1" x14ac:dyDescent="0.3">
      <c r="A800" s="17"/>
      <c r="B800" s="12" t="s">
        <v>14</v>
      </c>
      <c r="C800" s="13">
        <v>12</v>
      </c>
      <c r="D800" s="14" t="s">
        <v>27</v>
      </c>
      <c r="E800" s="12" t="s">
        <v>49</v>
      </c>
      <c r="F800" s="12" t="s">
        <v>17</v>
      </c>
      <c r="G800" s="15">
        <v>2</v>
      </c>
      <c r="H800" s="21">
        <v>10000000</v>
      </c>
      <c r="I800" s="12">
        <v>5</v>
      </c>
      <c r="J800" s="16">
        <v>3.3333333333333335E-3</v>
      </c>
      <c r="K800" s="12" t="s">
        <v>18</v>
      </c>
      <c r="L800" s="12" t="s">
        <v>35</v>
      </c>
      <c r="M800" s="12" t="s">
        <v>51</v>
      </c>
      <c r="N800" s="12" t="s">
        <v>66</v>
      </c>
      <c r="O800" s="12" t="s">
        <v>67</v>
      </c>
    </row>
    <row r="801" spans="1:15" ht="21" customHeight="1" x14ac:dyDescent="0.3">
      <c r="A801" s="17"/>
      <c r="B801" s="2" t="s">
        <v>14</v>
      </c>
      <c r="C801" s="3">
        <v>13</v>
      </c>
      <c r="D801" s="4" t="s">
        <v>37</v>
      </c>
      <c r="E801" s="2" t="s">
        <v>16</v>
      </c>
      <c r="F801" s="2" t="s">
        <v>23</v>
      </c>
      <c r="G801" s="5">
        <v>1</v>
      </c>
      <c r="H801" s="20">
        <v>19000000</v>
      </c>
      <c r="I801" s="2">
        <v>4</v>
      </c>
      <c r="J801" s="6">
        <v>3.3333333333333335E-3</v>
      </c>
      <c r="K801" s="2" t="s">
        <v>46</v>
      </c>
      <c r="L801" s="2" t="s">
        <v>56</v>
      </c>
      <c r="M801" s="2" t="s">
        <v>33</v>
      </c>
      <c r="N801" s="2" t="s">
        <v>76</v>
      </c>
      <c r="O801" s="2" t="s">
        <v>31</v>
      </c>
    </row>
    <row r="802" spans="1:15" ht="21" customHeight="1" x14ac:dyDescent="0.3">
      <c r="A802" s="17"/>
      <c r="B802" s="12" t="s">
        <v>14</v>
      </c>
      <c r="C802" s="13">
        <v>8</v>
      </c>
      <c r="D802" s="14" t="s">
        <v>37</v>
      </c>
      <c r="E802" s="12" t="s">
        <v>49</v>
      </c>
      <c r="F802" s="12" t="s">
        <v>23</v>
      </c>
      <c r="G802" s="15">
        <v>3</v>
      </c>
      <c r="H802" s="21">
        <v>15000000</v>
      </c>
      <c r="I802" s="12">
        <v>3</v>
      </c>
      <c r="J802" s="16">
        <v>3.3333333333333335E-3</v>
      </c>
      <c r="K802" s="12" t="s">
        <v>18</v>
      </c>
      <c r="L802" s="12" t="s">
        <v>19</v>
      </c>
      <c r="M802" s="12" t="s">
        <v>40</v>
      </c>
      <c r="N802" s="12" t="s">
        <v>78</v>
      </c>
      <c r="O802" s="12" t="s">
        <v>41</v>
      </c>
    </row>
    <row r="803" spans="1:15" ht="21" customHeight="1" x14ac:dyDescent="0.3">
      <c r="A803" s="17"/>
      <c r="B803" s="2" t="s">
        <v>14</v>
      </c>
      <c r="C803" s="3">
        <v>17</v>
      </c>
      <c r="D803" s="4" t="s">
        <v>44</v>
      </c>
      <c r="E803" s="2" t="s">
        <v>16</v>
      </c>
      <c r="F803" s="2" t="s">
        <v>42</v>
      </c>
      <c r="G803" s="5">
        <v>2</v>
      </c>
      <c r="H803" s="20">
        <v>12000000</v>
      </c>
      <c r="I803" s="2">
        <v>3</v>
      </c>
      <c r="J803" s="6">
        <v>3.3333333333333335E-3</v>
      </c>
      <c r="K803" s="2" t="s">
        <v>18</v>
      </c>
      <c r="L803" s="2" t="s">
        <v>29</v>
      </c>
      <c r="M803" s="2" t="s">
        <v>40</v>
      </c>
      <c r="N803" s="2" t="s">
        <v>66</v>
      </c>
      <c r="O803" s="2" t="s">
        <v>67</v>
      </c>
    </row>
    <row r="804" spans="1:15" ht="21" customHeight="1" x14ac:dyDescent="0.3">
      <c r="A804" s="17"/>
      <c r="B804" s="12" t="s">
        <v>14</v>
      </c>
      <c r="C804" s="13">
        <v>12</v>
      </c>
      <c r="D804" s="14" t="s">
        <v>44</v>
      </c>
      <c r="E804" s="12" t="s">
        <v>28</v>
      </c>
      <c r="F804" s="12" t="s">
        <v>42</v>
      </c>
      <c r="G804" s="15">
        <v>3</v>
      </c>
      <c r="H804" s="21">
        <v>15000000</v>
      </c>
      <c r="I804" s="12">
        <v>1</v>
      </c>
      <c r="J804" s="16">
        <v>3.3333333333333335E-3</v>
      </c>
      <c r="K804" s="12" t="s">
        <v>18</v>
      </c>
      <c r="L804" s="12" t="s">
        <v>39</v>
      </c>
      <c r="M804" s="12" t="s">
        <v>48</v>
      </c>
      <c r="N804" s="12" t="s">
        <v>76</v>
      </c>
      <c r="O804" s="12" t="s">
        <v>52</v>
      </c>
    </row>
    <row r="805" spans="1:15" ht="21" customHeight="1" x14ac:dyDescent="0.3">
      <c r="A805" s="17"/>
      <c r="B805" s="2" t="s">
        <v>14</v>
      </c>
      <c r="C805" s="3">
        <v>16</v>
      </c>
      <c r="D805" s="4" t="s">
        <v>69</v>
      </c>
      <c r="E805" s="2" t="s">
        <v>73</v>
      </c>
      <c r="F805" s="2" t="s">
        <v>23</v>
      </c>
      <c r="G805" s="5">
        <v>5</v>
      </c>
      <c r="H805" s="20">
        <v>25000000</v>
      </c>
      <c r="I805" s="2">
        <v>2</v>
      </c>
      <c r="J805" s="6">
        <v>3.3333333333333335E-3</v>
      </c>
      <c r="K805" s="2" t="s">
        <v>18</v>
      </c>
      <c r="L805" s="2" t="s">
        <v>19</v>
      </c>
      <c r="M805" s="2" t="s">
        <v>25</v>
      </c>
      <c r="N805" s="2" t="s">
        <v>77</v>
      </c>
      <c r="O805" s="2" t="s">
        <v>65</v>
      </c>
    </row>
    <row r="806" spans="1:15" ht="21" customHeight="1" x14ac:dyDescent="0.3">
      <c r="A806" s="17"/>
      <c r="B806" s="12" t="s">
        <v>14</v>
      </c>
      <c r="C806" s="13">
        <v>13</v>
      </c>
      <c r="D806" s="14" t="s">
        <v>55</v>
      </c>
      <c r="E806" s="12" t="s">
        <v>49</v>
      </c>
      <c r="F806" s="12" t="s">
        <v>42</v>
      </c>
      <c r="G806" s="15">
        <v>2</v>
      </c>
      <c r="H806" s="21">
        <v>12000000</v>
      </c>
      <c r="I806" s="12">
        <v>1</v>
      </c>
      <c r="J806" s="16">
        <v>3.3333333333333335E-3</v>
      </c>
      <c r="K806" s="12" t="s">
        <v>18</v>
      </c>
      <c r="L806" s="12" t="s">
        <v>56</v>
      </c>
      <c r="M806" s="12" t="s">
        <v>30</v>
      </c>
      <c r="N806" s="12" t="s">
        <v>76</v>
      </c>
      <c r="O806" s="12" t="s">
        <v>26</v>
      </c>
    </row>
    <row r="807" spans="1:15" ht="21" customHeight="1" x14ac:dyDescent="0.3">
      <c r="A807" s="17"/>
      <c r="B807" s="2" t="s">
        <v>14</v>
      </c>
      <c r="C807" s="3">
        <v>1</v>
      </c>
      <c r="D807" s="4" t="s">
        <v>59</v>
      </c>
      <c r="E807" s="2" t="s">
        <v>49</v>
      </c>
      <c r="F807" s="2" t="s">
        <v>23</v>
      </c>
      <c r="G807" s="5">
        <v>4</v>
      </c>
      <c r="H807" s="20">
        <v>20000000</v>
      </c>
      <c r="I807" s="2">
        <v>4</v>
      </c>
      <c r="J807" s="6">
        <v>3.3333333333333335E-3</v>
      </c>
      <c r="K807" s="2" t="s">
        <v>61</v>
      </c>
      <c r="L807" s="2" t="s">
        <v>64</v>
      </c>
      <c r="M807" s="2" t="s">
        <v>43</v>
      </c>
      <c r="N807" s="2" t="s">
        <v>78</v>
      </c>
      <c r="O807" s="2" t="s">
        <v>63</v>
      </c>
    </row>
    <row r="808" spans="1:15" ht="21" customHeight="1" x14ac:dyDescent="0.3">
      <c r="A808" s="17"/>
      <c r="B808" s="12" t="s">
        <v>70</v>
      </c>
      <c r="C808" s="13">
        <v>12</v>
      </c>
      <c r="D808" s="14" t="s">
        <v>60</v>
      </c>
      <c r="E808" s="12" t="s">
        <v>16</v>
      </c>
      <c r="F808" s="12" t="s">
        <v>42</v>
      </c>
      <c r="G808" s="15">
        <v>0</v>
      </c>
      <c r="H808" s="21">
        <v>0</v>
      </c>
      <c r="I808" s="12">
        <v>2</v>
      </c>
      <c r="J808" s="16">
        <v>3.3333333333333335E-3</v>
      </c>
      <c r="K808" s="12"/>
      <c r="L808" s="12"/>
      <c r="M808" s="12" t="s">
        <v>20</v>
      </c>
      <c r="N808" s="12" t="s">
        <v>77</v>
      </c>
      <c r="O808" s="12" t="s">
        <v>34</v>
      </c>
    </row>
    <row r="809" spans="1:15" ht="21" customHeight="1" x14ac:dyDescent="0.3">
      <c r="A809" s="17"/>
      <c r="B809" s="2" t="s">
        <v>70</v>
      </c>
      <c r="C809" s="3">
        <v>6</v>
      </c>
      <c r="D809" s="4" t="s">
        <v>27</v>
      </c>
      <c r="E809" s="2" t="s">
        <v>16</v>
      </c>
      <c r="F809" s="2" t="s">
        <v>23</v>
      </c>
      <c r="G809" s="5">
        <v>0</v>
      </c>
      <c r="H809" s="20">
        <v>0</v>
      </c>
      <c r="I809" s="2">
        <v>1</v>
      </c>
      <c r="J809" s="6">
        <v>3.3333333333333335E-3</v>
      </c>
      <c r="K809" s="2"/>
      <c r="L809" s="2"/>
      <c r="M809" s="2" t="s">
        <v>33</v>
      </c>
      <c r="N809" s="2" t="s">
        <v>76</v>
      </c>
      <c r="O809" s="2" t="s">
        <v>71</v>
      </c>
    </row>
    <row r="810" spans="1:15" ht="21" customHeight="1" x14ac:dyDescent="0.3">
      <c r="A810" s="17"/>
      <c r="B810" s="12" t="s">
        <v>70</v>
      </c>
      <c r="C810" s="13">
        <v>17</v>
      </c>
      <c r="D810" s="14" t="s">
        <v>27</v>
      </c>
      <c r="E810" s="12" t="s">
        <v>16</v>
      </c>
      <c r="F810" s="12" t="s">
        <v>42</v>
      </c>
      <c r="G810" s="15">
        <v>0</v>
      </c>
      <c r="H810" s="21">
        <v>0</v>
      </c>
      <c r="I810" s="12">
        <v>4</v>
      </c>
      <c r="J810" s="16">
        <v>3.3333333333333335E-3</v>
      </c>
      <c r="K810" s="12"/>
      <c r="L810" s="12"/>
      <c r="M810" s="12" t="s">
        <v>20</v>
      </c>
      <c r="N810" s="12" t="s">
        <v>78</v>
      </c>
      <c r="O810" s="12" t="s">
        <v>66</v>
      </c>
    </row>
    <row r="811" spans="1:15" ht="21" customHeight="1" x14ac:dyDescent="0.3">
      <c r="A811" s="17"/>
      <c r="B811" s="2" t="s">
        <v>70</v>
      </c>
      <c r="C811" s="3">
        <v>11</v>
      </c>
      <c r="D811" s="4" t="s">
        <v>44</v>
      </c>
      <c r="E811" s="2" t="s">
        <v>49</v>
      </c>
      <c r="F811" s="2" t="s">
        <v>17</v>
      </c>
      <c r="G811" s="5">
        <v>0</v>
      </c>
      <c r="H811" s="20">
        <v>0</v>
      </c>
      <c r="I811" s="2">
        <v>2</v>
      </c>
      <c r="J811" s="6">
        <v>3.3333333333333335E-3</v>
      </c>
      <c r="K811" s="2"/>
      <c r="L811" s="2"/>
      <c r="M811" s="2" t="s">
        <v>48</v>
      </c>
      <c r="N811" s="2" t="s">
        <v>78</v>
      </c>
      <c r="O811" s="2" t="s">
        <v>62</v>
      </c>
    </row>
    <row r="812" spans="1:15" ht="21" customHeight="1" x14ac:dyDescent="0.3">
      <c r="A812" s="17"/>
      <c r="B812" s="12" t="s">
        <v>70</v>
      </c>
      <c r="C812" s="13">
        <v>12</v>
      </c>
      <c r="D812" s="14" t="s">
        <v>60</v>
      </c>
      <c r="E812" s="12" t="s">
        <v>16</v>
      </c>
      <c r="F812" s="12" t="s">
        <v>42</v>
      </c>
      <c r="G812" s="15">
        <v>0</v>
      </c>
      <c r="H812" s="21">
        <v>0</v>
      </c>
      <c r="I812" s="12">
        <v>2</v>
      </c>
      <c r="J812" s="16">
        <v>3.3333333333333335E-3</v>
      </c>
      <c r="K812" s="12"/>
      <c r="L812" s="12"/>
      <c r="M812" s="12" t="s">
        <v>20</v>
      </c>
      <c r="N812" s="12" t="s">
        <v>77</v>
      </c>
      <c r="O812" s="12" t="s">
        <v>34</v>
      </c>
    </row>
    <row r="813" spans="1:15" ht="21" customHeight="1" x14ac:dyDescent="0.3">
      <c r="A813" s="17"/>
      <c r="B813" s="2" t="s">
        <v>14</v>
      </c>
      <c r="C813" s="3">
        <v>18</v>
      </c>
      <c r="D813" s="4" t="s">
        <v>57</v>
      </c>
      <c r="E813" s="2" t="s">
        <v>28</v>
      </c>
      <c r="F813" s="2" t="s">
        <v>42</v>
      </c>
      <c r="G813" s="5">
        <v>5</v>
      </c>
      <c r="H813" s="20">
        <v>20000000</v>
      </c>
      <c r="I813" s="2">
        <v>1</v>
      </c>
      <c r="J813" s="6">
        <v>3.6111111111111114E-3</v>
      </c>
      <c r="K813" s="2" t="s">
        <v>18</v>
      </c>
      <c r="L813" s="2" t="s">
        <v>64</v>
      </c>
      <c r="M813" s="2" t="s">
        <v>51</v>
      </c>
      <c r="N813" s="2" t="s">
        <v>77</v>
      </c>
      <c r="O813" s="2" t="s">
        <v>34</v>
      </c>
    </row>
    <row r="814" spans="1:15" ht="21" customHeight="1" x14ac:dyDescent="0.3">
      <c r="A814" s="17"/>
      <c r="B814" s="12" t="s">
        <v>14</v>
      </c>
      <c r="C814" s="13">
        <v>11</v>
      </c>
      <c r="D814" s="14" t="s">
        <v>37</v>
      </c>
      <c r="E814" s="12" t="s">
        <v>16</v>
      </c>
      <c r="F814" s="12" t="s">
        <v>23</v>
      </c>
      <c r="G814" s="15">
        <v>2</v>
      </c>
      <c r="H814" s="21">
        <v>38000000</v>
      </c>
      <c r="I814" s="12">
        <v>2</v>
      </c>
      <c r="J814" s="16">
        <v>3.6111111111111114E-3</v>
      </c>
      <c r="K814" s="12" t="s">
        <v>46</v>
      </c>
      <c r="L814" s="12" t="s">
        <v>24</v>
      </c>
      <c r="M814" s="12" t="s">
        <v>43</v>
      </c>
      <c r="N814" s="12" t="s">
        <v>66</v>
      </c>
      <c r="O814" s="12" t="s">
        <v>67</v>
      </c>
    </row>
    <row r="815" spans="1:15" ht="21" customHeight="1" x14ac:dyDescent="0.3">
      <c r="A815" s="17"/>
      <c r="B815" s="2" t="s">
        <v>14</v>
      </c>
      <c r="C815" s="3">
        <v>23</v>
      </c>
      <c r="D815" s="4" t="s">
        <v>37</v>
      </c>
      <c r="E815" s="2" t="s">
        <v>16</v>
      </c>
      <c r="F815" s="2" t="s">
        <v>17</v>
      </c>
      <c r="G815" s="5">
        <v>1</v>
      </c>
      <c r="H815" s="20">
        <v>19000000</v>
      </c>
      <c r="I815" s="2">
        <v>2</v>
      </c>
      <c r="J815" s="6">
        <v>3.6111111111111114E-3</v>
      </c>
      <c r="K815" s="2" t="s">
        <v>46</v>
      </c>
      <c r="L815" s="2" t="s">
        <v>56</v>
      </c>
      <c r="M815" s="2" t="s">
        <v>20</v>
      </c>
      <c r="N815" s="2" t="s">
        <v>78</v>
      </c>
      <c r="O815" s="2" t="s">
        <v>41</v>
      </c>
    </row>
    <row r="816" spans="1:15" ht="21" customHeight="1" x14ac:dyDescent="0.3">
      <c r="A816" s="17"/>
      <c r="B816" s="12" t="s">
        <v>14</v>
      </c>
      <c r="C816" s="13">
        <v>28</v>
      </c>
      <c r="D816" s="14" t="s">
        <v>37</v>
      </c>
      <c r="E816" s="12" t="s">
        <v>49</v>
      </c>
      <c r="F816" s="12" t="s">
        <v>42</v>
      </c>
      <c r="G816" s="15">
        <v>1</v>
      </c>
      <c r="H816" s="21">
        <v>7000000</v>
      </c>
      <c r="I816" s="12">
        <v>4</v>
      </c>
      <c r="J816" s="16">
        <v>3.6111111111111114E-3</v>
      </c>
      <c r="K816" s="12" t="s">
        <v>18</v>
      </c>
      <c r="L816" s="12" t="s">
        <v>39</v>
      </c>
      <c r="M816" s="12" t="s">
        <v>43</v>
      </c>
      <c r="N816" s="12" t="s">
        <v>78</v>
      </c>
      <c r="O816" s="12" t="s">
        <v>62</v>
      </c>
    </row>
    <row r="817" spans="1:15" ht="21" customHeight="1" x14ac:dyDescent="0.3">
      <c r="A817" s="17"/>
      <c r="B817" s="2" t="s">
        <v>14</v>
      </c>
      <c r="C817" s="3">
        <v>30</v>
      </c>
      <c r="D817" s="4" t="s">
        <v>37</v>
      </c>
      <c r="E817" s="2" t="s">
        <v>16</v>
      </c>
      <c r="F817" s="2" t="s">
        <v>23</v>
      </c>
      <c r="G817" s="5">
        <v>3</v>
      </c>
      <c r="H817" s="20">
        <v>12000000</v>
      </c>
      <c r="I817" s="2">
        <v>1</v>
      </c>
      <c r="J817" s="6">
        <v>3.6111111111111114E-3</v>
      </c>
      <c r="K817" s="2" t="s">
        <v>18</v>
      </c>
      <c r="L817" s="2" t="s">
        <v>19</v>
      </c>
      <c r="M817" s="2" t="s">
        <v>48</v>
      </c>
      <c r="N817" s="2" t="s">
        <v>78</v>
      </c>
      <c r="O817" s="2" t="s">
        <v>41</v>
      </c>
    </row>
    <row r="818" spans="1:15" ht="21" customHeight="1" x14ac:dyDescent="0.3">
      <c r="A818" s="17"/>
      <c r="B818" s="12" t="s">
        <v>14</v>
      </c>
      <c r="C818" s="13">
        <v>22</v>
      </c>
      <c r="D818" s="14" t="s">
        <v>44</v>
      </c>
      <c r="E818" s="12" t="s">
        <v>32</v>
      </c>
      <c r="F818" s="12" t="s">
        <v>42</v>
      </c>
      <c r="G818" s="15">
        <v>4</v>
      </c>
      <c r="H818" s="21">
        <v>20000000</v>
      </c>
      <c r="I818" s="12">
        <v>2</v>
      </c>
      <c r="J818" s="16">
        <v>3.6111111111111114E-3</v>
      </c>
      <c r="K818" s="12" t="s">
        <v>61</v>
      </c>
      <c r="L818" s="12" t="s">
        <v>19</v>
      </c>
      <c r="M818" s="12" t="s">
        <v>30</v>
      </c>
      <c r="N818" s="12" t="s">
        <v>76</v>
      </c>
      <c r="O818" s="12" t="s">
        <v>31</v>
      </c>
    </row>
    <row r="819" spans="1:15" ht="21" customHeight="1" x14ac:dyDescent="0.3">
      <c r="A819" s="17"/>
      <c r="B819" s="2" t="s">
        <v>14</v>
      </c>
      <c r="C819" s="3">
        <v>1</v>
      </c>
      <c r="D819" s="4" t="s">
        <v>44</v>
      </c>
      <c r="E819" s="2" t="s">
        <v>32</v>
      </c>
      <c r="F819" s="2" t="s">
        <v>17</v>
      </c>
      <c r="G819" s="5">
        <v>5</v>
      </c>
      <c r="H819" s="20">
        <v>25000000</v>
      </c>
      <c r="I819" s="2">
        <v>2</v>
      </c>
      <c r="J819" s="6">
        <v>3.6111111111111114E-3</v>
      </c>
      <c r="K819" s="2" t="s">
        <v>18</v>
      </c>
      <c r="L819" s="2" t="s">
        <v>29</v>
      </c>
      <c r="M819" s="2" t="s">
        <v>40</v>
      </c>
      <c r="N819" s="2" t="s">
        <v>77</v>
      </c>
      <c r="O819" s="2" t="s">
        <v>65</v>
      </c>
    </row>
    <row r="820" spans="1:15" ht="21" customHeight="1" x14ac:dyDescent="0.3">
      <c r="A820" s="17"/>
      <c r="B820" s="12" t="s">
        <v>14</v>
      </c>
      <c r="C820" s="13">
        <v>24</v>
      </c>
      <c r="D820" s="14" t="s">
        <v>69</v>
      </c>
      <c r="E820" s="12" t="s">
        <v>73</v>
      </c>
      <c r="F820" s="12" t="s">
        <v>23</v>
      </c>
      <c r="G820" s="15">
        <v>3</v>
      </c>
      <c r="H820" s="21">
        <v>11000000</v>
      </c>
      <c r="I820" s="12">
        <v>4</v>
      </c>
      <c r="J820" s="16">
        <v>3.6111111111111114E-3</v>
      </c>
      <c r="K820" s="12" t="s">
        <v>18</v>
      </c>
      <c r="L820" s="12" t="s">
        <v>56</v>
      </c>
      <c r="M820" s="12" t="s">
        <v>33</v>
      </c>
      <c r="N820" s="12" t="s">
        <v>78</v>
      </c>
      <c r="O820" s="12" t="s">
        <v>53</v>
      </c>
    </row>
    <row r="821" spans="1:15" ht="21" customHeight="1" x14ac:dyDescent="0.3">
      <c r="A821" s="17"/>
      <c r="B821" s="2" t="s">
        <v>14</v>
      </c>
      <c r="C821" s="3">
        <v>18</v>
      </c>
      <c r="D821" s="4" t="s">
        <v>57</v>
      </c>
      <c r="E821" s="2" t="s">
        <v>28</v>
      </c>
      <c r="F821" s="2" t="s">
        <v>42</v>
      </c>
      <c r="G821" s="5">
        <v>5</v>
      </c>
      <c r="H821" s="20">
        <v>20000000</v>
      </c>
      <c r="I821" s="2">
        <v>1</v>
      </c>
      <c r="J821" s="6">
        <v>3.6111111111111114E-3</v>
      </c>
      <c r="K821" s="2" t="s">
        <v>18</v>
      </c>
      <c r="L821" s="2" t="s">
        <v>64</v>
      </c>
      <c r="M821" s="2" t="s">
        <v>51</v>
      </c>
      <c r="N821" s="2" t="s">
        <v>77</v>
      </c>
      <c r="O821" s="2" t="s">
        <v>34</v>
      </c>
    </row>
    <row r="822" spans="1:15" ht="21" customHeight="1" x14ac:dyDescent="0.3">
      <c r="A822" s="17"/>
      <c r="B822" s="12" t="s">
        <v>70</v>
      </c>
      <c r="C822" s="13">
        <v>3</v>
      </c>
      <c r="D822" s="14" t="s">
        <v>55</v>
      </c>
      <c r="E822" s="12" t="s">
        <v>32</v>
      </c>
      <c r="F822" s="12" t="s">
        <v>23</v>
      </c>
      <c r="G822" s="15">
        <v>0</v>
      </c>
      <c r="H822" s="21">
        <v>0</v>
      </c>
      <c r="I822" s="12">
        <v>1</v>
      </c>
      <c r="J822" s="16">
        <v>3.6111111111111114E-3</v>
      </c>
      <c r="K822" s="12"/>
      <c r="L822" s="12"/>
      <c r="M822" s="12" t="s">
        <v>25</v>
      </c>
      <c r="N822" s="12" t="s">
        <v>78</v>
      </c>
      <c r="O822" s="12" t="s">
        <v>53</v>
      </c>
    </row>
    <row r="823" spans="1:15" ht="21" customHeight="1" x14ac:dyDescent="0.3">
      <c r="A823" s="17"/>
      <c r="B823" s="2" t="s">
        <v>70</v>
      </c>
      <c r="C823" s="3">
        <v>22</v>
      </c>
      <c r="D823" s="4" t="s">
        <v>27</v>
      </c>
      <c r="E823" s="2" t="s">
        <v>38</v>
      </c>
      <c r="F823" s="2" t="s">
        <v>68</v>
      </c>
      <c r="G823" s="5">
        <v>0</v>
      </c>
      <c r="H823" s="20">
        <v>0</v>
      </c>
      <c r="I823" s="2">
        <v>6</v>
      </c>
      <c r="J823" s="6">
        <v>3.6111111111111114E-3</v>
      </c>
      <c r="K823" s="2"/>
      <c r="L823" s="2"/>
      <c r="M823" s="2" t="s">
        <v>30</v>
      </c>
      <c r="N823" s="2" t="s">
        <v>78</v>
      </c>
      <c r="O823" s="2" t="s">
        <v>53</v>
      </c>
    </row>
    <row r="824" spans="1:15" ht="21" customHeight="1" x14ac:dyDescent="0.3">
      <c r="A824" s="17"/>
      <c r="B824" s="12" t="s">
        <v>70</v>
      </c>
      <c r="C824" s="13">
        <v>5</v>
      </c>
      <c r="D824" s="14" t="s">
        <v>37</v>
      </c>
      <c r="E824" s="12" t="s">
        <v>38</v>
      </c>
      <c r="F824" s="12" t="s">
        <v>23</v>
      </c>
      <c r="G824" s="15">
        <v>0</v>
      </c>
      <c r="H824" s="21">
        <v>0</v>
      </c>
      <c r="I824" s="12">
        <v>3</v>
      </c>
      <c r="J824" s="16">
        <v>3.6111111111111114E-3</v>
      </c>
      <c r="K824" s="12"/>
      <c r="L824" s="12"/>
      <c r="M824" s="12" t="s">
        <v>30</v>
      </c>
      <c r="N824" s="12" t="s">
        <v>76</v>
      </c>
      <c r="O824" s="12" t="s">
        <v>75</v>
      </c>
    </row>
    <row r="825" spans="1:15" ht="21" customHeight="1" x14ac:dyDescent="0.3">
      <c r="A825" s="17"/>
      <c r="B825" s="2" t="s">
        <v>70</v>
      </c>
      <c r="C825" s="3">
        <v>20</v>
      </c>
      <c r="D825" s="4" t="s">
        <v>44</v>
      </c>
      <c r="E825" s="2" t="s">
        <v>32</v>
      </c>
      <c r="F825" s="2" t="s">
        <v>45</v>
      </c>
      <c r="G825" s="5">
        <v>0</v>
      </c>
      <c r="H825" s="20">
        <v>0</v>
      </c>
      <c r="I825" s="2">
        <v>3</v>
      </c>
      <c r="J825" s="6">
        <v>3.6111111111111114E-3</v>
      </c>
      <c r="K825" s="2"/>
      <c r="L825" s="2"/>
      <c r="M825" s="2" t="s">
        <v>20</v>
      </c>
      <c r="N825" s="2" t="s">
        <v>76</v>
      </c>
      <c r="O825" s="2" t="s">
        <v>52</v>
      </c>
    </row>
    <row r="826" spans="1:15" ht="21" customHeight="1" x14ac:dyDescent="0.3">
      <c r="A826" s="17"/>
      <c r="B826" s="12" t="s">
        <v>70</v>
      </c>
      <c r="C826" s="13">
        <v>29</v>
      </c>
      <c r="D826" s="14" t="s">
        <v>44</v>
      </c>
      <c r="E826" s="12" t="s">
        <v>32</v>
      </c>
      <c r="F826" s="12" t="s">
        <v>23</v>
      </c>
      <c r="G826" s="15">
        <v>0</v>
      </c>
      <c r="H826" s="21">
        <v>0</v>
      </c>
      <c r="I826" s="12">
        <v>2</v>
      </c>
      <c r="J826" s="16">
        <v>3.6111111111111114E-3</v>
      </c>
      <c r="K826" s="12"/>
      <c r="L826" s="12"/>
      <c r="M826" s="12" t="s">
        <v>48</v>
      </c>
      <c r="N826" s="12" t="s">
        <v>66</v>
      </c>
      <c r="O826" s="12" t="s">
        <v>67</v>
      </c>
    </row>
    <row r="827" spans="1:15" ht="21" customHeight="1" x14ac:dyDescent="0.3">
      <c r="A827" s="17"/>
      <c r="B827" s="2" t="s">
        <v>70</v>
      </c>
      <c r="C827" s="3">
        <v>3</v>
      </c>
      <c r="D827" s="4" t="s">
        <v>55</v>
      </c>
      <c r="E827" s="2" t="s">
        <v>32</v>
      </c>
      <c r="F827" s="2" t="s">
        <v>23</v>
      </c>
      <c r="G827" s="5">
        <v>0</v>
      </c>
      <c r="H827" s="20">
        <v>0</v>
      </c>
      <c r="I827" s="2">
        <v>1</v>
      </c>
      <c r="J827" s="6">
        <v>3.6111111111111114E-3</v>
      </c>
      <c r="K827" s="2"/>
      <c r="L827" s="2"/>
      <c r="M827" s="2" t="s">
        <v>25</v>
      </c>
      <c r="N827" s="2" t="s">
        <v>78</v>
      </c>
      <c r="O827" s="2" t="s">
        <v>53</v>
      </c>
    </row>
    <row r="828" spans="1:15" ht="21" customHeight="1" x14ac:dyDescent="0.3">
      <c r="A828" s="17"/>
      <c r="B828" s="12" t="s">
        <v>14</v>
      </c>
      <c r="C828" s="13">
        <v>1</v>
      </c>
      <c r="D828" s="14" t="s">
        <v>59</v>
      </c>
      <c r="E828" s="12" t="s">
        <v>73</v>
      </c>
      <c r="F828" s="12" t="s">
        <v>42</v>
      </c>
      <c r="G828" s="15">
        <v>2</v>
      </c>
      <c r="H828" s="21">
        <v>12000000</v>
      </c>
      <c r="I828" s="12">
        <v>3</v>
      </c>
      <c r="J828" s="16">
        <v>3.6342592592592594E-3</v>
      </c>
      <c r="K828" s="12" t="s">
        <v>18</v>
      </c>
      <c r="L828" s="12" t="s">
        <v>19</v>
      </c>
      <c r="M828" s="12" t="s">
        <v>33</v>
      </c>
      <c r="N828" s="12" t="s">
        <v>76</v>
      </c>
      <c r="O828" s="12" t="s">
        <v>26</v>
      </c>
    </row>
    <row r="829" spans="1:15" ht="21" customHeight="1" x14ac:dyDescent="0.3">
      <c r="A829" s="17"/>
      <c r="B829" s="2" t="s">
        <v>14</v>
      </c>
      <c r="C829" s="3">
        <v>17</v>
      </c>
      <c r="D829" s="4" t="s">
        <v>22</v>
      </c>
      <c r="E829" s="2" t="s">
        <v>73</v>
      </c>
      <c r="F829" s="2" t="s">
        <v>42</v>
      </c>
      <c r="G829" s="5">
        <v>2</v>
      </c>
      <c r="H829" s="20">
        <v>12000000</v>
      </c>
      <c r="I829" s="2">
        <v>4</v>
      </c>
      <c r="J829" s="6">
        <v>3.6342592592592594E-3</v>
      </c>
      <c r="K829" s="2" t="s">
        <v>18</v>
      </c>
      <c r="L829" s="2" t="s">
        <v>29</v>
      </c>
      <c r="M829" s="2" t="s">
        <v>43</v>
      </c>
      <c r="N829" s="2" t="s">
        <v>77</v>
      </c>
      <c r="O829" s="2" t="s">
        <v>54</v>
      </c>
    </row>
    <row r="830" spans="1:15" ht="21" customHeight="1" x14ac:dyDescent="0.3">
      <c r="A830" s="17"/>
      <c r="B830" s="12" t="s">
        <v>14</v>
      </c>
      <c r="C830" s="13">
        <v>9</v>
      </c>
      <c r="D830" s="14" t="s">
        <v>27</v>
      </c>
      <c r="E830" s="12" t="s">
        <v>38</v>
      </c>
      <c r="F830" s="12" t="s">
        <v>42</v>
      </c>
      <c r="G830" s="15">
        <v>5</v>
      </c>
      <c r="H830" s="21">
        <v>25000000</v>
      </c>
      <c r="I830" s="12">
        <v>2</v>
      </c>
      <c r="J830" s="16">
        <v>3.6342592592592594E-3</v>
      </c>
      <c r="K830" s="12" t="s">
        <v>18</v>
      </c>
      <c r="L830" s="12" t="s">
        <v>35</v>
      </c>
      <c r="M830" s="12" t="s">
        <v>33</v>
      </c>
      <c r="N830" s="12" t="s">
        <v>78</v>
      </c>
      <c r="O830" s="12" t="s">
        <v>63</v>
      </c>
    </row>
    <row r="831" spans="1:15" ht="21" customHeight="1" x14ac:dyDescent="0.3">
      <c r="A831" s="17"/>
      <c r="B831" s="2" t="s">
        <v>14</v>
      </c>
      <c r="C831" s="3">
        <v>29</v>
      </c>
      <c r="D831" s="4" t="s">
        <v>27</v>
      </c>
      <c r="E831" s="2" t="s">
        <v>16</v>
      </c>
      <c r="F831" s="2" t="s">
        <v>45</v>
      </c>
      <c r="G831" s="5">
        <v>1</v>
      </c>
      <c r="H831" s="20">
        <v>7000000</v>
      </c>
      <c r="I831" s="2">
        <v>4</v>
      </c>
      <c r="J831" s="6">
        <v>3.6342592592592594E-3</v>
      </c>
      <c r="K831" s="2" t="s">
        <v>18</v>
      </c>
      <c r="L831" s="2" t="s">
        <v>29</v>
      </c>
      <c r="M831" s="2" t="s">
        <v>48</v>
      </c>
      <c r="N831" s="2" t="s">
        <v>77</v>
      </c>
      <c r="O831" s="2" t="s">
        <v>34</v>
      </c>
    </row>
    <row r="832" spans="1:15" ht="21" customHeight="1" x14ac:dyDescent="0.3">
      <c r="A832" s="17"/>
      <c r="B832" s="12" t="s">
        <v>14</v>
      </c>
      <c r="C832" s="13">
        <v>11</v>
      </c>
      <c r="D832" s="14" t="s">
        <v>37</v>
      </c>
      <c r="E832" s="12" t="s">
        <v>32</v>
      </c>
      <c r="F832" s="12" t="s">
        <v>42</v>
      </c>
      <c r="G832" s="15">
        <v>2</v>
      </c>
      <c r="H832" s="21">
        <v>38000000</v>
      </c>
      <c r="I832" s="12">
        <v>3</v>
      </c>
      <c r="J832" s="16">
        <v>3.6342592592592594E-3</v>
      </c>
      <c r="K832" s="12" t="s">
        <v>46</v>
      </c>
      <c r="L832" s="12" t="s">
        <v>39</v>
      </c>
      <c r="M832" s="12" t="s">
        <v>43</v>
      </c>
      <c r="N832" s="12" t="s">
        <v>78</v>
      </c>
      <c r="O832" s="12" t="s">
        <v>41</v>
      </c>
    </row>
    <row r="833" spans="1:15" ht="21" customHeight="1" x14ac:dyDescent="0.3">
      <c r="A833" s="17"/>
      <c r="B833" s="2" t="s">
        <v>14</v>
      </c>
      <c r="C833" s="3">
        <v>17</v>
      </c>
      <c r="D833" s="4" t="s">
        <v>37</v>
      </c>
      <c r="E833" s="2" t="s">
        <v>28</v>
      </c>
      <c r="F833" s="2" t="s">
        <v>17</v>
      </c>
      <c r="G833" s="5">
        <v>1</v>
      </c>
      <c r="H833" s="20">
        <v>19000000</v>
      </c>
      <c r="I833" s="2">
        <v>2</v>
      </c>
      <c r="J833" s="6">
        <v>3.6342592592592594E-3</v>
      </c>
      <c r="K833" s="2" t="s">
        <v>46</v>
      </c>
      <c r="L833" s="2" t="s">
        <v>24</v>
      </c>
      <c r="M833" s="2" t="s">
        <v>25</v>
      </c>
      <c r="N833" s="2" t="s">
        <v>76</v>
      </c>
      <c r="O833" s="2" t="s">
        <v>26</v>
      </c>
    </row>
    <row r="834" spans="1:15" ht="21" customHeight="1" x14ac:dyDescent="0.3">
      <c r="A834" s="17"/>
      <c r="B834" s="12" t="s">
        <v>14</v>
      </c>
      <c r="C834" s="13">
        <v>4</v>
      </c>
      <c r="D834" s="14" t="s">
        <v>37</v>
      </c>
      <c r="E834" s="12" t="s">
        <v>16</v>
      </c>
      <c r="F834" s="12" t="s">
        <v>42</v>
      </c>
      <c r="G834" s="15">
        <v>4</v>
      </c>
      <c r="H834" s="21">
        <v>15000000</v>
      </c>
      <c r="I834" s="12">
        <v>5</v>
      </c>
      <c r="J834" s="16">
        <v>3.6342592592592594E-3</v>
      </c>
      <c r="K834" s="12" t="s">
        <v>18</v>
      </c>
      <c r="L834" s="12" t="s">
        <v>29</v>
      </c>
      <c r="M834" s="12" t="s">
        <v>40</v>
      </c>
      <c r="N834" s="12" t="s">
        <v>78</v>
      </c>
      <c r="O834" s="12" t="s">
        <v>66</v>
      </c>
    </row>
    <row r="835" spans="1:15" ht="21" customHeight="1" x14ac:dyDescent="0.3">
      <c r="A835" s="17"/>
      <c r="B835" s="2" t="s">
        <v>14</v>
      </c>
      <c r="C835" s="3">
        <v>1</v>
      </c>
      <c r="D835" s="4" t="s">
        <v>37</v>
      </c>
      <c r="E835" s="2" t="s">
        <v>38</v>
      </c>
      <c r="F835" s="2" t="s">
        <v>17</v>
      </c>
      <c r="G835" s="5">
        <v>3</v>
      </c>
      <c r="H835" s="20">
        <v>15000000</v>
      </c>
      <c r="I835" s="2">
        <v>5</v>
      </c>
      <c r="J835" s="6">
        <v>3.6342592592592594E-3</v>
      </c>
      <c r="K835" s="2" t="s">
        <v>18</v>
      </c>
      <c r="L835" s="2" t="s">
        <v>29</v>
      </c>
      <c r="M835" s="2" t="s">
        <v>20</v>
      </c>
      <c r="N835" s="2" t="s">
        <v>78</v>
      </c>
      <c r="O835" s="2" t="s">
        <v>53</v>
      </c>
    </row>
    <row r="836" spans="1:15" ht="21" customHeight="1" x14ac:dyDescent="0.3">
      <c r="A836" s="17"/>
      <c r="B836" s="12" t="s">
        <v>14</v>
      </c>
      <c r="C836" s="13">
        <v>11</v>
      </c>
      <c r="D836" s="14" t="s">
        <v>44</v>
      </c>
      <c r="E836" s="12" t="s">
        <v>16</v>
      </c>
      <c r="F836" s="12" t="s">
        <v>42</v>
      </c>
      <c r="G836" s="15">
        <v>3</v>
      </c>
      <c r="H836" s="21">
        <v>11000000</v>
      </c>
      <c r="I836" s="12">
        <v>1</v>
      </c>
      <c r="J836" s="16">
        <v>3.6342592592592594E-3</v>
      </c>
      <c r="K836" s="12" t="s">
        <v>18</v>
      </c>
      <c r="L836" s="12" t="s">
        <v>19</v>
      </c>
      <c r="M836" s="12" t="s">
        <v>33</v>
      </c>
      <c r="N836" s="12" t="s">
        <v>76</v>
      </c>
      <c r="O836" s="12" t="s">
        <v>26</v>
      </c>
    </row>
    <row r="837" spans="1:15" ht="21" customHeight="1" x14ac:dyDescent="0.3">
      <c r="A837" s="17"/>
      <c r="B837" s="2" t="s">
        <v>14</v>
      </c>
      <c r="C837" s="3">
        <v>4</v>
      </c>
      <c r="D837" s="4" t="s">
        <v>44</v>
      </c>
      <c r="E837" s="2" t="s">
        <v>16</v>
      </c>
      <c r="F837" s="2" t="s">
        <v>23</v>
      </c>
      <c r="G837" s="5">
        <v>2</v>
      </c>
      <c r="H837" s="20">
        <v>12000000</v>
      </c>
      <c r="I837" s="2">
        <v>1</v>
      </c>
      <c r="J837" s="6">
        <v>3.6342592592592594E-3</v>
      </c>
      <c r="K837" s="2" t="s">
        <v>18</v>
      </c>
      <c r="L837" s="2" t="s">
        <v>24</v>
      </c>
      <c r="M837" s="2" t="s">
        <v>43</v>
      </c>
      <c r="N837" s="2" t="s">
        <v>66</v>
      </c>
      <c r="O837" s="2" t="s">
        <v>36</v>
      </c>
    </row>
    <row r="838" spans="1:15" ht="21" customHeight="1" x14ac:dyDescent="0.3">
      <c r="A838" s="17"/>
      <c r="B838" s="12" t="s">
        <v>14</v>
      </c>
      <c r="C838" s="13">
        <v>1</v>
      </c>
      <c r="D838" s="14" t="s">
        <v>59</v>
      </c>
      <c r="E838" s="12" t="s">
        <v>73</v>
      </c>
      <c r="F838" s="12" t="s">
        <v>42</v>
      </c>
      <c r="G838" s="15">
        <v>2</v>
      </c>
      <c r="H838" s="21">
        <v>12000000</v>
      </c>
      <c r="I838" s="12">
        <v>3</v>
      </c>
      <c r="J838" s="16">
        <v>3.6342592592592594E-3</v>
      </c>
      <c r="K838" s="12" t="s">
        <v>18</v>
      </c>
      <c r="L838" s="12" t="s">
        <v>19</v>
      </c>
      <c r="M838" s="12" t="s">
        <v>33</v>
      </c>
      <c r="N838" s="12" t="s">
        <v>76</v>
      </c>
      <c r="O838" s="12" t="s">
        <v>26</v>
      </c>
    </row>
    <row r="839" spans="1:15" ht="21" customHeight="1" x14ac:dyDescent="0.3">
      <c r="A839" s="17"/>
      <c r="B839" s="2" t="s">
        <v>14</v>
      </c>
      <c r="C839" s="3">
        <v>17</v>
      </c>
      <c r="D839" s="4" t="s">
        <v>22</v>
      </c>
      <c r="E839" s="2" t="s">
        <v>73</v>
      </c>
      <c r="F839" s="2" t="s">
        <v>42</v>
      </c>
      <c r="G839" s="5">
        <v>2</v>
      </c>
      <c r="H839" s="20">
        <v>12000000</v>
      </c>
      <c r="I839" s="2">
        <v>4</v>
      </c>
      <c r="J839" s="6">
        <v>3.6342592592592594E-3</v>
      </c>
      <c r="K839" s="2" t="s">
        <v>18</v>
      </c>
      <c r="L839" s="2" t="s">
        <v>29</v>
      </c>
      <c r="M839" s="2" t="s">
        <v>43</v>
      </c>
      <c r="N839" s="2" t="s">
        <v>77</v>
      </c>
      <c r="O839" s="2" t="s">
        <v>54</v>
      </c>
    </row>
    <row r="840" spans="1:15" ht="21" customHeight="1" x14ac:dyDescent="0.3">
      <c r="A840" s="17"/>
      <c r="B840" s="12" t="s">
        <v>70</v>
      </c>
      <c r="C840" s="13">
        <v>11</v>
      </c>
      <c r="D840" s="14" t="s">
        <v>22</v>
      </c>
      <c r="E840" s="12" t="s">
        <v>16</v>
      </c>
      <c r="F840" s="12" t="s">
        <v>17</v>
      </c>
      <c r="G840" s="15">
        <v>0</v>
      </c>
      <c r="H840" s="21">
        <v>0</v>
      </c>
      <c r="I840" s="12">
        <v>1</v>
      </c>
      <c r="J840" s="16">
        <v>3.6342592592592594E-3</v>
      </c>
      <c r="K840" s="12"/>
      <c r="L840" s="12"/>
      <c r="M840" s="12" t="s">
        <v>20</v>
      </c>
      <c r="N840" s="12" t="s">
        <v>76</v>
      </c>
      <c r="O840" s="12" t="s">
        <v>71</v>
      </c>
    </row>
    <row r="841" spans="1:15" ht="21" customHeight="1" x14ac:dyDescent="0.3">
      <c r="A841" s="17"/>
      <c r="B841" s="2" t="s">
        <v>70</v>
      </c>
      <c r="C841" s="3">
        <v>12</v>
      </c>
      <c r="D841" s="4" t="s">
        <v>22</v>
      </c>
      <c r="E841" s="2" t="s">
        <v>49</v>
      </c>
      <c r="F841" s="2" t="s">
        <v>42</v>
      </c>
      <c r="G841" s="5">
        <v>0</v>
      </c>
      <c r="H841" s="20">
        <v>0</v>
      </c>
      <c r="I841" s="2">
        <v>1</v>
      </c>
      <c r="J841" s="6">
        <v>3.6342592592592594E-3</v>
      </c>
      <c r="K841" s="2"/>
      <c r="L841" s="2"/>
      <c r="M841" s="2" t="s">
        <v>30</v>
      </c>
      <c r="N841" s="2" t="s">
        <v>76</v>
      </c>
      <c r="O841" s="2" t="s">
        <v>26</v>
      </c>
    </row>
    <row r="842" spans="1:15" ht="21" customHeight="1" x14ac:dyDescent="0.3">
      <c r="A842" s="17"/>
      <c r="B842" s="12" t="s">
        <v>70</v>
      </c>
      <c r="C842" s="13">
        <v>25</v>
      </c>
      <c r="D842" s="14" t="s">
        <v>37</v>
      </c>
      <c r="E842" s="12" t="s">
        <v>49</v>
      </c>
      <c r="F842" s="12" t="s">
        <v>23</v>
      </c>
      <c r="G842" s="15">
        <v>0</v>
      </c>
      <c r="H842" s="21">
        <v>0</v>
      </c>
      <c r="I842" s="12">
        <v>1</v>
      </c>
      <c r="J842" s="16">
        <v>3.6342592592592594E-3</v>
      </c>
      <c r="K842" s="12"/>
      <c r="L842" s="12"/>
      <c r="M842" s="12" t="s">
        <v>51</v>
      </c>
      <c r="N842" s="12" t="s">
        <v>78</v>
      </c>
      <c r="O842" s="12" t="s">
        <v>41</v>
      </c>
    </row>
    <row r="843" spans="1:15" ht="21" customHeight="1" x14ac:dyDescent="0.3">
      <c r="A843" s="17"/>
      <c r="B843" s="2" t="s">
        <v>14</v>
      </c>
      <c r="C843" s="3">
        <v>8</v>
      </c>
      <c r="D843" s="4" t="s">
        <v>55</v>
      </c>
      <c r="E843" s="2" t="s">
        <v>32</v>
      </c>
      <c r="F843" s="2" t="s">
        <v>17</v>
      </c>
      <c r="G843" s="5">
        <v>3</v>
      </c>
      <c r="H843" s="20">
        <v>15000000</v>
      </c>
      <c r="I843" s="2">
        <v>5</v>
      </c>
      <c r="J843" s="6">
        <v>3.645833333333333E-3</v>
      </c>
      <c r="K843" s="2" t="s">
        <v>18</v>
      </c>
      <c r="L843" s="2" t="s">
        <v>56</v>
      </c>
      <c r="M843" s="2" t="s">
        <v>25</v>
      </c>
      <c r="N843" s="2" t="s">
        <v>78</v>
      </c>
      <c r="O843" s="2" t="s">
        <v>53</v>
      </c>
    </row>
    <row r="844" spans="1:15" ht="21" customHeight="1" x14ac:dyDescent="0.3">
      <c r="A844" s="17"/>
      <c r="B844" s="12" t="s">
        <v>14</v>
      </c>
      <c r="C844" s="13">
        <v>12</v>
      </c>
      <c r="D844" s="14" t="s">
        <v>60</v>
      </c>
      <c r="E844" s="12" t="s">
        <v>32</v>
      </c>
      <c r="F844" s="12" t="s">
        <v>17</v>
      </c>
      <c r="G844" s="15">
        <v>5</v>
      </c>
      <c r="H844" s="21">
        <v>25000000</v>
      </c>
      <c r="I844" s="12">
        <v>1</v>
      </c>
      <c r="J844" s="16">
        <v>3.645833333333333E-3</v>
      </c>
      <c r="K844" s="12" t="s">
        <v>18</v>
      </c>
      <c r="L844" s="12" t="s">
        <v>64</v>
      </c>
      <c r="M844" s="12" t="s">
        <v>43</v>
      </c>
      <c r="N844" s="12" t="s">
        <v>76</v>
      </c>
      <c r="O844" s="12" t="s">
        <v>52</v>
      </c>
    </row>
    <row r="845" spans="1:15" ht="21" customHeight="1" x14ac:dyDescent="0.3">
      <c r="A845" s="17"/>
      <c r="B845" s="2" t="s">
        <v>14</v>
      </c>
      <c r="C845" s="3">
        <v>30</v>
      </c>
      <c r="D845" s="4" t="s">
        <v>27</v>
      </c>
      <c r="E845" s="2" t="s">
        <v>32</v>
      </c>
      <c r="F845" s="2" t="s">
        <v>42</v>
      </c>
      <c r="G845" s="5">
        <v>4</v>
      </c>
      <c r="H845" s="20">
        <v>20000000</v>
      </c>
      <c r="I845" s="2">
        <v>3</v>
      </c>
      <c r="J845" s="6">
        <v>3.645833333333333E-3</v>
      </c>
      <c r="K845" s="2" t="s">
        <v>18</v>
      </c>
      <c r="L845" s="2" t="s">
        <v>19</v>
      </c>
      <c r="M845" s="2" t="s">
        <v>40</v>
      </c>
      <c r="N845" s="2" t="s">
        <v>77</v>
      </c>
      <c r="O845" s="2" t="s">
        <v>34</v>
      </c>
    </row>
    <row r="846" spans="1:15" ht="21" customHeight="1" x14ac:dyDescent="0.3">
      <c r="A846" s="17"/>
      <c r="B846" s="12" t="s">
        <v>14</v>
      </c>
      <c r="C846" s="13">
        <v>18</v>
      </c>
      <c r="D846" s="14" t="s">
        <v>44</v>
      </c>
      <c r="E846" s="12" t="s">
        <v>49</v>
      </c>
      <c r="F846" s="12" t="s">
        <v>17</v>
      </c>
      <c r="G846" s="15">
        <v>4</v>
      </c>
      <c r="H846" s="21">
        <v>11000000</v>
      </c>
      <c r="I846" s="12">
        <v>1</v>
      </c>
      <c r="J846" s="16">
        <v>3.645833333333333E-3</v>
      </c>
      <c r="K846" s="12" t="s">
        <v>61</v>
      </c>
      <c r="L846" s="12" t="s">
        <v>39</v>
      </c>
      <c r="M846" s="12" t="s">
        <v>48</v>
      </c>
      <c r="N846" s="12" t="s">
        <v>76</v>
      </c>
      <c r="O846" s="12" t="s">
        <v>52</v>
      </c>
    </row>
    <row r="847" spans="1:15" ht="21" customHeight="1" x14ac:dyDescent="0.3">
      <c r="A847" s="17"/>
      <c r="B847" s="2" t="s">
        <v>14</v>
      </c>
      <c r="C847" s="3">
        <v>3</v>
      </c>
      <c r="D847" s="4" t="s">
        <v>44</v>
      </c>
      <c r="E847" s="2" t="s">
        <v>28</v>
      </c>
      <c r="F847" s="2" t="s">
        <v>42</v>
      </c>
      <c r="G847" s="5">
        <v>2</v>
      </c>
      <c r="H847" s="20">
        <v>12000000</v>
      </c>
      <c r="I847" s="2">
        <v>4</v>
      </c>
      <c r="J847" s="6">
        <v>3.645833333333333E-3</v>
      </c>
      <c r="K847" s="2" t="s">
        <v>18</v>
      </c>
      <c r="L847" s="2" t="s">
        <v>35</v>
      </c>
      <c r="M847" s="2" t="s">
        <v>40</v>
      </c>
      <c r="N847" s="2" t="s">
        <v>78</v>
      </c>
      <c r="O847" s="2" t="s">
        <v>62</v>
      </c>
    </row>
    <row r="848" spans="1:15" ht="21" customHeight="1" x14ac:dyDescent="0.3">
      <c r="A848" s="17"/>
      <c r="B848" s="12" t="s">
        <v>14</v>
      </c>
      <c r="C848" s="13">
        <v>7</v>
      </c>
      <c r="D848" s="14" t="s">
        <v>44</v>
      </c>
      <c r="E848" s="12" t="s">
        <v>28</v>
      </c>
      <c r="F848" s="12" t="s">
        <v>42</v>
      </c>
      <c r="G848" s="15">
        <v>3</v>
      </c>
      <c r="H848" s="21">
        <v>15000000</v>
      </c>
      <c r="I848" s="12">
        <v>5</v>
      </c>
      <c r="J848" s="16">
        <v>3.645833333333333E-3</v>
      </c>
      <c r="K848" s="12" t="s">
        <v>18</v>
      </c>
      <c r="L848" s="12" t="s">
        <v>56</v>
      </c>
      <c r="M848" s="12" t="s">
        <v>33</v>
      </c>
      <c r="N848" s="12" t="s">
        <v>76</v>
      </c>
      <c r="O848" s="12" t="s">
        <v>31</v>
      </c>
    </row>
    <row r="849" spans="1:15" ht="21" customHeight="1" x14ac:dyDescent="0.3">
      <c r="A849" s="17"/>
      <c r="B849" s="2" t="s">
        <v>14</v>
      </c>
      <c r="C849" s="3">
        <v>19</v>
      </c>
      <c r="D849" s="4" t="s">
        <v>44</v>
      </c>
      <c r="E849" s="2" t="s">
        <v>49</v>
      </c>
      <c r="F849" s="2" t="s">
        <v>23</v>
      </c>
      <c r="G849" s="5">
        <v>3</v>
      </c>
      <c r="H849" s="20">
        <v>15000000</v>
      </c>
      <c r="I849" s="2">
        <v>3</v>
      </c>
      <c r="J849" s="6">
        <v>3.645833333333333E-3</v>
      </c>
      <c r="K849" s="2" t="s">
        <v>18</v>
      </c>
      <c r="L849" s="2" t="s">
        <v>29</v>
      </c>
      <c r="M849" s="2" t="s">
        <v>30</v>
      </c>
      <c r="N849" s="2" t="s">
        <v>78</v>
      </c>
      <c r="O849" s="2" t="s">
        <v>41</v>
      </c>
    </row>
    <row r="850" spans="1:15" ht="21" customHeight="1" x14ac:dyDescent="0.3">
      <c r="A850" s="17"/>
      <c r="B850" s="12" t="s">
        <v>14</v>
      </c>
      <c r="C850" s="13">
        <v>13</v>
      </c>
      <c r="D850" s="14" t="s">
        <v>69</v>
      </c>
      <c r="E850" s="12" t="s">
        <v>16</v>
      </c>
      <c r="F850" s="12" t="s">
        <v>45</v>
      </c>
      <c r="G850" s="15">
        <v>2</v>
      </c>
      <c r="H850" s="21">
        <v>38000000</v>
      </c>
      <c r="I850" s="12">
        <v>2</v>
      </c>
      <c r="J850" s="16">
        <v>3.645833333333333E-3</v>
      </c>
      <c r="K850" s="12" t="s">
        <v>46</v>
      </c>
      <c r="L850" s="12" t="s">
        <v>39</v>
      </c>
      <c r="M850" s="12" t="s">
        <v>20</v>
      </c>
      <c r="N850" s="12" t="s">
        <v>66</v>
      </c>
      <c r="O850" s="12" t="s">
        <v>67</v>
      </c>
    </row>
    <row r="851" spans="1:15" ht="21" customHeight="1" x14ac:dyDescent="0.3">
      <c r="A851" s="17"/>
      <c r="B851" s="2" t="s">
        <v>14</v>
      </c>
      <c r="C851" s="3">
        <v>14</v>
      </c>
      <c r="D851" s="4" t="s">
        <v>69</v>
      </c>
      <c r="E851" s="2" t="s">
        <v>28</v>
      </c>
      <c r="F851" s="2" t="s">
        <v>17</v>
      </c>
      <c r="G851" s="5">
        <v>2</v>
      </c>
      <c r="H851" s="20">
        <v>12000000</v>
      </c>
      <c r="I851" s="2">
        <v>2</v>
      </c>
      <c r="J851" s="6">
        <v>3.645833333333333E-3</v>
      </c>
      <c r="K851" s="2" t="s">
        <v>18</v>
      </c>
      <c r="L851" s="2" t="s">
        <v>24</v>
      </c>
      <c r="M851" s="2" t="s">
        <v>43</v>
      </c>
      <c r="N851" s="2" t="s">
        <v>76</v>
      </c>
      <c r="O851" s="2" t="s">
        <v>31</v>
      </c>
    </row>
    <row r="852" spans="1:15" ht="21" customHeight="1" x14ac:dyDescent="0.3">
      <c r="A852" s="17"/>
      <c r="B852" s="12" t="s">
        <v>14</v>
      </c>
      <c r="C852" s="13">
        <v>8</v>
      </c>
      <c r="D852" s="14" t="s">
        <v>55</v>
      </c>
      <c r="E852" s="12" t="s">
        <v>32</v>
      </c>
      <c r="F852" s="12" t="s">
        <v>17</v>
      </c>
      <c r="G852" s="15">
        <v>3</v>
      </c>
      <c r="H852" s="21">
        <v>15000000</v>
      </c>
      <c r="I852" s="12">
        <v>5</v>
      </c>
      <c r="J852" s="16">
        <v>3.645833333333333E-3</v>
      </c>
      <c r="K852" s="12" t="s">
        <v>18</v>
      </c>
      <c r="L852" s="12" t="s">
        <v>56</v>
      </c>
      <c r="M852" s="12" t="s">
        <v>25</v>
      </c>
      <c r="N852" s="12" t="s">
        <v>78</v>
      </c>
      <c r="O852" s="12" t="s">
        <v>53</v>
      </c>
    </row>
    <row r="853" spans="1:15" ht="21" customHeight="1" x14ac:dyDescent="0.3">
      <c r="A853" s="17"/>
      <c r="B853" s="2" t="s">
        <v>14</v>
      </c>
      <c r="C853" s="3">
        <v>12</v>
      </c>
      <c r="D853" s="4" t="s">
        <v>60</v>
      </c>
      <c r="E853" s="2" t="s">
        <v>32</v>
      </c>
      <c r="F853" s="2" t="s">
        <v>17</v>
      </c>
      <c r="G853" s="5">
        <v>5</v>
      </c>
      <c r="H853" s="20">
        <v>25000000</v>
      </c>
      <c r="I853" s="2">
        <v>1</v>
      </c>
      <c r="J853" s="6">
        <v>3.645833333333333E-3</v>
      </c>
      <c r="K853" s="2" t="s">
        <v>18</v>
      </c>
      <c r="L853" s="2" t="s">
        <v>64</v>
      </c>
      <c r="M853" s="2" t="s">
        <v>43</v>
      </c>
      <c r="N853" s="2" t="s">
        <v>76</v>
      </c>
      <c r="O853" s="2" t="s">
        <v>52</v>
      </c>
    </row>
    <row r="854" spans="1:15" ht="21" customHeight="1" x14ac:dyDescent="0.3">
      <c r="A854" s="17"/>
      <c r="B854" s="12" t="s">
        <v>70</v>
      </c>
      <c r="C854" s="13">
        <v>29</v>
      </c>
      <c r="D854" s="14" t="s">
        <v>59</v>
      </c>
      <c r="E854" s="12" t="s">
        <v>28</v>
      </c>
      <c r="F854" s="12" t="s">
        <v>17</v>
      </c>
      <c r="G854" s="15">
        <v>0</v>
      </c>
      <c r="H854" s="21">
        <v>0</v>
      </c>
      <c r="I854" s="12">
        <v>2</v>
      </c>
      <c r="J854" s="16">
        <v>3.645833333333333E-3</v>
      </c>
      <c r="K854" s="12"/>
      <c r="L854" s="12"/>
      <c r="M854" s="12" t="s">
        <v>33</v>
      </c>
      <c r="N854" s="12" t="s">
        <v>77</v>
      </c>
      <c r="O854" s="12" t="s">
        <v>54</v>
      </c>
    </row>
    <row r="855" spans="1:15" ht="21" customHeight="1" x14ac:dyDescent="0.3">
      <c r="A855" s="17"/>
      <c r="B855" s="2" t="s">
        <v>70</v>
      </c>
      <c r="C855" s="3">
        <v>5</v>
      </c>
      <c r="D855" s="4" t="s">
        <v>37</v>
      </c>
      <c r="E855" s="2" t="s">
        <v>32</v>
      </c>
      <c r="F855" s="2" t="s">
        <v>17</v>
      </c>
      <c r="G855" s="5">
        <v>0</v>
      </c>
      <c r="H855" s="20">
        <v>0</v>
      </c>
      <c r="I855" s="2">
        <v>5</v>
      </c>
      <c r="J855" s="6">
        <v>3.645833333333333E-3</v>
      </c>
      <c r="K855" s="2"/>
      <c r="L855" s="2"/>
      <c r="M855" s="2" t="s">
        <v>48</v>
      </c>
      <c r="N855" s="2" t="s">
        <v>78</v>
      </c>
      <c r="O855" s="2" t="s">
        <v>41</v>
      </c>
    </row>
    <row r="856" spans="1:15" ht="21" customHeight="1" x14ac:dyDescent="0.3">
      <c r="A856" s="17"/>
      <c r="B856" s="12" t="s">
        <v>70</v>
      </c>
      <c r="C856" s="13">
        <v>10</v>
      </c>
      <c r="D856" s="14" t="s">
        <v>69</v>
      </c>
      <c r="E856" s="12" t="s">
        <v>16</v>
      </c>
      <c r="F856" s="12" t="s">
        <v>45</v>
      </c>
      <c r="G856" s="15">
        <v>0</v>
      </c>
      <c r="H856" s="21">
        <v>0</v>
      </c>
      <c r="I856" s="12">
        <v>3</v>
      </c>
      <c r="J856" s="16">
        <v>3.645833333333333E-3</v>
      </c>
      <c r="K856" s="12"/>
      <c r="L856" s="12"/>
      <c r="M856" s="12" t="s">
        <v>25</v>
      </c>
      <c r="N856" s="12" t="s">
        <v>78</v>
      </c>
      <c r="O856" s="12" t="s">
        <v>21</v>
      </c>
    </row>
    <row r="857" spans="1:15" ht="21" customHeight="1" x14ac:dyDescent="0.3">
      <c r="A857" s="17"/>
      <c r="B857" s="2" t="s">
        <v>70</v>
      </c>
      <c r="C857" s="3">
        <v>5</v>
      </c>
      <c r="D857" s="4" t="s">
        <v>69</v>
      </c>
      <c r="E857" s="2" t="s">
        <v>28</v>
      </c>
      <c r="F857" s="2" t="s">
        <v>42</v>
      </c>
      <c r="G857" s="5">
        <v>0</v>
      </c>
      <c r="H857" s="20">
        <v>0</v>
      </c>
      <c r="I857" s="2">
        <v>5</v>
      </c>
      <c r="J857" s="6">
        <v>3.645833333333333E-3</v>
      </c>
      <c r="K857" s="2"/>
      <c r="L857" s="2"/>
      <c r="M857" s="2" t="s">
        <v>51</v>
      </c>
      <c r="N857" s="2" t="s">
        <v>76</v>
      </c>
      <c r="O857" s="2" t="s">
        <v>75</v>
      </c>
    </row>
    <row r="858" spans="1:15" ht="21" customHeight="1" x14ac:dyDescent="0.3">
      <c r="A858" s="17"/>
      <c r="B858" s="12" t="s">
        <v>70</v>
      </c>
      <c r="C858" s="13">
        <v>29</v>
      </c>
      <c r="D858" s="14" t="s">
        <v>59</v>
      </c>
      <c r="E858" s="12" t="s">
        <v>28</v>
      </c>
      <c r="F858" s="12" t="s">
        <v>17</v>
      </c>
      <c r="G858" s="15">
        <v>0</v>
      </c>
      <c r="H858" s="21">
        <v>0</v>
      </c>
      <c r="I858" s="12">
        <v>2</v>
      </c>
      <c r="J858" s="16">
        <v>3.645833333333333E-3</v>
      </c>
      <c r="K858" s="12"/>
      <c r="L858" s="12"/>
      <c r="M858" s="12" t="s">
        <v>33</v>
      </c>
      <c r="N858" s="12" t="s">
        <v>77</v>
      </c>
      <c r="O858" s="12" t="s">
        <v>54</v>
      </c>
    </row>
    <row r="859" spans="1:15" ht="21" customHeight="1" x14ac:dyDescent="0.3">
      <c r="A859" s="17"/>
      <c r="B859" s="2" t="s">
        <v>14</v>
      </c>
      <c r="C859" s="3">
        <v>18</v>
      </c>
      <c r="D859" s="4" t="s">
        <v>60</v>
      </c>
      <c r="E859" s="2" t="s">
        <v>16</v>
      </c>
      <c r="F859" s="2" t="s">
        <v>17</v>
      </c>
      <c r="G859" s="5">
        <v>5</v>
      </c>
      <c r="H859" s="20">
        <v>25000000</v>
      </c>
      <c r="I859" s="2">
        <v>5</v>
      </c>
      <c r="J859" s="6">
        <v>4.340277777777778E-3</v>
      </c>
      <c r="K859" s="2" t="s">
        <v>18</v>
      </c>
      <c r="L859" s="2" t="s">
        <v>50</v>
      </c>
      <c r="M859" s="2" t="s">
        <v>33</v>
      </c>
      <c r="N859" s="2" t="s">
        <v>78</v>
      </c>
      <c r="O859" s="2" t="s">
        <v>63</v>
      </c>
    </row>
    <row r="860" spans="1:15" ht="21" customHeight="1" x14ac:dyDescent="0.3">
      <c r="A860" s="17"/>
      <c r="B860" s="12" t="s">
        <v>14</v>
      </c>
      <c r="C860" s="13">
        <v>12</v>
      </c>
      <c r="D860" s="14" t="s">
        <v>22</v>
      </c>
      <c r="E860" s="12" t="s">
        <v>38</v>
      </c>
      <c r="F860" s="12" t="s">
        <v>17</v>
      </c>
      <c r="G860" s="15">
        <v>3</v>
      </c>
      <c r="H860" s="21">
        <v>15000000</v>
      </c>
      <c r="I860" s="12">
        <v>4</v>
      </c>
      <c r="J860" s="16">
        <v>4.340277777777778E-3</v>
      </c>
      <c r="K860" s="12" t="s">
        <v>18</v>
      </c>
      <c r="L860" s="12" t="s">
        <v>47</v>
      </c>
      <c r="M860" s="12" t="s">
        <v>25</v>
      </c>
      <c r="N860" s="12" t="s">
        <v>77</v>
      </c>
      <c r="O860" s="12" t="s">
        <v>34</v>
      </c>
    </row>
    <row r="861" spans="1:15" ht="21" customHeight="1" x14ac:dyDescent="0.3">
      <c r="A861" s="17"/>
      <c r="B861" s="2" t="s">
        <v>14</v>
      </c>
      <c r="C861" s="3">
        <v>30</v>
      </c>
      <c r="D861" s="4" t="s">
        <v>27</v>
      </c>
      <c r="E861" s="2" t="s">
        <v>73</v>
      </c>
      <c r="F861" s="2" t="s">
        <v>42</v>
      </c>
      <c r="G861" s="5">
        <v>4</v>
      </c>
      <c r="H861" s="20">
        <v>20000000</v>
      </c>
      <c r="I861" s="2">
        <v>5</v>
      </c>
      <c r="J861" s="6">
        <v>4.340277777777778E-3</v>
      </c>
      <c r="K861" s="2" t="s">
        <v>61</v>
      </c>
      <c r="L861" s="2" t="s">
        <v>19</v>
      </c>
      <c r="M861" s="2" t="s">
        <v>48</v>
      </c>
      <c r="N861" s="2" t="s">
        <v>66</v>
      </c>
      <c r="O861" s="2" t="s">
        <v>36</v>
      </c>
    </row>
    <row r="862" spans="1:15" ht="21" customHeight="1" x14ac:dyDescent="0.3">
      <c r="A862" s="17"/>
      <c r="B862" s="12" t="s">
        <v>14</v>
      </c>
      <c r="C862" s="13">
        <v>16</v>
      </c>
      <c r="D862" s="14" t="s">
        <v>27</v>
      </c>
      <c r="E862" s="12" t="s">
        <v>73</v>
      </c>
      <c r="F862" s="12" t="s">
        <v>42</v>
      </c>
      <c r="G862" s="15">
        <v>3</v>
      </c>
      <c r="H862" s="21">
        <v>12000000</v>
      </c>
      <c r="I862" s="12">
        <v>2</v>
      </c>
      <c r="J862" s="16">
        <v>4.340277777777778E-3</v>
      </c>
      <c r="K862" s="12" t="s">
        <v>18</v>
      </c>
      <c r="L862" s="12" t="s">
        <v>29</v>
      </c>
      <c r="M862" s="12" t="s">
        <v>40</v>
      </c>
      <c r="N862" s="12" t="s">
        <v>66</v>
      </c>
      <c r="O862" s="12" t="s">
        <v>36</v>
      </c>
    </row>
    <row r="863" spans="1:15" ht="21" customHeight="1" x14ac:dyDescent="0.3">
      <c r="A863" s="17"/>
      <c r="B863" s="2" t="s">
        <v>14</v>
      </c>
      <c r="C863" s="3">
        <v>28</v>
      </c>
      <c r="D863" s="4" t="s">
        <v>27</v>
      </c>
      <c r="E863" s="2" t="s">
        <v>38</v>
      </c>
      <c r="F863" s="2" t="s">
        <v>17</v>
      </c>
      <c r="G863" s="5">
        <v>2</v>
      </c>
      <c r="H863" s="20">
        <v>12000000</v>
      </c>
      <c r="I863" s="2">
        <v>2</v>
      </c>
      <c r="J863" s="6">
        <v>4.340277777777778E-3</v>
      </c>
      <c r="K863" s="2" t="s">
        <v>18</v>
      </c>
      <c r="L863" s="2" t="s">
        <v>35</v>
      </c>
      <c r="M863" s="2" t="s">
        <v>33</v>
      </c>
      <c r="N863" s="2" t="s">
        <v>78</v>
      </c>
      <c r="O863" s="2" t="s">
        <v>53</v>
      </c>
    </row>
    <row r="864" spans="1:15" ht="21" customHeight="1" x14ac:dyDescent="0.3">
      <c r="A864" s="17"/>
      <c r="B864" s="12" t="s">
        <v>14</v>
      </c>
      <c r="C864" s="13">
        <v>7</v>
      </c>
      <c r="D864" s="14" t="s">
        <v>37</v>
      </c>
      <c r="E864" s="12" t="s">
        <v>16</v>
      </c>
      <c r="F864" s="12" t="s">
        <v>17</v>
      </c>
      <c r="G864" s="15">
        <v>2</v>
      </c>
      <c r="H864" s="21">
        <v>10000000</v>
      </c>
      <c r="I864" s="12">
        <v>1</v>
      </c>
      <c r="J864" s="16">
        <v>4.340277777777778E-3</v>
      </c>
      <c r="K864" s="12" t="s">
        <v>18</v>
      </c>
      <c r="L864" s="12" t="s">
        <v>19</v>
      </c>
      <c r="M864" s="12" t="s">
        <v>30</v>
      </c>
      <c r="N864" s="12" t="s">
        <v>77</v>
      </c>
      <c r="O864" s="12" t="s">
        <v>54</v>
      </c>
    </row>
    <row r="865" spans="1:15" ht="21" customHeight="1" x14ac:dyDescent="0.3">
      <c r="A865" s="17"/>
      <c r="B865" s="2" t="s">
        <v>14</v>
      </c>
      <c r="C865" s="3">
        <v>9</v>
      </c>
      <c r="D865" s="4" t="s">
        <v>37</v>
      </c>
      <c r="E865" s="2" t="s">
        <v>16</v>
      </c>
      <c r="F865" s="2" t="s">
        <v>17</v>
      </c>
      <c r="G865" s="5">
        <v>1</v>
      </c>
      <c r="H865" s="20">
        <v>7000000</v>
      </c>
      <c r="I865" s="2">
        <v>4</v>
      </c>
      <c r="J865" s="6">
        <v>4.340277777777778E-3</v>
      </c>
      <c r="K865" s="2" t="s">
        <v>18</v>
      </c>
      <c r="L865" s="2" t="s">
        <v>29</v>
      </c>
      <c r="M865" s="2" t="s">
        <v>40</v>
      </c>
      <c r="N865" s="2" t="s">
        <v>76</v>
      </c>
      <c r="O865" s="2" t="s">
        <v>31</v>
      </c>
    </row>
    <row r="866" spans="1:15" ht="21" customHeight="1" x14ac:dyDescent="0.3">
      <c r="A866" s="17"/>
      <c r="B866" s="12" t="s">
        <v>14</v>
      </c>
      <c r="C866" s="13">
        <v>18</v>
      </c>
      <c r="D866" s="14" t="s">
        <v>37</v>
      </c>
      <c r="E866" s="12" t="s">
        <v>38</v>
      </c>
      <c r="F866" s="12" t="s">
        <v>42</v>
      </c>
      <c r="G866" s="15">
        <v>3</v>
      </c>
      <c r="H866" s="21">
        <v>15000000</v>
      </c>
      <c r="I866" s="12">
        <v>1</v>
      </c>
      <c r="J866" s="16">
        <v>4.340277777777778E-3</v>
      </c>
      <c r="K866" s="12" t="s">
        <v>18</v>
      </c>
      <c r="L866" s="12" t="s">
        <v>56</v>
      </c>
      <c r="M866" s="12" t="s">
        <v>43</v>
      </c>
      <c r="N866" s="12" t="s">
        <v>76</v>
      </c>
      <c r="O866" s="12" t="s">
        <v>31</v>
      </c>
    </row>
    <row r="867" spans="1:15" ht="21" customHeight="1" x14ac:dyDescent="0.3">
      <c r="A867" s="17"/>
      <c r="B867" s="2" t="s">
        <v>14</v>
      </c>
      <c r="C867" s="3">
        <v>4</v>
      </c>
      <c r="D867" s="4" t="s">
        <v>44</v>
      </c>
      <c r="E867" s="2" t="s">
        <v>16</v>
      </c>
      <c r="F867" s="2" t="s">
        <v>42</v>
      </c>
      <c r="G867" s="5">
        <v>2</v>
      </c>
      <c r="H867" s="20">
        <v>38000000</v>
      </c>
      <c r="I867" s="2">
        <v>5</v>
      </c>
      <c r="J867" s="6">
        <v>4.340277777777778E-3</v>
      </c>
      <c r="K867" s="2" t="s">
        <v>46</v>
      </c>
      <c r="L867" s="2" t="s">
        <v>29</v>
      </c>
      <c r="M867" s="2" t="s">
        <v>20</v>
      </c>
      <c r="N867" s="2" t="s">
        <v>76</v>
      </c>
      <c r="O867" s="2" t="s">
        <v>31</v>
      </c>
    </row>
    <row r="868" spans="1:15" ht="21" customHeight="1" x14ac:dyDescent="0.3">
      <c r="A868" s="17"/>
      <c r="B868" s="12" t="s">
        <v>14</v>
      </c>
      <c r="C868" s="13">
        <v>23</v>
      </c>
      <c r="D868" s="14" t="s">
        <v>44</v>
      </c>
      <c r="E868" s="12" t="s">
        <v>16</v>
      </c>
      <c r="F868" s="12" t="s">
        <v>42</v>
      </c>
      <c r="G868" s="15">
        <v>2</v>
      </c>
      <c r="H868" s="21">
        <v>12000000</v>
      </c>
      <c r="I868" s="12">
        <v>2</v>
      </c>
      <c r="J868" s="16">
        <v>4.340277777777778E-3</v>
      </c>
      <c r="K868" s="12" t="s">
        <v>18</v>
      </c>
      <c r="L868" s="12" t="s">
        <v>39</v>
      </c>
      <c r="M868" s="12" t="s">
        <v>43</v>
      </c>
      <c r="N868" s="12" t="s">
        <v>76</v>
      </c>
      <c r="O868" s="12" t="s">
        <v>75</v>
      </c>
    </row>
    <row r="869" spans="1:15" ht="21" customHeight="1" x14ac:dyDescent="0.3">
      <c r="A869" s="17"/>
      <c r="B869" s="2" t="s">
        <v>14</v>
      </c>
      <c r="C869" s="3">
        <v>31</v>
      </c>
      <c r="D869" s="4" t="s">
        <v>69</v>
      </c>
      <c r="E869" s="2" t="s">
        <v>32</v>
      </c>
      <c r="F869" s="2" t="s">
        <v>23</v>
      </c>
      <c r="G869" s="5">
        <v>1</v>
      </c>
      <c r="H869" s="20">
        <v>19000000</v>
      </c>
      <c r="I869" s="2">
        <v>3</v>
      </c>
      <c r="J869" s="6">
        <v>4.340277777777778E-3</v>
      </c>
      <c r="K869" s="2" t="s">
        <v>46</v>
      </c>
      <c r="L869" s="2" t="s">
        <v>24</v>
      </c>
      <c r="M869" s="2" t="s">
        <v>30</v>
      </c>
      <c r="N869" s="2" t="s">
        <v>78</v>
      </c>
      <c r="O869" s="2" t="s">
        <v>53</v>
      </c>
    </row>
    <row r="870" spans="1:15" ht="21" customHeight="1" x14ac:dyDescent="0.3">
      <c r="A870" s="17"/>
      <c r="B870" s="12" t="s">
        <v>14</v>
      </c>
      <c r="C870" s="13">
        <v>18</v>
      </c>
      <c r="D870" s="14" t="s">
        <v>60</v>
      </c>
      <c r="E870" s="12" t="s">
        <v>16</v>
      </c>
      <c r="F870" s="12" t="s">
        <v>17</v>
      </c>
      <c r="G870" s="15">
        <v>5</v>
      </c>
      <c r="H870" s="21">
        <v>25000000</v>
      </c>
      <c r="I870" s="12">
        <v>5</v>
      </c>
      <c r="J870" s="16">
        <v>4.340277777777778E-3</v>
      </c>
      <c r="K870" s="12" t="s">
        <v>18</v>
      </c>
      <c r="L870" s="12" t="s">
        <v>50</v>
      </c>
      <c r="M870" s="12" t="s">
        <v>33</v>
      </c>
      <c r="N870" s="12" t="s">
        <v>78</v>
      </c>
      <c r="O870" s="12" t="s">
        <v>63</v>
      </c>
    </row>
    <row r="871" spans="1:15" ht="21" customHeight="1" x14ac:dyDescent="0.3">
      <c r="A871" s="17"/>
      <c r="B871" s="2" t="s">
        <v>70</v>
      </c>
      <c r="C871" s="3">
        <v>15</v>
      </c>
      <c r="D871" s="4" t="s">
        <v>27</v>
      </c>
      <c r="E871" s="2" t="s">
        <v>32</v>
      </c>
      <c r="F871" s="2" t="s">
        <v>42</v>
      </c>
      <c r="G871" s="5">
        <v>0</v>
      </c>
      <c r="H871" s="20">
        <v>0</v>
      </c>
      <c r="I871" s="2">
        <v>1</v>
      </c>
      <c r="J871" s="6">
        <v>4.340277777777778E-3</v>
      </c>
      <c r="K871" s="2"/>
      <c r="L871" s="2"/>
      <c r="M871" s="2" t="s">
        <v>43</v>
      </c>
      <c r="N871" s="2" t="s">
        <v>78</v>
      </c>
      <c r="O871" s="2" t="s">
        <v>53</v>
      </c>
    </row>
    <row r="872" spans="1:15" ht="21" customHeight="1" x14ac:dyDescent="0.3">
      <c r="A872" s="17"/>
      <c r="B872" s="12" t="s">
        <v>70</v>
      </c>
      <c r="C872" s="13">
        <v>15</v>
      </c>
      <c r="D872" s="14" t="s">
        <v>69</v>
      </c>
      <c r="E872" s="12" t="s">
        <v>28</v>
      </c>
      <c r="F872" s="12" t="s">
        <v>42</v>
      </c>
      <c r="G872" s="15">
        <v>0</v>
      </c>
      <c r="H872" s="21">
        <v>0</v>
      </c>
      <c r="I872" s="12">
        <v>1</v>
      </c>
      <c r="J872" s="16">
        <v>4.340277777777778E-3</v>
      </c>
      <c r="K872" s="12"/>
      <c r="L872" s="12"/>
      <c r="M872" s="12" t="s">
        <v>51</v>
      </c>
      <c r="N872" s="12" t="s">
        <v>78</v>
      </c>
      <c r="O872" s="12" t="s">
        <v>41</v>
      </c>
    </row>
    <row r="873" spans="1:15" ht="21" customHeight="1" x14ac:dyDescent="0.3">
      <c r="A873" s="17"/>
      <c r="B873" s="2" t="s">
        <v>14</v>
      </c>
      <c r="C873" s="3">
        <v>1</v>
      </c>
      <c r="D873" s="4" t="s">
        <v>59</v>
      </c>
      <c r="E873" s="2" t="s">
        <v>16</v>
      </c>
      <c r="F873" s="2" t="s">
        <v>42</v>
      </c>
      <c r="G873" s="5">
        <v>5</v>
      </c>
      <c r="H873" s="20">
        <v>25000000</v>
      </c>
      <c r="I873" s="2">
        <v>1</v>
      </c>
      <c r="J873" s="6">
        <v>4.3749999999999995E-3</v>
      </c>
      <c r="K873" s="2" t="s">
        <v>18</v>
      </c>
      <c r="L873" s="2" t="s">
        <v>19</v>
      </c>
      <c r="M873" s="2" t="s">
        <v>51</v>
      </c>
      <c r="N873" s="2" t="s">
        <v>78</v>
      </c>
      <c r="O873" s="2" t="s">
        <v>62</v>
      </c>
    </row>
    <row r="874" spans="1:15" ht="21" customHeight="1" x14ac:dyDescent="0.3">
      <c r="A874" s="17"/>
      <c r="B874" s="12" t="s">
        <v>14</v>
      </c>
      <c r="C874" s="13">
        <v>7</v>
      </c>
      <c r="D874" s="14" t="s">
        <v>72</v>
      </c>
      <c r="E874" s="12" t="s">
        <v>38</v>
      </c>
      <c r="F874" s="12" t="s">
        <v>42</v>
      </c>
      <c r="G874" s="15">
        <v>1</v>
      </c>
      <c r="H874" s="21">
        <v>19000000</v>
      </c>
      <c r="I874" s="12">
        <v>6</v>
      </c>
      <c r="J874" s="16">
        <v>4.3749999999999995E-3</v>
      </c>
      <c r="K874" s="12" t="s">
        <v>46</v>
      </c>
      <c r="L874" s="12" t="s">
        <v>29</v>
      </c>
      <c r="M874" s="12" t="s">
        <v>20</v>
      </c>
      <c r="N874" s="12" t="s">
        <v>78</v>
      </c>
      <c r="O874" s="12" t="s">
        <v>21</v>
      </c>
    </row>
    <row r="875" spans="1:15" ht="21" customHeight="1" x14ac:dyDescent="0.3">
      <c r="A875" s="17"/>
      <c r="B875" s="2" t="s">
        <v>14</v>
      </c>
      <c r="C875" s="3">
        <v>27</v>
      </c>
      <c r="D875" s="4" t="s">
        <v>27</v>
      </c>
      <c r="E875" s="2" t="s">
        <v>32</v>
      </c>
      <c r="F875" s="2" t="s">
        <v>23</v>
      </c>
      <c r="G875" s="5">
        <v>2</v>
      </c>
      <c r="H875" s="20">
        <v>38000000</v>
      </c>
      <c r="I875" s="2">
        <v>3</v>
      </c>
      <c r="J875" s="6">
        <v>4.3749999999999995E-3</v>
      </c>
      <c r="K875" s="2" t="s">
        <v>46</v>
      </c>
      <c r="L875" s="2" t="s">
        <v>56</v>
      </c>
      <c r="M875" s="2" t="s">
        <v>33</v>
      </c>
      <c r="N875" s="2" t="s">
        <v>76</v>
      </c>
      <c r="O875" s="2" t="s">
        <v>31</v>
      </c>
    </row>
    <row r="876" spans="1:15" ht="21" customHeight="1" x14ac:dyDescent="0.3">
      <c r="A876" s="17"/>
      <c r="B876" s="12" t="s">
        <v>14</v>
      </c>
      <c r="C876" s="13">
        <v>12</v>
      </c>
      <c r="D876" s="14" t="s">
        <v>27</v>
      </c>
      <c r="E876" s="12" t="s">
        <v>16</v>
      </c>
      <c r="F876" s="12" t="s">
        <v>23</v>
      </c>
      <c r="G876" s="15">
        <v>1</v>
      </c>
      <c r="H876" s="21">
        <v>7000000</v>
      </c>
      <c r="I876" s="12">
        <v>1</v>
      </c>
      <c r="J876" s="16">
        <v>4.3749999999999995E-3</v>
      </c>
      <c r="K876" s="12" t="s">
        <v>18</v>
      </c>
      <c r="L876" s="12" t="s">
        <v>56</v>
      </c>
      <c r="M876" s="12" t="s">
        <v>51</v>
      </c>
      <c r="N876" s="12" t="s">
        <v>76</v>
      </c>
      <c r="O876" s="12" t="s">
        <v>75</v>
      </c>
    </row>
    <row r="877" spans="1:15" ht="21" customHeight="1" x14ac:dyDescent="0.3">
      <c r="A877" s="17"/>
      <c r="B877" s="2" t="s">
        <v>14</v>
      </c>
      <c r="C877" s="3">
        <v>11</v>
      </c>
      <c r="D877" s="4" t="s">
        <v>37</v>
      </c>
      <c r="E877" s="2" t="s">
        <v>16</v>
      </c>
      <c r="F877" s="2" t="s">
        <v>23</v>
      </c>
      <c r="G877" s="5">
        <v>2</v>
      </c>
      <c r="H877" s="20">
        <v>12000000</v>
      </c>
      <c r="I877" s="2">
        <v>3</v>
      </c>
      <c r="J877" s="6">
        <v>4.3749999999999995E-3</v>
      </c>
      <c r="K877" s="2" t="s">
        <v>18</v>
      </c>
      <c r="L877" s="2" t="s">
        <v>50</v>
      </c>
      <c r="M877" s="2" t="s">
        <v>33</v>
      </c>
      <c r="N877" s="2" t="s">
        <v>66</v>
      </c>
      <c r="O877" s="2" t="s">
        <v>36</v>
      </c>
    </row>
    <row r="878" spans="1:15" ht="21" customHeight="1" x14ac:dyDescent="0.3">
      <c r="A878" s="17"/>
      <c r="B878" s="12" t="s">
        <v>14</v>
      </c>
      <c r="C878" s="13">
        <v>29</v>
      </c>
      <c r="D878" s="14" t="s">
        <v>37</v>
      </c>
      <c r="E878" s="12" t="s">
        <v>16</v>
      </c>
      <c r="F878" s="12" t="s">
        <v>42</v>
      </c>
      <c r="G878" s="15">
        <v>3</v>
      </c>
      <c r="H878" s="21">
        <v>12000000</v>
      </c>
      <c r="I878" s="12">
        <v>5</v>
      </c>
      <c r="J878" s="16">
        <v>4.3749999999999995E-3</v>
      </c>
      <c r="K878" s="12" t="s">
        <v>18</v>
      </c>
      <c r="L878" s="12" t="s">
        <v>64</v>
      </c>
      <c r="M878" s="12" t="s">
        <v>33</v>
      </c>
      <c r="N878" s="12" t="s">
        <v>66</v>
      </c>
      <c r="O878" s="12" t="s">
        <v>36</v>
      </c>
    </row>
    <row r="879" spans="1:15" ht="21" customHeight="1" x14ac:dyDescent="0.3">
      <c r="A879" s="17"/>
      <c r="B879" s="2" t="s">
        <v>14</v>
      </c>
      <c r="C879" s="3">
        <v>31</v>
      </c>
      <c r="D879" s="4" t="s">
        <v>37</v>
      </c>
      <c r="E879" s="2" t="s">
        <v>38</v>
      </c>
      <c r="F879" s="2" t="s">
        <v>42</v>
      </c>
      <c r="G879" s="5">
        <v>3</v>
      </c>
      <c r="H879" s="20">
        <v>15000000</v>
      </c>
      <c r="I879" s="2">
        <v>1</v>
      </c>
      <c r="J879" s="6">
        <v>4.3749999999999995E-3</v>
      </c>
      <c r="K879" s="2" t="s">
        <v>18</v>
      </c>
      <c r="L879" s="2" t="s">
        <v>35</v>
      </c>
      <c r="M879" s="2" t="s">
        <v>51</v>
      </c>
      <c r="N879" s="2" t="s">
        <v>76</v>
      </c>
      <c r="O879" s="2" t="s">
        <v>31</v>
      </c>
    </row>
    <row r="880" spans="1:15" ht="21" customHeight="1" x14ac:dyDescent="0.3">
      <c r="A880" s="17"/>
      <c r="B880" s="12" t="s">
        <v>14</v>
      </c>
      <c r="C880" s="13">
        <v>22</v>
      </c>
      <c r="D880" s="14" t="s">
        <v>44</v>
      </c>
      <c r="E880" s="12" t="s">
        <v>32</v>
      </c>
      <c r="F880" s="12" t="s">
        <v>23</v>
      </c>
      <c r="G880" s="15">
        <v>2</v>
      </c>
      <c r="H880" s="21">
        <v>12000000</v>
      </c>
      <c r="I880" s="12">
        <v>6</v>
      </c>
      <c r="J880" s="16">
        <v>4.3749999999999995E-3</v>
      </c>
      <c r="K880" s="12" t="s">
        <v>18</v>
      </c>
      <c r="L880" s="12" t="s">
        <v>19</v>
      </c>
      <c r="M880" s="12" t="s">
        <v>33</v>
      </c>
      <c r="N880" s="12" t="s">
        <v>77</v>
      </c>
      <c r="O880" s="12" t="s">
        <v>65</v>
      </c>
    </row>
    <row r="881" spans="1:15" ht="21" customHeight="1" x14ac:dyDescent="0.3">
      <c r="A881" s="17"/>
      <c r="B881" s="2" t="s">
        <v>14</v>
      </c>
      <c r="C881" s="3">
        <v>1</v>
      </c>
      <c r="D881" s="4" t="s">
        <v>44</v>
      </c>
      <c r="E881" s="2" t="s">
        <v>49</v>
      </c>
      <c r="F881" s="2" t="s">
        <v>42</v>
      </c>
      <c r="G881" s="5">
        <v>3</v>
      </c>
      <c r="H881" s="20">
        <v>15000000</v>
      </c>
      <c r="I881" s="2">
        <v>3</v>
      </c>
      <c r="J881" s="6">
        <v>4.3749999999999995E-3</v>
      </c>
      <c r="K881" s="2" t="s">
        <v>18</v>
      </c>
      <c r="L881" s="2" t="s">
        <v>29</v>
      </c>
      <c r="M881" s="2" t="s">
        <v>43</v>
      </c>
      <c r="N881" s="2" t="s">
        <v>76</v>
      </c>
      <c r="O881" s="2" t="s">
        <v>52</v>
      </c>
    </row>
    <row r="882" spans="1:15" ht="21" customHeight="1" x14ac:dyDescent="0.3">
      <c r="A882" s="17"/>
      <c r="B882" s="12" t="s">
        <v>14</v>
      </c>
      <c r="C882" s="13">
        <v>25</v>
      </c>
      <c r="D882" s="14" t="s">
        <v>69</v>
      </c>
      <c r="E882" s="12" t="s">
        <v>32</v>
      </c>
      <c r="F882" s="12" t="s">
        <v>23</v>
      </c>
      <c r="G882" s="15">
        <v>4</v>
      </c>
      <c r="H882" s="21">
        <v>20000000</v>
      </c>
      <c r="I882" s="12">
        <v>4</v>
      </c>
      <c r="J882" s="16">
        <v>4.3749999999999995E-3</v>
      </c>
      <c r="K882" s="12" t="s">
        <v>61</v>
      </c>
      <c r="L882" s="12" t="s">
        <v>56</v>
      </c>
      <c r="M882" s="12" t="s">
        <v>30</v>
      </c>
      <c r="N882" s="12" t="s">
        <v>78</v>
      </c>
      <c r="O882" s="12" t="s">
        <v>53</v>
      </c>
    </row>
    <row r="883" spans="1:15" ht="21" customHeight="1" x14ac:dyDescent="0.3">
      <c r="A883" s="17"/>
      <c r="B883" s="2" t="s">
        <v>14</v>
      </c>
      <c r="C883" s="3">
        <v>1</v>
      </c>
      <c r="D883" s="4" t="s">
        <v>59</v>
      </c>
      <c r="E883" s="2" t="s">
        <v>16</v>
      </c>
      <c r="F883" s="2" t="s">
        <v>42</v>
      </c>
      <c r="G883" s="5">
        <v>5</v>
      </c>
      <c r="H883" s="20">
        <v>25000000</v>
      </c>
      <c r="I883" s="2">
        <v>1</v>
      </c>
      <c r="J883" s="6">
        <v>4.3749999999999995E-3</v>
      </c>
      <c r="K883" s="2" t="s">
        <v>18</v>
      </c>
      <c r="L883" s="2" t="s">
        <v>19</v>
      </c>
      <c r="M883" s="2" t="s">
        <v>51</v>
      </c>
      <c r="N883" s="2" t="s">
        <v>78</v>
      </c>
      <c r="O883" s="2" t="s">
        <v>62</v>
      </c>
    </row>
    <row r="884" spans="1:15" ht="21" customHeight="1" x14ac:dyDescent="0.3">
      <c r="A884" s="17"/>
      <c r="B884" s="12" t="s">
        <v>14</v>
      </c>
      <c r="C884" s="13">
        <v>7</v>
      </c>
      <c r="D884" s="14" t="s">
        <v>72</v>
      </c>
      <c r="E884" s="12" t="s">
        <v>38</v>
      </c>
      <c r="F884" s="12" t="s">
        <v>42</v>
      </c>
      <c r="G884" s="15">
        <v>1</v>
      </c>
      <c r="H884" s="21">
        <v>19000000</v>
      </c>
      <c r="I884" s="12">
        <v>6</v>
      </c>
      <c r="J884" s="16">
        <v>4.3749999999999995E-3</v>
      </c>
      <c r="K884" s="12" t="s">
        <v>46</v>
      </c>
      <c r="L884" s="12" t="s">
        <v>29</v>
      </c>
      <c r="M884" s="12" t="s">
        <v>20</v>
      </c>
      <c r="N884" s="12" t="s">
        <v>78</v>
      </c>
      <c r="O884" s="12" t="s">
        <v>21</v>
      </c>
    </row>
    <row r="885" spans="1:15" ht="21" customHeight="1" x14ac:dyDescent="0.3">
      <c r="A885" s="17"/>
      <c r="B885" s="2" t="s">
        <v>70</v>
      </c>
      <c r="C885" s="3">
        <v>7</v>
      </c>
      <c r="D885" s="4" t="s">
        <v>37</v>
      </c>
      <c r="E885" s="2" t="s">
        <v>32</v>
      </c>
      <c r="F885" s="2" t="s">
        <v>23</v>
      </c>
      <c r="G885" s="5">
        <v>0</v>
      </c>
      <c r="H885" s="20">
        <v>0</v>
      </c>
      <c r="I885" s="2">
        <v>1</v>
      </c>
      <c r="J885" s="6">
        <v>4.3749999999999995E-3</v>
      </c>
      <c r="K885" s="2"/>
      <c r="L885" s="2"/>
      <c r="M885" s="2" t="s">
        <v>30</v>
      </c>
      <c r="N885" s="2" t="s">
        <v>78</v>
      </c>
      <c r="O885" s="2" t="s">
        <v>63</v>
      </c>
    </row>
    <row r="886" spans="1:15" ht="21" customHeight="1" x14ac:dyDescent="0.3">
      <c r="A886" s="17"/>
      <c r="B886" s="12" t="s">
        <v>70</v>
      </c>
      <c r="C886" s="13">
        <v>16</v>
      </c>
      <c r="D886" s="14" t="s">
        <v>44</v>
      </c>
      <c r="E886" s="12" t="s">
        <v>16</v>
      </c>
      <c r="F886" s="12" t="s">
        <v>17</v>
      </c>
      <c r="G886" s="15">
        <v>0</v>
      </c>
      <c r="H886" s="21">
        <v>0</v>
      </c>
      <c r="I886" s="12">
        <v>1</v>
      </c>
      <c r="J886" s="16">
        <v>4.3749999999999995E-3</v>
      </c>
      <c r="K886" s="12"/>
      <c r="L886" s="12"/>
      <c r="M886" s="12" t="s">
        <v>48</v>
      </c>
      <c r="N886" s="12" t="s">
        <v>77</v>
      </c>
      <c r="O886" s="12" t="s">
        <v>54</v>
      </c>
    </row>
    <row r="887" spans="1:15" ht="21" customHeight="1" x14ac:dyDescent="0.3">
      <c r="A887" s="17"/>
      <c r="B887" s="2" t="s">
        <v>70</v>
      </c>
      <c r="C887" s="3">
        <v>11</v>
      </c>
      <c r="D887" s="4" t="s">
        <v>69</v>
      </c>
      <c r="E887" s="2" t="s">
        <v>32</v>
      </c>
      <c r="F887" s="2" t="s">
        <v>23</v>
      </c>
      <c r="G887" s="5">
        <v>0</v>
      </c>
      <c r="H887" s="20">
        <v>0</v>
      </c>
      <c r="I887" s="2">
        <v>2</v>
      </c>
      <c r="J887" s="6">
        <v>4.3749999999999995E-3</v>
      </c>
      <c r="K887" s="2"/>
      <c r="L887" s="2"/>
      <c r="M887" s="2" t="s">
        <v>40</v>
      </c>
      <c r="N887" s="2" t="s">
        <v>76</v>
      </c>
      <c r="O887" s="2" t="s">
        <v>26</v>
      </c>
    </row>
    <row r="888" spans="1:15" ht="21" customHeight="1" x14ac:dyDescent="0.3">
      <c r="A888" s="17"/>
      <c r="B888" s="12" t="s">
        <v>14</v>
      </c>
      <c r="C888" s="13">
        <v>17</v>
      </c>
      <c r="D888" s="14" t="s">
        <v>57</v>
      </c>
      <c r="E888" s="12" t="s">
        <v>38</v>
      </c>
      <c r="F888" s="12" t="s">
        <v>42</v>
      </c>
      <c r="G888" s="15">
        <v>4</v>
      </c>
      <c r="H888" s="21">
        <v>15000000</v>
      </c>
      <c r="I888" s="12">
        <v>2</v>
      </c>
      <c r="J888" s="16">
        <v>4.3981481481481484E-3</v>
      </c>
      <c r="K888" s="12" t="s">
        <v>18</v>
      </c>
      <c r="L888" s="12" t="s">
        <v>64</v>
      </c>
      <c r="M888" s="12" t="s">
        <v>30</v>
      </c>
      <c r="N888" s="12" t="s">
        <v>77</v>
      </c>
      <c r="O888" s="12" t="s">
        <v>65</v>
      </c>
    </row>
    <row r="889" spans="1:15" ht="21" customHeight="1" x14ac:dyDescent="0.3">
      <c r="A889" s="17"/>
      <c r="B889" s="2" t="s">
        <v>14</v>
      </c>
      <c r="C889" s="3">
        <v>27</v>
      </c>
      <c r="D889" s="4" t="s">
        <v>37</v>
      </c>
      <c r="E889" s="2" t="s">
        <v>32</v>
      </c>
      <c r="F889" s="2" t="s">
        <v>42</v>
      </c>
      <c r="G889" s="5">
        <v>1</v>
      </c>
      <c r="H889" s="20">
        <v>19000000</v>
      </c>
      <c r="I889" s="2">
        <v>2</v>
      </c>
      <c r="J889" s="6">
        <v>4.3981481481481484E-3</v>
      </c>
      <c r="K889" s="2" t="s">
        <v>46</v>
      </c>
      <c r="L889" s="2" t="s">
        <v>19</v>
      </c>
      <c r="M889" s="2" t="s">
        <v>33</v>
      </c>
      <c r="N889" s="2" t="s">
        <v>76</v>
      </c>
      <c r="O889" s="2" t="s">
        <v>26</v>
      </c>
    </row>
    <row r="890" spans="1:15" ht="21" customHeight="1" x14ac:dyDescent="0.3">
      <c r="A890" s="17"/>
      <c r="B890" s="12" t="s">
        <v>14</v>
      </c>
      <c r="C890" s="13">
        <v>22</v>
      </c>
      <c r="D890" s="14" t="s">
        <v>37</v>
      </c>
      <c r="E890" s="12" t="s">
        <v>16</v>
      </c>
      <c r="F890" s="12" t="s">
        <v>23</v>
      </c>
      <c r="G890" s="15">
        <v>2</v>
      </c>
      <c r="H890" s="21">
        <v>38000000</v>
      </c>
      <c r="I890" s="12">
        <v>1</v>
      </c>
      <c r="J890" s="16">
        <v>4.3981481481481484E-3</v>
      </c>
      <c r="K890" s="12" t="s">
        <v>46</v>
      </c>
      <c r="L890" s="12" t="s">
        <v>56</v>
      </c>
      <c r="M890" s="12" t="s">
        <v>51</v>
      </c>
      <c r="N890" s="12" t="s">
        <v>66</v>
      </c>
      <c r="O890" s="12" t="s">
        <v>67</v>
      </c>
    </row>
    <row r="891" spans="1:15" ht="21" customHeight="1" x14ac:dyDescent="0.3">
      <c r="A891" s="17"/>
      <c r="B891" s="2" t="s">
        <v>14</v>
      </c>
      <c r="C891" s="3">
        <v>31</v>
      </c>
      <c r="D891" s="4" t="s">
        <v>37</v>
      </c>
      <c r="E891" s="2" t="s">
        <v>32</v>
      </c>
      <c r="F891" s="2" t="s">
        <v>23</v>
      </c>
      <c r="G891" s="5">
        <v>4</v>
      </c>
      <c r="H891" s="20">
        <v>20000000</v>
      </c>
      <c r="I891" s="2">
        <v>1</v>
      </c>
      <c r="J891" s="6">
        <v>4.3981481481481484E-3</v>
      </c>
      <c r="K891" s="2" t="s">
        <v>61</v>
      </c>
      <c r="L891" s="2" t="s">
        <v>50</v>
      </c>
      <c r="M891" s="2" t="s">
        <v>43</v>
      </c>
      <c r="N891" s="2" t="s">
        <v>78</v>
      </c>
      <c r="O891" s="2" t="s">
        <v>62</v>
      </c>
    </row>
    <row r="892" spans="1:15" ht="21" customHeight="1" x14ac:dyDescent="0.3">
      <c r="A892" s="17"/>
      <c r="B892" s="12" t="s">
        <v>14</v>
      </c>
      <c r="C892" s="13">
        <v>10</v>
      </c>
      <c r="D892" s="14" t="s">
        <v>37</v>
      </c>
      <c r="E892" s="12" t="s">
        <v>16</v>
      </c>
      <c r="F892" s="12" t="s">
        <v>23</v>
      </c>
      <c r="G892" s="15">
        <v>5</v>
      </c>
      <c r="H892" s="21">
        <v>25000000</v>
      </c>
      <c r="I892" s="12">
        <v>3</v>
      </c>
      <c r="J892" s="16">
        <v>4.3981481481481484E-3</v>
      </c>
      <c r="K892" s="12" t="s">
        <v>18</v>
      </c>
      <c r="L892" s="12" t="s">
        <v>29</v>
      </c>
      <c r="M892" s="12" t="s">
        <v>30</v>
      </c>
      <c r="N892" s="12" t="s">
        <v>76</v>
      </c>
      <c r="O892" s="12" t="s">
        <v>26</v>
      </c>
    </row>
    <row r="893" spans="1:15" ht="21" customHeight="1" x14ac:dyDescent="0.3">
      <c r="A893" s="17"/>
      <c r="B893" s="2" t="s">
        <v>14</v>
      </c>
      <c r="C893" s="3">
        <v>29</v>
      </c>
      <c r="D893" s="4" t="s">
        <v>37</v>
      </c>
      <c r="E893" s="2" t="s">
        <v>16</v>
      </c>
      <c r="F893" s="2" t="s">
        <v>23</v>
      </c>
      <c r="G893" s="5">
        <v>2</v>
      </c>
      <c r="H893" s="20">
        <v>10000000</v>
      </c>
      <c r="I893" s="2">
        <v>1</v>
      </c>
      <c r="J893" s="6">
        <v>4.3981481481481484E-3</v>
      </c>
      <c r="K893" s="2" t="s">
        <v>18</v>
      </c>
      <c r="L893" s="2" t="s">
        <v>29</v>
      </c>
      <c r="M893" s="2" t="s">
        <v>51</v>
      </c>
      <c r="N893" s="2" t="s">
        <v>76</v>
      </c>
      <c r="O893" s="2" t="s">
        <v>26</v>
      </c>
    </row>
    <row r="894" spans="1:15" ht="21" customHeight="1" x14ac:dyDescent="0.3">
      <c r="A894" s="17"/>
      <c r="B894" s="12" t="s">
        <v>14</v>
      </c>
      <c r="C894" s="13">
        <v>22</v>
      </c>
      <c r="D894" s="14" t="s">
        <v>44</v>
      </c>
      <c r="E894" s="12" t="s">
        <v>32</v>
      </c>
      <c r="F894" s="12" t="s">
        <v>23</v>
      </c>
      <c r="G894" s="15">
        <v>3</v>
      </c>
      <c r="H894" s="21">
        <v>15000000</v>
      </c>
      <c r="I894" s="12">
        <v>5</v>
      </c>
      <c r="J894" s="16">
        <v>4.3981481481481484E-3</v>
      </c>
      <c r="K894" s="12" t="s">
        <v>18</v>
      </c>
      <c r="L894" s="12" t="s">
        <v>19</v>
      </c>
      <c r="M894" s="12" t="s">
        <v>48</v>
      </c>
      <c r="N894" s="12" t="s">
        <v>78</v>
      </c>
      <c r="O894" s="12" t="s">
        <v>21</v>
      </c>
    </row>
    <row r="895" spans="1:15" ht="21" customHeight="1" x14ac:dyDescent="0.3">
      <c r="A895" s="17"/>
      <c r="B895" s="2" t="s">
        <v>14</v>
      </c>
      <c r="C895" s="3">
        <v>17</v>
      </c>
      <c r="D895" s="4" t="s">
        <v>69</v>
      </c>
      <c r="E895" s="2" t="s">
        <v>73</v>
      </c>
      <c r="F895" s="2" t="s">
        <v>45</v>
      </c>
      <c r="G895" s="5">
        <v>3</v>
      </c>
      <c r="H895" s="20">
        <v>12000000</v>
      </c>
      <c r="I895" s="2">
        <v>1</v>
      </c>
      <c r="J895" s="6">
        <v>4.3981481481481484E-3</v>
      </c>
      <c r="K895" s="2" t="s">
        <v>18</v>
      </c>
      <c r="L895" s="2" t="s">
        <v>56</v>
      </c>
      <c r="M895" s="2" t="s">
        <v>48</v>
      </c>
      <c r="N895" s="2" t="s">
        <v>78</v>
      </c>
      <c r="O895" s="2" t="s">
        <v>63</v>
      </c>
    </row>
    <row r="896" spans="1:15" ht="21" customHeight="1" x14ac:dyDescent="0.3">
      <c r="A896" s="17"/>
      <c r="B896" s="12" t="s">
        <v>14</v>
      </c>
      <c r="C896" s="13">
        <v>17</v>
      </c>
      <c r="D896" s="14" t="s">
        <v>57</v>
      </c>
      <c r="E896" s="12" t="s">
        <v>38</v>
      </c>
      <c r="F896" s="12" t="s">
        <v>42</v>
      </c>
      <c r="G896" s="15">
        <v>4</v>
      </c>
      <c r="H896" s="21">
        <v>15000000</v>
      </c>
      <c r="I896" s="12">
        <v>2</v>
      </c>
      <c r="J896" s="16">
        <v>4.3981481481481484E-3</v>
      </c>
      <c r="K896" s="12" t="s">
        <v>18</v>
      </c>
      <c r="L896" s="12" t="s">
        <v>64</v>
      </c>
      <c r="M896" s="12" t="s">
        <v>30</v>
      </c>
      <c r="N896" s="12" t="s">
        <v>77</v>
      </c>
      <c r="O896" s="12" t="s">
        <v>65</v>
      </c>
    </row>
    <row r="897" spans="1:15" ht="21" customHeight="1" x14ac:dyDescent="0.3">
      <c r="A897" s="17"/>
      <c r="B897" s="2" t="s">
        <v>70</v>
      </c>
      <c r="C897" s="3">
        <v>13</v>
      </c>
      <c r="D897" s="4" t="s">
        <v>27</v>
      </c>
      <c r="E897" s="2" t="s">
        <v>32</v>
      </c>
      <c r="F897" s="2" t="s">
        <v>23</v>
      </c>
      <c r="G897" s="5">
        <v>0</v>
      </c>
      <c r="H897" s="20">
        <v>0</v>
      </c>
      <c r="I897" s="2">
        <v>1</v>
      </c>
      <c r="J897" s="6">
        <v>4.3981481481481484E-3</v>
      </c>
      <c r="K897" s="2"/>
      <c r="L897" s="2"/>
      <c r="M897" s="2" t="s">
        <v>20</v>
      </c>
      <c r="N897" s="2" t="s">
        <v>66</v>
      </c>
      <c r="O897" s="2" t="s">
        <v>36</v>
      </c>
    </row>
    <row r="898" spans="1:15" ht="21" customHeight="1" x14ac:dyDescent="0.3">
      <c r="A898" s="17"/>
      <c r="B898" s="12" t="s">
        <v>70</v>
      </c>
      <c r="C898" s="13">
        <v>5</v>
      </c>
      <c r="D898" s="14" t="s">
        <v>37</v>
      </c>
      <c r="E898" s="12" t="s">
        <v>49</v>
      </c>
      <c r="F898" s="12" t="s">
        <v>42</v>
      </c>
      <c r="G898" s="15">
        <v>0</v>
      </c>
      <c r="H898" s="21">
        <v>0</v>
      </c>
      <c r="I898" s="12">
        <v>5</v>
      </c>
      <c r="J898" s="16">
        <v>4.3981481481481484E-3</v>
      </c>
      <c r="K898" s="12"/>
      <c r="L898" s="12"/>
      <c r="M898" s="12" t="s">
        <v>40</v>
      </c>
      <c r="N898" s="12" t="s">
        <v>76</v>
      </c>
      <c r="O898" s="12" t="s">
        <v>26</v>
      </c>
    </row>
    <row r="899" spans="1:15" ht="21" customHeight="1" x14ac:dyDescent="0.3">
      <c r="A899" s="17"/>
      <c r="B899" s="2" t="s">
        <v>70</v>
      </c>
      <c r="C899" s="3">
        <v>19</v>
      </c>
      <c r="D899" s="4" t="s">
        <v>44</v>
      </c>
      <c r="E899" s="2" t="s">
        <v>32</v>
      </c>
      <c r="F899" s="2" t="s">
        <v>17</v>
      </c>
      <c r="G899" s="5">
        <v>0</v>
      </c>
      <c r="H899" s="20">
        <v>0</v>
      </c>
      <c r="I899" s="2">
        <v>2</v>
      </c>
      <c r="J899" s="6">
        <v>4.3981481481481484E-3</v>
      </c>
      <c r="K899" s="2"/>
      <c r="L899" s="2"/>
      <c r="M899" s="2" t="s">
        <v>30</v>
      </c>
      <c r="N899" s="2" t="s">
        <v>76</v>
      </c>
      <c r="O899" s="2" t="s">
        <v>26</v>
      </c>
    </row>
    <row r="900" spans="1:15" ht="21" customHeight="1" x14ac:dyDescent="0.3">
      <c r="A900" s="17"/>
      <c r="B900" s="12" t="s">
        <v>70</v>
      </c>
      <c r="C900" s="13">
        <v>28</v>
      </c>
      <c r="D900" s="14" t="s">
        <v>44</v>
      </c>
      <c r="E900" s="12" t="s">
        <v>32</v>
      </c>
      <c r="F900" s="12" t="s">
        <v>23</v>
      </c>
      <c r="G900" s="15">
        <v>0</v>
      </c>
      <c r="H900" s="21">
        <v>0</v>
      </c>
      <c r="I900" s="12">
        <v>4</v>
      </c>
      <c r="J900" s="16">
        <v>4.3981481481481484E-3</v>
      </c>
      <c r="K900" s="12"/>
      <c r="L900" s="12"/>
      <c r="M900" s="12" t="s">
        <v>43</v>
      </c>
      <c r="N900" s="12" t="s">
        <v>66</v>
      </c>
      <c r="O900" s="12" t="s">
        <v>36</v>
      </c>
    </row>
    <row r="901" spans="1:15" ht="21" customHeight="1" x14ac:dyDescent="0.3">
      <c r="A901" s="17"/>
      <c r="B901" s="2" t="s">
        <v>70</v>
      </c>
      <c r="C901" s="3">
        <v>10</v>
      </c>
      <c r="D901" s="4" t="s">
        <v>69</v>
      </c>
      <c r="E901" s="2" t="s">
        <v>49</v>
      </c>
      <c r="F901" s="2" t="s">
        <v>42</v>
      </c>
      <c r="G901" s="5">
        <v>0</v>
      </c>
      <c r="H901" s="20">
        <v>0</v>
      </c>
      <c r="I901" s="2">
        <v>5</v>
      </c>
      <c r="J901" s="6">
        <v>4.3981481481481484E-3</v>
      </c>
      <c r="K901" s="2"/>
      <c r="L901" s="2"/>
      <c r="M901" s="2" t="s">
        <v>48</v>
      </c>
      <c r="N901" s="2" t="s">
        <v>78</v>
      </c>
      <c r="O901" s="2" t="s">
        <v>62</v>
      </c>
    </row>
    <row r="902" spans="1:15" ht="21" customHeight="1" x14ac:dyDescent="0.3">
      <c r="A902" s="17"/>
      <c r="B902" s="12" t="s">
        <v>14</v>
      </c>
      <c r="C902" s="13">
        <v>1</v>
      </c>
      <c r="D902" s="14" t="s">
        <v>15</v>
      </c>
      <c r="E902" s="12" t="s">
        <v>38</v>
      </c>
      <c r="F902" s="12" t="s">
        <v>68</v>
      </c>
      <c r="G902" s="15">
        <v>2</v>
      </c>
      <c r="H902" s="21">
        <v>12000000</v>
      </c>
      <c r="I902" s="12">
        <v>1</v>
      </c>
      <c r="J902" s="16">
        <v>4.5138888888888893E-3</v>
      </c>
      <c r="K902" s="12" t="s">
        <v>18</v>
      </c>
      <c r="L902" s="12" t="s">
        <v>47</v>
      </c>
      <c r="M902" s="12" t="s">
        <v>25</v>
      </c>
      <c r="N902" s="12" t="s">
        <v>66</v>
      </c>
      <c r="O902" s="12" t="s">
        <v>36</v>
      </c>
    </row>
    <row r="903" spans="1:15" ht="21" customHeight="1" x14ac:dyDescent="0.3">
      <c r="A903" s="17"/>
      <c r="B903" s="2" t="s">
        <v>14</v>
      </c>
      <c r="C903" s="3">
        <v>1</v>
      </c>
      <c r="D903" s="4" t="s">
        <v>15</v>
      </c>
      <c r="E903" s="2" t="s">
        <v>28</v>
      </c>
      <c r="F903" s="2" t="s">
        <v>23</v>
      </c>
      <c r="G903" s="5">
        <v>2</v>
      </c>
      <c r="H903" s="20">
        <v>12000000</v>
      </c>
      <c r="I903" s="2">
        <v>1</v>
      </c>
      <c r="J903" s="6">
        <v>4.5138888888888893E-3</v>
      </c>
      <c r="K903" s="2" t="s">
        <v>18</v>
      </c>
      <c r="L903" s="2" t="s">
        <v>39</v>
      </c>
      <c r="M903" s="2" t="s">
        <v>48</v>
      </c>
      <c r="N903" s="2" t="s">
        <v>76</v>
      </c>
      <c r="O903" s="2" t="s">
        <v>26</v>
      </c>
    </row>
    <row r="904" spans="1:15" ht="21" customHeight="1" x14ac:dyDescent="0.3">
      <c r="A904" s="17"/>
      <c r="B904" s="12" t="s">
        <v>14</v>
      </c>
      <c r="C904" s="13">
        <v>1</v>
      </c>
      <c r="D904" s="14" t="s">
        <v>15</v>
      </c>
      <c r="E904" s="12" t="s">
        <v>32</v>
      </c>
      <c r="F904" s="12" t="s">
        <v>42</v>
      </c>
      <c r="G904" s="15">
        <v>5</v>
      </c>
      <c r="H904" s="21">
        <v>25000000</v>
      </c>
      <c r="I904" s="12">
        <v>2</v>
      </c>
      <c r="J904" s="16">
        <v>4.5138888888888893E-3</v>
      </c>
      <c r="K904" s="12" t="s">
        <v>18</v>
      </c>
      <c r="L904" s="12" t="s">
        <v>47</v>
      </c>
      <c r="M904" s="12" t="s">
        <v>48</v>
      </c>
      <c r="N904" s="12" t="s">
        <v>78</v>
      </c>
      <c r="O904" s="12" t="s">
        <v>53</v>
      </c>
    </row>
    <row r="905" spans="1:15" ht="21" customHeight="1" x14ac:dyDescent="0.3">
      <c r="A905" s="17"/>
      <c r="B905" s="2" t="s">
        <v>14</v>
      </c>
      <c r="C905" s="3">
        <v>12</v>
      </c>
      <c r="D905" s="4" t="s">
        <v>60</v>
      </c>
      <c r="E905" s="2" t="s">
        <v>73</v>
      </c>
      <c r="F905" s="2" t="s">
        <v>42</v>
      </c>
      <c r="G905" s="5">
        <v>4</v>
      </c>
      <c r="H905" s="20">
        <v>11000000</v>
      </c>
      <c r="I905" s="2">
        <v>1</v>
      </c>
      <c r="J905" s="6">
        <v>4.5138888888888893E-3</v>
      </c>
      <c r="K905" s="2" t="s">
        <v>61</v>
      </c>
      <c r="L905" s="2" t="s">
        <v>24</v>
      </c>
      <c r="M905" s="2" t="s">
        <v>30</v>
      </c>
      <c r="N905" s="2" t="s">
        <v>76</v>
      </c>
      <c r="O905" s="2" t="s">
        <v>26</v>
      </c>
    </row>
    <row r="906" spans="1:15" ht="21" customHeight="1" x14ac:dyDescent="0.3">
      <c r="A906" s="17"/>
      <c r="B906" s="12" t="s">
        <v>14</v>
      </c>
      <c r="C906" s="13">
        <v>27</v>
      </c>
      <c r="D906" s="14" t="s">
        <v>22</v>
      </c>
      <c r="E906" s="12" t="s">
        <v>38</v>
      </c>
      <c r="F906" s="12" t="s">
        <v>23</v>
      </c>
      <c r="G906" s="15">
        <v>3</v>
      </c>
      <c r="H906" s="21">
        <v>15000000</v>
      </c>
      <c r="I906" s="12">
        <v>4</v>
      </c>
      <c r="J906" s="16">
        <v>4.5138888888888893E-3</v>
      </c>
      <c r="K906" s="12" t="s">
        <v>18</v>
      </c>
      <c r="L906" s="12" t="s">
        <v>39</v>
      </c>
      <c r="M906" s="12" t="s">
        <v>43</v>
      </c>
      <c r="N906" s="12" t="s">
        <v>78</v>
      </c>
      <c r="O906" s="12" t="s">
        <v>63</v>
      </c>
    </row>
    <row r="907" spans="1:15" ht="21" customHeight="1" x14ac:dyDescent="0.3">
      <c r="A907" s="17"/>
      <c r="B907" s="2" t="s">
        <v>14</v>
      </c>
      <c r="C907" s="3">
        <v>16</v>
      </c>
      <c r="D907" s="4" t="s">
        <v>22</v>
      </c>
      <c r="E907" s="2" t="s">
        <v>73</v>
      </c>
      <c r="F907" s="2" t="s">
        <v>23</v>
      </c>
      <c r="G907" s="5">
        <v>5</v>
      </c>
      <c r="H907" s="20">
        <v>20000000</v>
      </c>
      <c r="I907" s="2">
        <v>3</v>
      </c>
      <c r="J907" s="6">
        <v>4.5138888888888893E-3</v>
      </c>
      <c r="K907" s="2" t="s">
        <v>18</v>
      </c>
      <c r="L907" s="2" t="s">
        <v>50</v>
      </c>
      <c r="M907" s="2" t="s">
        <v>51</v>
      </c>
      <c r="N907" s="2" t="s">
        <v>78</v>
      </c>
      <c r="O907" s="2" t="s">
        <v>41</v>
      </c>
    </row>
    <row r="908" spans="1:15" ht="21" customHeight="1" x14ac:dyDescent="0.3">
      <c r="A908" s="17"/>
      <c r="B908" s="12" t="s">
        <v>14</v>
      </c>
      <c r="C908" s="13">
        <v>24</v>
      </c>
      <c r="D908" s="14" t="s">
        <v>27</v>
      </c>
      <c r="E908" s="12" t="s">
        <v>16</v>
      </c>
      <c r="F908" s="12" t="s">
        <v>17</v>
      </c>
      <c r="G908" s="15">
        <v>3</v>
      </c>
      <c r="H908" s="21">
        <v>15000000</v>
      </c>
      <c r="I908" s="12">
        <v>5</v>
      </c>
      <c r="J908" s="16">
        <v>4.5138888888888893E-3</v>
      </c>
      <c r="K908" s="12" t="s">
        <v>18</v>
      </c>
      <c r="L908" s="12" t="s">
        <v>19</v>
      </c>
      <c r="M908" s="12" t="s">
        <v>30</v>
      </c>
      <c r="N908" s="12" t="s">
        <v>76</v>
      </c>
      <c r="O908" s="12" t="s">
        <v>52</v>
      </c>
    </row>
    <row r="909" spans="1:15" ht="21" customHeight="1" x14ac:dyDescent="0.3">
      <c r="A909" s="17"/>
      <c r="B909" s="2" t="s">
        <v>14</v>
      </c>
      <c r="C909" s="3">
        <v>30</v>
      </c>
      <c r="D909" s="4" t="s">
        <v>27</v>
      </c>
      <c r="E909" s="2" t="s">
        <v>49</v>
      </c>
      <c r="F909" s="2" t="s">
        <v>42</v>
      </c>
      <c r="G909" s="5">
        <v>2</v>
      </c>
      <c r="H909" s="20">
        <v>12000000</v>
      </c>
      <c r="I909" s="2">
        <v>4</v>
      </c>
      <c r="J909" s="6">
        <v>4.5138888888888893E-3</v>
      </c>
      <c r="K909" s="2" t="s">
        <v>18</v>
      </c>
      <c r="L909" s="2" t="s">
        <v>29</v>
      </c>
      <c r="M909" s="2" t="s">
        <v>30</v>
      </c>
      <c r="N909" s="2" t="s">
        <v>78</v>
      </c>
      <c r="O909" s="2" t="s">
        <v>41</v>
      </c>
    </row>
    <row r="910" spans="1:15" ht="21" customHeight="1" x14ac:dyDescent="0.3">
      <c r="A910" s="17"/>
      <c r="B910" s="12" t="s">
        <v>14</v>
      </c>
      <c r="C910" s="13">
        <v>11</v>
      </c>
      <c r="D910" s="14" t="s">
        <v>27</v>
      </c>
      <c r="E910" s="12" t="s">
        <v>16</v>
      </c>
      <c r="F910" s="12" t="s">
        <v>23</v>
      </c>
      <c r="G910" s="15">
        <v>5</v>
      </c>
      <c r="H910" s="21">
        <v>21000000</v>
      </c>
      <c r="I910" s="12">
        <v>1</v>
      </c>
      <c r="J910" s="16">
        <v>4.5138888888888893E-3</v>
      </c>
      <c r="K910" s="12" t="s">
        <v>18</v>
      </c>
      <c r="L910" s="12" t="s">
        <v>29</v>
      </c>
      <c r="M910" s="12" t="s">
        <v>51</v>
      </c>
      <c r="N910" s="12" t="s">
        <v>77</v>
      </c>
      <c r="O910" s="12" t="s">
        <v>65</v>
      </c>
    </row>
    <row r="911" spans="1:15" ht="21" customHeight="1" x14ac:dyDescent="0.3">
      <c r="A911" s="17"/>
      <c r="B911" s="2" t="s">
        <v>14</v>
      </c>
      <c r="C911" s="3">
        <v>8</v>
      </c>
      <c r="D911" s="4" t="s">
        <v>37</v>
      </c>
      <c r="E911" s="2" t="s">
        <v>28</v>
      </c>
      <c r="F911" s="2" t="s">
        <v>23</v>
      </c>
      <c r="G911" s="5">
        <v>1</v>
      </c>
      <c r="H911" s="20">
        <v>19000000</v>
      </c>
      <c r="I911" s="2">
        <v>3</v>
      </c>
      <c r="J911" s="6">
        <v>4.5138888888888893E-3</v>
      </c>
      <c r="K911" s="2" t="s">
        <v>46</v>
      </c>
      <c r="L911" s="2" t="s">
        <v>29</v>
      </c>
      <c r="M911" s="2" t="s">
        <v>33</v>
      </c>
      <c r="N911" s="2" t="s">
        <v>76</v>
      </c>
      <c r="O911" s="2" t="s">
        <v>31</v>
      </c>
    </row>
    <row r="912" spans="1:15" ht="21" customHeight="1" x14ac:dyDescent="0.3">
      <c r="A912" s="17"/>
      <c r="B912" s="12" t="s">
        <v>14</v>
      </c>
      <c r="C912" s="13">
        <v>26</v>
      </c>
      <c r="D912" s="14" t="s">
        <v>37</v>
      </c>
      <c r="E912" s="12" t="s">
        <v>16</v>
      </c>
      <c r="F912" s="12" t="s">
        <v>17</v>
      </c>
      <c r="G912" s="15">
        <v>2</v>
      </c>
      <c r="H912" s="21">
        <v>38000000</v>
      </c>
      <c r="I912" s="12">
        <v>4</v>
      </c>
      <c r="J912" s="16">
        <v>4.5138888888888893E-3</v>
      </c>
      <c r="K912" s="12" t="s">
        <v>46</v>
      </c>
      <c r="L912" s="12" t="s">
        <v>19</v>
      </c>
      <c r="M912" s="12" t="s">
        <v>33</v>
      </c>
      <c r="N912" s="12" t="s">
        <v>66</v>
      </c>
      <c r="O912" s="12" t="s">
        <v>67</v>
      </c>
    </row>
    <row r="913" spans="1:15" ht="21" customHeight="1" x14ac:dyDescent="0.3">
      <c r="A913" s="17"/>
      <c r="B913" s="2" t="s">
        <v>14</v>
      </c>
      <c r="C913" s="3">
        <v>10</v>
      </c>
      <c r="D913" s="4" t="s">
        <v>37</v>
      </c>
      <c r="E913" s="2" t="s">
        <v>16</v>
      </c>
      <c r="F913" s="2" t="s">
        <v>23</v>
      </c>
      <c r="G913" s="5">
        <v>4</v>
      </c>
      <c r="H913" s="20">
        <v>11000000</v>
      </c>
      <c r="I913" s="2">
        <v>5</v>
      </c>
      <c r="J913" s="6">
        <v>4.5138888888888893E-3</v>
      </c>
      <c r="K913" s="2" t="s">
        <v>61</v>
      </c>
      <c r="L913" s="2" t="s">
        <v>35</v>
      </c>
      <c r="M913" s="2" t="s">
        <v>43</v>
      </c>
      <c r="N913" s="2" t="s">
        <v>66</v>
      </c>
      <c r="O913" s="2" t="s">
        <v>36</v>
      </c>
    </row>
    <row r="914" spans="1:15" ht="21" customHeight="1" x14ac:dyDescent="0.3">
      <c r="A914" s="17"/>
      <c r="B914" s="12" t="s">
        <v>14</v>
      </c>
      <c r="C914" s="13">
        <v>31</v>
      </c>
      <c r="D914" s="14" t="s">
        <v>37</v>
      </c>
      <c r="E914" s="12" t="s">
        <v>38</v>
      </c>
      <c r="F914" s="12" t="s">
        <v>42</v>
      </c>
      <c r="G914" s="15">
        <v>5</v>
      </c>
      <c r="H914" s="21">
        <v>21000000</v>
      </c>
      <c r="I914" s="12">
        <v>5</v>
      </c>
      <c r="J914" s="16">
        <v>4.5138888888888893E-3</v>
      </c>
      <c r="K914" s="12" t="s">
        <v>18</v>
      </c>
      <c r="L914" s="12" t="s">
        <v>39</v>
      </c>
      <c r="M914" s="12" t="s">
        <v>20</v>
      </c>
      <c r="N914" s="12" t="s">
        <v>76</v>
      </c>
      <c r="O914" s="12" t="s">
        <v>26</v>
      </c>
    </row>
    <row r="915" spans="1:15" ht="21" customHeight="1" x14ac:dyDescent="0.3">
      <c r="A915" s="17"/>
      <c r="B915" s="2" t="s">
        <v>14</v>
      </c>
      <c r="C915" s="3">
        <v>11</v>
      </c>
      <c r="D915" s="4" t="s">
        <v>37</v>
      </c>
      <c r="E915" s="2" t="s">
        <v>32</v>
      </c>
      <c r="F915" s="2" t="s">
        <v>17</v>
      </c>
      <c r="G915" s="5">
        <v>5</v>
      </c>
      <c r="H915" s="20">
        <v>25000000</v>
      </c>
      <c r="I915" s="2">
        <v>2</v>
      </c>
      <c r="J915" s="6">
        <v>4.5138888888888893E-3</v>
      </c>
      <c r="K915" s="2" t="s">
        <v>18</v>
      </c>
      <c r="L915" s="2" t="s">
        <v>39</v>
      </c>
      <c r="M915" s="2" t="s">
        <v>33</v>
      </c>
      <c r="N915" s="2" t="s">
        <v>78</v>
      </c>
      <c r="O915" s="2" t="s">
        <v>53</v>
      </c>
    </row>
    <row r="916" spans="1:15" ht="21" customHeight="1" x14ac:dyDescent="0.3">
      <c r="A916" s="17"/>
      <c r="B916" s="12" t="s">
        <v>14</v>
      </c>
      <c r="C916" s="13">
        <v>5</v>
      </c>
      <c r="D916" s="14" t="s">
        <v>37</v>
      </c>
      <c r="E916" s="12" t="s">
        <v>28</v>
      </c>
      <c r="F916" s="12" t="s">
        <v>23</v>
      </c>
      <c r="G916" s="15">
        <v>4</v>
      </c>
      <c r="H916" s="21">
        <v>20000000</v>
      </c>
      <c r="I916" s="12">
        <v>4</v>
      </c>
      <c r="J916" s="16">
        <v>4.5138888888888893E-3</v>
      </c>
      <c r="K916" s="12" t="s">
        <v>18</v>
      </c>
      <c r="L916" s="12" t="s">
        <v>64</v>
      </c>
      <c r="M916" s="12" t="s">
        <v>20</v>
      </c>
      <c r="N916" s="12" t="s">
        <v>78</v>
      </c>
      <c r="O916" s="12" t="s">
        <v>63</v>
      </c>
    </row>
    <row r="917" spans="1:15" ht="21" customHeight="1" x14ac:dyDescent="0.3">
      <c r="A917" s="17"/>
      <c r="B917" s="2" t="s">
        <v>14</v>
      </c>
      <c r="C917" s="3">
        <v>28</v>
      </c>
      <c r="D917" s="4" t="s">
        <v>37</v>
      </c>
      <c r="E917" s="2" t="s">
        <v>49</v>
      </c>
      <c r="F917" s="2" t="s">
        <v>17</v>
      </c>
      <c r="G917" s="5">
        <v>1</v>
      </c>
      <c r="H917" s="20">
        <v>7000000</v>
      </c>
      <c r="I917" s="2">
        <v>5</v>
      </c>
      <c r="J917" s="6">
        <v>4.5138888888888893E-3</v>
      </c>
      <c r="K917" s="2" t="s">
        <v>18</v>
      </c>
      <c r="L917" s="2" t="s">
        <v>19</v>
      </c>
      <c r="M917" s="2" t="s">
        <v>43</v>
      </c>
      <c r="N917" s="2" t="s">
        <v>77</v>
      </c>
      <c r="O917" s="2" t="s">
        <v>54</v>
      </c>
    </row>
    <row r="918" spans="1:15" ht="21" customHeight="1" x14ac:dyDescent="0.3">
      <c r="A918" s="17"/>
      <c r="B918" s="12" t="s">
        <v>14</v>
      </c>
      <c r="C918" s="13">
        <v>4</v>
      </c>
      <c r="D918" s="14" t="s">
        <v>44</v>
      </c>
      <c r="E918" s="12" t="s">
        <v>28</v>
      </c>
      <c r="F918" s="12" t="s">
        <v>23</v>
      </c>
      <c r="G918" s="15">
        <v>2</v>
      </c>
      <c r="H918" s="21">
        <v>38000000</v>
      </c>
      <c r="I918" s="12">
        <v>4</v>
      </c>
      <c r="J918" s="16">
        <v>4.5138888888888893E-3</v>
      </c>
      <c r="K918" s="12" t="s">
        <v>46</v>
      </c>
      <c r="L918" s="12" t="s">
        <v>64</v>
      </c>
      <c r="M918" s="12" t="s">
        <v>20</v>
      </c>
      <c r="N918" s="12" t="s">
        <v>76</v>
      </c>
      <c r="O918" s="12" t="s">
        <v>31</v>
      </c>
    </row>
    <row r="919" spans="1:15" ht="21" customHeight="1" x14ac:dyDescent="0.3">
      <c r="A919" s="17"/>
      <c r="B919" s="2" t="s">
        <v>14</v>
      </c>
      <c r="C919" s="3">
        <v>15</v>
      </c>
      <c r="D919" s="4" t="s">
        <v>44</v>
      </c>
      <c r="E919" s="2" t="s">
        <v>28</v>
      </c>
      <c r="F919" s="2" t="s">
        <v>45</v>
      </c>
      <c r="G919" s="5">
        <v>1</v>
      </c>
      <c r="H919" s="20">
        <v>19000000</v>
      </c>
      <c r="I919" s="2">
        <v>7</v>
      </c>
      <c r="J919" s="6">
        <v>4.5138888888888893E-3</v>
      </c>
      <c r="K919" s="2" t="s">
        <v>46</v>
      </c>
      <c r="L919" s="2" t="s">
        <v>47</v>
      </c>
      <c r="M919" s="2" t="s">
        <v>51</v>
      </c>
      <c r="N919" s="2" t="s">
        <v>77</v>
      </c>
      <c r="O919" s="2" t="s">
        <v>54</v>
      </c>
    </row>
    <row r="920" spans="1:15" ht="21" customHeight="1" x14ac:dyDescent="0.3">
      <c r="A920" s="17"/>
      <c r="B920" s="12" t="s">
        <v>14</v>
      </c>
      <c r="C920" s="13">
        <v>22</v>
      </c>
      <c r="D920" s="14" t="s">
        <v>44</v>
      </c>
      <c r="E920" s="12" t="s">
        <v>49</v>
      </c>
      <c r="F920" s="12" t="s">
        <v>42</v>
      </c>
      <c r="G920" s="15">
        <v>4</v>
      </c>
      <c r="H920" s="21">
        <v>20000000</v>
      </c>
      <c r="I920" s="12">
        <v>3</v>
      </c>
      <c r="J920" s="16">
        <v>4.5138888888888893E-3</v>
      </c>
      <c r="K920" s="12" t="s">
        <v>61</v>
      </c>
      <c r="L920" s="12" t="s">
        <v>56</v>
      </c>
      <c r="M920" s="12" t="s">
        <v>48</v>
      </c>
      <c r="N920" s="12" t="s">
        <v>76</v>
      </c>
      <c r="O920" s="12" t="s">
        <v>52</v>
      </c>
    </row>
    <row r="921" spans="1:15" ht="21" customHeight="1" x14ac:dyDescent="0.3">
      <c r="A921" s="17"/>
      <c r="B921" s="2" t="s">
        <v>14</v>
      </c>
      <c r="C921" s="3">
        <v>3</v>
      </c>
      <c r="D921" s="4" t="s">
        <v>44</v>
      </c>
      <c r="E921" s="2" t="s">
        <v>28</v>
      </c>
      <c r="F921" s="2" t="s">
        <v>42</v>
      </c>
      <c r="G921" s="5">
        <v>2</v>
      </c>
      <c r="H921" s="20">
        <v>12000000</v>
      </c>
      <c r="I921" s="2">
        <v>2</v>
      </c>
      <c r="J921" s="6">
        <v>4.5138888888888893E-3</v>
      </c>
      <c r="K921" s="2" t="s">
        <v>18</v>
      </c>
      <c r="L921" s="2" t="s">
        <v>19</v>
      </c>
      <c r="M921" s="2" t="s">
        <v>25</v>
      </c>
      <c r="N921" s="2" t="s">
        <v>78</v>
      </c>
      <c r="O921" s="2" t="s">
        <v>63</v>
      </c>
    </row>
    <row r="922" spans="1:15" ht="21" customHeight="1" x14ac:dyDescent="0.3">
      <c r="A922" s="17"/>
      <c r="B922" s="12" t="s">
        <v>14</v>
      </c>
      <c r="C922" s="13">
        <v>15</v>
      </c>
      <c r="D922" s="14" t="s">
        <v>44</v>
      </c>
      <c r="E922" s="12" t="s">
        <v>16</v>
      </c>
      <c r="F922" s="12" t="s">
        <v>23</v>
      </c>
      <c r="G922" s="15">
        <v>2</v>
      </c>
      <c r="H922" s="21">
        <v>12000000</v>
      </c>
      <c r="I922" s="12">
        <v>3</v>
      </c>
      <c r="J922" s="16">
        <v>4.5138888888888893E-3</v>
      </c>
      <c r="K922" s="12" t="s">
        <v>18</v>
      </c>
      <c r="L922" s="12" t="s">
        <v>35</v>
      </c>
      <c r="M922" s="12" t="s">
        <v>30</v>
      </c>
      <c r="N922" s="12" t="s">
        <v>78</v>
      </c>
      <c r="O922" s="12" t="s">
        <v>53</v>
      </c>
    </row>
    <row r="923" spans="1:15" ht="21" customHeight="1" x14ac:dyDescent="0.3">
      <c r="A923" s="17"/>
      <c r="B923" s="2" t="s">
        <v>14</v>
      </c>
      <c r="C923" s="3">
        <v>3</v>
      </c>
      <c r="D923" s="4" t="s">
        <v>44</v>
      </c>
      <c r="E923" s="2" t="s">
        <v>16</v>
      </c>
      <c r="F923" s="2" t="s">
        <v>17</v>
      </c>
      <c r="G923" s="5">
        <v>2</v>
      </c>
      <c r="H923" s="20">
        <v>12000000</v>
      </c>
      <c r="I923" s="2">
        <v>3</v>
      </c>
      <c r="J923" s="6">
        <v>4.5138888888888893E-3</v>
      </c>
      <c r="K923" s="2" t="s">
        <v>18</v>
      </c>
      <c r="L923" s="2" t="s">
        <v>29</v>
      </c>
      <c r="M923" s="2" t="s">
        <v>33</v>
      </c>
      <c r="N923" s="2" t="s">
        <v>76</v>
      </c>
      <c r="O923" s="2" t="s">
        <v>31</v>
      </c>
    </row>
    <row r="924" spans="1:15" ht="21" customHeight="1" x14ac:dyDescent="0.3">
      <c r="A924" s="17"/>
      <c r="B924" s="12" t="s">
        <v>14</v>
      </c>
      <c r="C924" s="13">
        <v>11</v>
      </c>
      <c r="D924" s="14" t="s">
        <v>44</v>
      </c>
      <c r="E924" s="12" t="s">
        <v>49</v>
      </c>
      <c r="F924" s="12" t="s">
        <v>45</v>
      </c>
      <c r="G924" s="15">
        <v>3</v>
      </c>
      <c r="H924" s="21">
        <v>15000000</v>
      </c>
      <c r="I924" s="12">
        <v>3</v>
      </c>
      <c r="J924" s="16">
        <v>4.5138888888888893E-3</v>
      </c>
      <c r="K924" s="12" t="s">
        <v>18</v>
      </c>
      <c r="L924" s="12" t="s">
        <v>64</v>
      </c>
      <c r="M924" s="12" t="s">
        <v>33</v>
      </c>
      <c r="N924" s="12" t="s">
        <v>77</v>
      </c>
      <c r="O924" s="12" t="s">
        <v>54</v>
      </c>
    </row>
    <row r="925" spans="1:15" ht="21" customHeight="1" x14ac:dyDescent="0.3">
      <c r="A925" s="17"/>
      <c r="B925" s="2" t="s">
        <v>14</v>
      </c>
      <c r="C925" s="3">
        <v>22</v>
      </c>
      <c r="D925" s="4" t="s">
        <v>44</v>
      </c>
      <c r="E925" s="2" t="s">
        <v>73</v>
      </c>
      <c r="F925" s="2" t="s">
        <v>42</v>
      </c>
      <c r="G925" s="5">
        <v>3</v>
      </c>
      <c r="H925" s="20">
        <v>15000000</v>
      </c>
      <c r="I925" s="2">
        <v>4</v>
      </c>
      <c r="J925" s="6">
        <v>4.5138888888888893E-3</v>
      </c>
      <c r="K925" s="2" t="s">
        <v>18</v>
      </c>
      <c r="L925" s="2" t="s">
        <v>19</v>
      </c>
      <c r="M925" s="2" t="s">
        <v>33</v>
      </c>
      <c r="N925" s="2" t="s">
        <v>78</v>
      </c>
      <c r="O925" s="2" t="s">
        <v>62</v>
      </c>
    </row>
    <row r="926" spans="1:15" ht="21" customHeight="1" x14ac:dyDescent="0.3">
      <c r="A926" s="17"/>
      <c r="B926" s="12" t="s">
        <v>14</v>
      </c>
      <c r="C926" s="13">
        <v>20</v>
      </c>
      <c r="D926" s="14" t="s">
        <v>44</v>
      </c>
      <c r="E926" s="12" t="s">
        <v>16</v>
      </c>
      <c r="F926" s="12" t="s">
        <v>42</v>
      </c>
      <c r="G926" s="15">
        <v>3</v>
      </c>
      <c r="H926" s="21">
        <v>15000000</v>
      </c>
      <c r="I926" s="12">
        <v>6</v>
      </c>
      <c r="J926" s="16">
        <v>4.5138888888888893E-3</v>
      </c>
      <c r="K926" s="12" t="s">
        <v>18</v>
      </c>
      <c r="L926" s="12" t="s">
        <v>35</v>
      </c>
      <c r="M926" s="12" t="s">
        <v>20</v>
      </c>
      <c r="N926" s="12" t="s">
        <v>66</v>
      </c>
      <c r="O926" s="12" t="s">
        <v>67</v>
      </c>
    </row>
    <row r="927" spans="1:15" ht="21" customHeight="1" x14ac:dyDescent="0.3">
      <c r="A927" s="17"/>
      <c r="B927" s="2" t="s">
        <v>14</v>
      </c>
      <c r="C927" s="3">
        <v>30</v>
      </c>
      <c r="D927" s="4" t="s">
        <v>44</v>
      </c>
      <c r="E927" s="2" t="s">
        <v>73</v>
      </c>
      <c r="F927" s="2" t="s">
        <v>42</v>
      </c>
      <c r="G927" s="5">
        <v>1</v>
      </c>
      <c r="H927" s="20">
        <v>7000000</v>
      </c>
      <c r="I927" s="2">
        <v>3</v>
      </c>
      <c r="J927" s="6">
        <v>4.5138888888888893E-3</v>
      </c>
      <c r="K927" s="2" t="s">
        <v>18</v>
      </c>
      <c r="L927" s="2" t="s">
        <v>19</v>
      </c>
      <c r="M927" s="2" t="s">
        <v>48</v>
      </c>
      <c r="N927" s="2" t="s">
        <v>76</v>
      </c>
      <c r="O927" s="2" t="s">
        <v>31</v>
      </c>
    </row>
    <row r="928" spans="1:15" ht="21" customHeight="1" x14ac:dyDescent="0.3">
      <c r="A928" s="17"/>
      <c r="B928" s="12" t="s">
        <v>14</v>
      </c>
      <c r="C928" s="13">
        <v>2</v>
      </c>
      <c r="D928" s="14" t="s">
        <v>69</v>
      </c>
      <c r="E928" s="12" t="s">
        <v>28</v>
      </c>
      <c r="F928" s="12" t="s">
        <v>42</v>
      </c>
      <c r="G928" s="15">
        <v>3</v>
      </c>
      <c r="H928" s="21">
        <v>12000000</v>
      </c>
      <c r="I928" s="12">
        <v>3</v>
      </c>
      <c r="J928" s="16">
        <v>4.5138888888888893E-3</v>
      </c>
      <c r="K928" s="12" t="s">
        <v>18</v>
      </c>
      <c r="L928" s="12" t="s">
        <v>39</v>
      </c>
      <c r="M928" s="12" t="s">
        <v>30</v>
      </c>
      <c r="N928" s="12" t="s">
        <v>76</v>
      </c>
      <c r="O928" s="12" t="s">
        <v>31</v>
      </c>
    </row>
    <row r="929" spans="1:15" ht="21" customHeight="1" x14ac:dyDescent="0.3">
      <c r="A929" s="17"/>
      <c r="B929" s="2" t="s">
        <v>14</v>
      </c>
      <c r="C929" s="3">
        <v>17</v>
      </c>
      <c r="D929" s="4" t="s">
        <v>69</v>
      </c>
      <c r="E929" s="2" t="s">
        <v>16</v>
      </c>
      <c r="F929" s="2" t="s">
        <v>42</v>
      </c>
      <c r="G929" s="5">
        <v>3</v>
      </c>
      <c r="H929" s="20">
        <v>11000000</v>
      </c>
      <c r="I929" s="2">
        <v>4</v>
      </c>
      <c r="J929" s="6">
        <v>4.5138888888888893E-3</v>
      </c>
      <c r="K929" s="2" t="s">
        <v>18</v>
      </c>
      <c r="L929" s="2" t="s">
        <v>47</v>
      </c>
      <c r="M929" s="2" t="s">
        <v>43</v>
      </c>
      <c r="N929" s="2" t="s">
        <v>78</v>
      </c>
      <c r="O929" s="2" t="s">
        <v>41</v>
      </c>
    </row>
    <row r="930" spans="1:15" ht="21" customHeight="1" x14ac:dyDescent="0.3">
      <c r="A930" s="17"/>
      <c r="B930" s="12" t="s">
        <v>14</v>
      </c>
      <c r="C930" s="13">
        <v>24</v>
      </c>
      <c r="D930" s="14" t="s">
        <v>69</v>
      </c>
      <c r="E930" s="12" t="s">
        <v>32</v>
      </c>
      <c r="F930" s="12" t="s">
        <v>17</v>
      </c>
      <c r="G930" s="15">
        <v>5</v>
      </c>
      <c r="H930" s="21">
        <v>25000000</v>
      </c>
      <c r="I930" s="12">
        <v>6</v>
      </c>
      <c r="J930" s="16">
        <v>4.5138888888888893E-3</v>
      </c>
      <c r="K930" s="12" t="s">
        <v>18</v>
      </c>
      <c r="L930" s="12" t="s">
        <v>35</v>
      </c>
      <c r="M930" s="12" t="s">
        <v>51</v>
      </c>
      <c r="N930" s="12" t="s">
        <v>78</v>
      </c>
      <c r="O930" s="12" t="s">
        <v>62</v>
      </c>
    </row>
    <row r="931" spans="1:15" ht="21" customHeight="1" x14ac:dyDescent="0.3">
      <c r="A931" s="17"/>
      <c r="B931" s="2" t="s">
        <v>14</v>
      </c>
      <c r="C931" s="3">
        <v>28</v>
      </c>
      <c r="D931" s="4" t="s">
        <v>69</v>
      </c>
      <c r="E931" s="2" t="s">
        <v>73</v>
      </c>
      <c r="F931" s="2" t="s">
        <v>42</v>
      </c>
      <c r="G931" s="5">
        <v>4</v>
      </c>
      <c r="H931" s="20">
        <v>20000000</v>
      </c>
      <c r="I931" s="2">
        <v>2</v>
      </c>
      <c r="J931" s="6">
        <v>4.5138888888888893E-3</v>
      </c>
      <c r="K931" s="2" t="s">
        <v>18</v>
      </c>
      <c r="L931" s="2" t="s">
        <v>39</v>
      </c>
      <c r="M931" s="2" t="s">
        <v>51</v>
      </c>
      <c r="N931" s="2" t="s">
        <v>76</v>
      </c>
      <c r="O931" s="2" t="s">
        <v>31</v>
      </c>
    </row>
    <row r="932" spans="1:15" ht="21" customHeight="1" x14ac:dyDescent="0.3">
      <c r="A932" s="17"/>
      <c r="B932" s="12" t="s">
        <v>14</v>
      </c>
      <c r="C932" s="13">
        <v>1</v>
      </c>
      <c r="D932" s="14" t="s">
        <v>15</v>
      </c>
      <c r="E932" s="12" t="s">
        <v>38</v>
      </c>
      <c r="F932" s="12" t="s">
        <v>68</v>
      </c>
      <c r="G932" s="15">
        <v>2</v>
      </c>
      <c r="H932" s="21">
        <v>12000000</v>
      </c>
      <c r="I932" s="12">
        <v>1</v>
      </c>
      <c r="J932" s="16">
        <v>4.5138888888888893E-3</v>
      </c>
      <c r="K932" s="12" t="s">
        <v>18</v>
      </c>
      <c r="L932" s="12" t="s">
        <v>47</v>
      </c>
      <c r="M932" s="12" t="s">
        <v>25</v>
      </c>
      <c r="N932" s="12" t="s">
        <v>66</v>
      </c>
      <c r="O932" s="12" t="s">
        <v>36</v>
      </c>
    </row>
    <row r="933" spans="1:15" ht="21" customHeight="1" x14ac:dyDescent="0.3">
      <c r="A933" s="17"/>
      <c r="B933" s="2" t="s">
        <v>14</v>
      </c>
      <c r="C933" s="3">
        <v>1</v>
      </c>
      <c r="D933" s="4" t="s">
        <v>15</v>
      </c>
      <c r="E933" s="2" t="s">
        <v>28</v>
      </c>
      <c r="F933" s="2" t="s">
        <v>23</v>
      </c>
      <c r="G933" s="5">
        <v>2</v>
      </c>
      <c r="H933" s="20">
        <v>12000000</v>
      </c>
      <c r="I933" s="2">
        <v>1</v>
      </c>
      <c r="J933" s="6">
        <v>4.5138888888888893E-3</v>
      </c>
      <c r="K933" s="2" t="s">
        <v>18</v>
      </c>
      <c r="L933" s="2" t="s">
        <v>39</v>
      </c>
      <c r="M933" s="2" t="s">
        <v>48</v>
      </c>
      <c r="N933" s="2" t="s">
        <v>76</v>
      </c>
      <c r="O933" s="2" t="s">
        <v>26</v>
      </c>
    </row>
    <row r="934" spans="1:15" ht="21" customHeight="1" x14ac:dyDescent="0.3">
      <c r="A934" s="17"/>
      <c r="B934" s="12" t="s">
        <v>14</v>
      </c>
      <c r="C934" s="13">
        <v>1</v>
      </c>
      <c r="D934" s="14" t="s">
        <v>15</v>
      </c>
      <c r="E934" s="12" t="s">
        <v>32</v>
      </c>
      <c r="F934" s="12" t="s">
        <v>42</v>
      </c>
      <c r="G934" s="15">
        <v>5</v>
      </c>
      <c r="H934" s="21">
        <v>25000000</v>
      </c>
      <c r="I934" s="12">
        <v>2</v>
      </c>
      <c r="J934" s="16">
        <v>4.5138888888888893E-3</v>
      </c>
      <c r="K934" s="12" t="s">
        <v>18</v>
      </c>
      <c r="L934" s="12" t="s">
        <v>47</v>
      </c>
      <c r="M934" s="12" t="s">
        <v>48</v>
      </c>
      <c r="N934" s="12" t="s">
        <v>78</v>
      </c>
      <c r="O934" s="12" t="s">
        <v>53</v>
      </c>
    </row>
    <row r="935" spans="1:15" ht="21" customHeight="1" x14ac:dyDescent="0.3">
      <c r="A935" s="17"/>
      <c r="B935" s="2" t="s">
        <v>14</v>
      </c>
      <c r="C935" s="3">
        <v>12</v>
      </c>
      <c r="D935" s="4" t="s">
        <v>60</v>
      </c>
      <c r="E935" s="2" t="s">
        <v>73</v>
      </c>
      <c r="F935" s="2" t="s">
        <v>42</v>
      </c>
      <c r="G935" s="5">
        <v>4</v>
      </c>
      <c r="H935" s="20">
        <v>11000000</v>
      </c>
      <c r="I935" s="2">
        <v>1</v>
      </c>
      <c r="J935" s="6">
        <v>4.5138888888888893E-3</v>
      </c>
      <c r="K935" s="2" t="s">
        <v>61</v>
      </c>
      <c r="L935" s="2" t="s">
        <v>24</v>
      </c>
      <c r="M935" s="2" t="s">
        <v>30</v>
      </c>
      <c r="N935" s="2" t="s">
        <v>76</v>
      </c>
      <c r="O935" s="2" t="s">
        <v>26</v>
      </c>
    </row>
    <row r="936" spans="1:15" ht="21" customHeight="1" x14ac:dyDescent="0.3">
      <c r="A936" s="17"/>
      <c r="B936" s="12" t="s">
        <v>70</v>
      </c>
      <c r="C936" s="13">
        <v>19</v>
      </c>
      <c r="D936" s="14" t="s">
        <v>58</v>
      </c>
      <c r="E936" s="12" t="s">
        <v>16</v>
      </c>
      <c r="F936" s="12" t="s">
        <v>23</v>
      </c>
      <c r="G936" s="15">
        <v>0</v>
      </c>
      <c r="H936" s="21">
        <v>0</v>
      </c>
      <c r="I936" s="12">
        <v>3</v>
      </c>
      <c r="J936" s="16">
        <v>4.5138888888888893E-3</v>
      </c>
      <c r="K936" s="12"/>
      <c r="L936" s="12"/>
      <c r="M936" s="12" t="s">
        <v>25</v>
      </c>
      <c r="N936" s="12" t="s">
        <v>66</v>
      </c>
      <c r="O936" s="12" t="s">
        <v>36</v>
      </c>
    </row>
    <row r="937" spans="1:15" ht="21" customHeight="1" x14ac:dyDescent="0.3">
      <c r="A937" s="17"/>
      <c r="B937" s="2" t="s">
        <v>70</v>
      </c>
      <c r="C937" s="3">
        <v>3</v>
      </c>
      <c r="D937" s="4" t="s">
        <v>72</v>
      </c>
      <c r="E937" s="2" t="s">
        <v>16</v>
      </c>
      <c r="F937" s="2" t="s">
        <v>23</v>
      </c>
      <c r="G937" s="5">
        <v>0</v>
      </c>
      <c r="H937" s="20">
        <v>0</v>
      </c>
      <c r="I937" s="2">
        <v>1</v>
      </c>
      <c r="J937" s="6">
        <v>4.5138888888888893E-3</v>
      </c>
      <c r="K937" s="2"/>
      <c r="L937" s="2"/>
      <c r="M937" s="2" t="s">
        <v>48</v>
      </c>
      <c r="N937" s="2" t="s">
        <v>76</v>
      </c>
      <c r="O937" s="2" t="s">
        <v>31</v>
      </c>
    </row>
    <row r="938" spans="1:15" ht="21" customHeight="1" x14ac:dyDescent="0.3">
      <c r="A938" s="17"/>
      <c r="B938" s="12" t="s">
        <v>70</v>
      </c>
      <c r="C938" s="13">
        <v>23</v>
      </c>
      <c r="D938" s="14" t="s">
        <v>27</v>
      </c>
      <c r="E938" s="12" t="s">
        <v>38</v>
      </c>
      <c r="F938" s="12" t="s">
        <v>23</v>
      </c>
      <c r="G938" s="15">
        <v>0</v>
      </c>
      <c r="H938" s="21">
        <v>0</v>
      </c>
      <c r="I938" s="12">
        <v>3</v>
      </c>
      <c r="J938" s="16">
        <v>4.5138888888888893E-3</v>
      </c>
      <c r="K938" s="12"/>
      <c r="L938" s="12"/>
      <c r="M938" s="12" t="s">
        <v>51</v>
      </c>
      <c r="N938" s="12" t="s">
        <v>78</v>
      </c>
      <c r="O938" s="12" t="s">
        <v>41</v>
      </c>
    </row>
    <row r="939" spans="1:15" ht="21" customHeight="1" x14ac:dyDescent="0.3">
      <c r="A939" s="17"/>
      <c r="B939" s="2" t="s">
        <v>70</v>
      </c>
      <c r="C939" s="3">
        <v>5</v>
      </c>
      <c r="D939" s="4" t="s">
        <v>37</v>
      </c>
      <c r="E939" s="2" t="s">
        <v>16</v>
      </c>
      <c r="F939" s="2" t="s">
        <v>17</v>
      </c>
      <c r="G939" s="5">
        <v>0</v>
      </c>
      <c r="H939" s="20">
        <v>0</v>
      </c>
      <c r="I939" s="2">
        <v>1</v>
      </c>
      <c r="J939" s="6">
        <v>4.5138888888888893E-3</v>
      </c>
      <c r="K939" s="2"/>
      <c r="L939" s="2"/>
      <c r="M939" s="2" t="s">
        <v>30</v>
      </c>
      <c r="N939" s="2" t="s">
        <v>78</v>
      </c>
      <c r="O939" s="2" t="s">
        <v>62</v>
      </c>
    </row>
    <row r="940" spans="1:15" ht="21" customHeight="1" x14ac:dyDescent="0.3">
      <c r="A940" s="17"/>
      <c r="B940" s="12" t="s">
        <v>70</v>
      </c>
      <c r="C940" s="13">
        <v>10</v>
      </c>
      <c r="D940" s="14" t="s">
        <v>37</v>
      </c>
      <c r="E940" s="12" t="s">
        <v>49</v>
      </c>
      <c r="F940" s="12" t="s">
        <v>23</v>
      </c>
      <c r="G940" s="15">
        <v>0</v>
      </c>
      <c r="H940" s="21">
        <v>0</v>
      </c>
      <c r="I940" s="12">
        <v>6</v>
      </c>
      <c r="J940" s="16">
        <v>4.5138888888888893E-3</v>
      </c>
      <c r="K940" s="12"/>
      <c r="L940" s="12"/>
      <c r="M940" s="12" t="s">
        <v>43</v>
      </c>
      <c r="N940" s="12" t="s">
        <v>77</v>
      </c>
      <c r="O940" s="12" t="s">
        <v>65</v>
      </c>
    </row>
    <row r="941" spans="1:15" ht="21" customHeight="1" x14ac:dyDescent="0.3">
      <c r="A941" s="17"/>
      <c r="B941" s="2" t="s">
        <v>70</v>
      </c>
      <c r="C941" s="3">
        <v>24</v>
      </c>
      <c r="D941" s="4" t="s">
        <v>37</v>
      </c>
      <c r="E941" s="2" t="s">
        <v>49</v>
      </c>
      <c r="F941" s="2" t="s">
        <v>42</v>
      </c>
      <c r="G941" s="5">
        <v>0</v>
      </c>
      <c r="H941" s="20">
        <v>0</v>
      </c>
      <c r="I941" s="2">
        <v>3</v>
      </c>
      <c r="J941" s="6">
        <v>4.5138888888888893E-3</v>
      </c>
      <c r="K941" s="2"/>
      <c r="L941" s="2"/>
      <c r="M941" s="2" t="s">
        <v>25</v>
      </c>
      <c r="N941" s="2" t="s">
        <v>66</v>
      </c>
      <c r="O941" s="2" t="s">
        <v>67</v>
      </c>
    </row>
    <row r="942" spans="1:15" ht="21" customHeight="1" x14ac:dyDescent="0.3">
      <c r="A942" s="17"/>
      <c r="B942" s="12" t="s">
        <v>70</v>
      </c>
      <c r="C942" s="13">
        <v>29</v>
      </c>
      <c r="D942" s="14" t="s">
        <v>69</v>
      </c>
      <c r="E942" s="12" t="s">
        <v>38</v>
      </c>
      <c r="F942" s="12" t="s">
        <v>42</v>
      </c>
      <c r="G942" s="15">
        <v>0</v>
      </c>
      <c r="H942" s="21">
        <v>0</v>
      </c>
      <c r="I942" s="12">
        <v>3</v>
      </c>
      <c r="J942" s="16">
        <v>4.5138888888888893E-3</v>
      </c>
      <c r="K942" s="12"/>
      <c r="L942" s="12"/>
      <c r="M942" s="12" t="s">
        <v>43</v>
      </c>
      <c r="N942" s="12" t="s">
        <v>76</v>
      </c>
      <c r="O942" s="12" t="s">
        <v>26</v>
      </c>
    </row>
    <row r="943" spans="1:15" ht="21" customHeight="1" x14ac:dyDescent="0.3">
      <c r="A943" s="17"/>
      <c r="B943" s="2" t="s">
        <v>70</v>
      </c>
      <c r="C943" s="3">
        <v>30</v>
      </c>
      <c r="D943" s="4" t="s">
        <v>69</v>
      </c>
      <c r="E943" s="2" t="s">
        <v>28</v>
      </c>
      <c r="F943" s="2" t="s">
        <v>68</v>
      </c>
      <c r="G943" s="5">
        <v>0</v>
      </c>
      <c r="H943" s="20">
        <v>0</v>
      </c>
      <c r="I943" s="2">
        <v>1</v>
      </c>
      <c r="J943" s="6">
        <v>4.5138888888888893E-3</v>
      </c>
      <c r="K943" s="2"/>
      <c r="L943" s="2"/>
      <c r="M943" s="2" t="s">
        <v>25</v>
      </c>
      <c r="N943" s="2" t="s">
        <v>78</v>
      </c>
      <c r="O943" s="2" t="s">
        <v>21</v>
      </c>
    </row>
    <row r="944" spans="1:15" ht="21" customHeight="1" x14ac:dyDescent="0.3">
      <c r="A944" s="17"/>
      <c r="B944" s="12" t="s">
        <v>70</v>
      </c>
      <c r="C944" s="13">
        <v>21</v>
      </c>
      <c r="D944" s="14" t="s">
        <v>69</v>
      </c>
      <c r="E944" s="12" t="s">
        <v>16</v>
      </c>
      <c r="F944" s="12" t="s">
        <v>23</v>
      </c>
      <c r="G944" s="15">
        <v>0</v>
      </c>
      <c r="H944" s="21">
        <v>0</v>
      </c>
      <c r="I944" s="12">
        <v>2</v>
      </c>
      <c r="J944" s="16">
        <v>4.5138888888888893E-3</v>
      </c>
      <c r="K944" s="12"/>
      <c r="L944" s="12"/>
      <c r="M944" s="12" t="s">
        <v>48</v>
      </c>
      <c r="N944" s="12" t="s">
        <v>76</v>
      </c>
      <c r="O944" s="12" t="s">
        <v>26</v>
      </c>
    </row>
    <row r="945" spans="1:15" ht="21" customHeight="1" x14ac:dyDescent="0.3">
      <c r="A945" s="17"/>
      <c r="B945" s="2" t="s">
        <v>70</v>
      </c>
      <c r="C945" s="3">
        <v>19</v>
      </c>
      <c r="D945" s="4" t="s">
        <v>58</v>
      </c>
      <c r="E945" s="2" t="s">
        <v>16</v>
      </c>
      <c r="F945" s="2" t="s">
        <v>23</v>
      </c>
      <c r="G945" s="5">
        <v>0</v>
      </c>
      <c r="H945" s="20">
        <v>0</v>
      </c>
      <c r="I945" s="2">
        <v>3</v>
      </c>
      <c r="J945" s="6">
        <v>4.5138888888888893E-3</v>
      </c>
      <c r="K945" s="2"/>
      <c r="L945" s="2"/>
      <c r="M945" s="2" t="s">
        <v>25</v>
      </c>
      <c r="N945" s="2" t="s">
        <v>66</v>
      </c>
      <c r="O945" s="2" t="s">
        <v>36</v>
      </c>
    </row>
    <row r="946" spans="1:15" ht="21" customHeight="1" x14ac:dyDescent="0.3">
      <c r="A946" s="17"/>
      <c r="B946" s="12" t="s">
        <v>70</v>
      </c>
      <c r="C946" s="13">
        <v>3</v>
      </c>
      <c r="D946" s="14" t="s">
        <v>72</v>
      </c>
      <c r="E946" s="12" t="s">
        <v>16</v>
      </c>
      <c r="F946" s="12" t="s">
        <v>23</v>
      </c>
      <c r="G946" s="15">
        <v>0</v>
      </c>
      <c r="H946" s="21">
        <v>0</v>
      </c>
      <c r="I946" s="12">
        <v>1</v>
      </c>
      <c r="J946" s="16">
        <v>4.5138888888888893E-3</v>
      </c>
      <c r="K946" s="12"/>
      <c r="L946" s="12"/>
      <c r="M946" s="12" t="s">
        <v>48</v>
      </c>
      <c r="N946" s="12" t="s">
        <v>76</v>
      </c>
      <c r="O946" s="12" t="s">
        <v>31</v>
      </c>
    </row>
    <row r="947" spans="1:15" ht="21" customHeight="1" x14ac:dyDescent="0.3">
      <c r="A947" s="17"/>
      <c r="B947" s="2" t="s">
        <v>14</v>
      </c>
      <c r="C947" s="3">
        <v>19</v>
      </c>
      <c r="D947" s="4" t="s">
        <v>57</v>
      </c>
      <c r="E947" s="2" t="s">
        <v>28</v>
      </c>
      <c r="F947" s="2" t="s">
        <v>45</v>
      </c>
      <c r="G947" s="5">
        <v>2</v>
      </c>
      <c r="H947" s="20">
        <v>12000000</v>
      </c>
      <c r="I947" s="2">
        <v>3</v>
      </c>
      <c r="J947" s="6">
        <v>4.9768518518518521E-3</v>
      </c>
      <c r="K947" s="2" t="s">
        <v>18</v>
      </c>
      <c r="L947" s="2" t="s">
        <v>24</v>
      </c>
      <c r="M947" s="2" t="s">
        <v>48</v>
      </c>
      <c r="N947" s="2" t="s">
        <v>76</v>
      </c>
      <c r="O947" s="2" t="s">
        <v>52</v>
      </c>
    </row>
    <row r="948" spans="1:15" ht="21" customHeight="1" x14ac:dyDescent="0.3">
      <c r="A948" s="17"/>
      <c r="B948" s="12" t="s">
        <v>14</v>
      </c>
      <c r="C948" s="13">
        <v>22</v>
      </c>
      <c r="D948" s="14" t="s">
        <v>27</v>
      </c>
      <c r="E948" s="12" t="s">
        <v>73</v>
      </c>
      <c r="F948" s="12" t="s">
        <v>17</v>
      </c>
      <c r="G948" s="15">
        <v>4</v>
      </c>
      <c r="H948" s="21">
        <v>15000000</v>
      </c>
      <c r="I948" s="12">
        <v>2</v>
      </c>
      <c r="J948" s="16">
        <v>4.9768518518518521E-3</v>
      </c>
      <c r="K948" s="12" t="s">
        <v>18</v>
      </c>
      <c r="L948" s="12" t="s">
        <v>35</v>
      </c>
      <c r="M948" s="12" t="s">
        <v>43</v>
      </c>
      <c r="N948" s="12" t="s">
        <v>77</v>
      </c>
      <c r="O948" s="12" t="s">
        <v>54</v>
      </c>
    </row>
    <row r="949" spans="1:15" ht="21" customHeight="1" x14ac:dyDescent="0.3">
      <c r="A949" s="17"/>
      <c r="B949" s="2" t="s">
        <v>14</v>
      </c>
      <c r="C949" s="3">
        <v>25</v>
      </c>
      <c r="D949" s="4" t="s">
        <v>37</v>
      </c>
      <c r="E949" s="2" t="s">
        <v>16</v>
      </c>
      <c r="F949" s="2" t="s">
        <v>42</v>
      </c>
      <c r="G949" s="5">
        <v>1</v>
      </c>
      <c r="H949" s="20">
        <v>19000000</v>
      </c>
      <c r="I949" s="2">
        <v>4</v>
      </c>
      <c r="J949" s="6">
        <v>4.9768518518518521E-3</v>
      </c>
      <c r="K949" s="2" t="s">
        <v>46</v>
      </c>
      <c r="L949" s="2" t="s">
        <v>64</v>
      </c>
      <c r="M949" s="2" t="s">
        <v>30</v>
      </c>
      <c r="N949" s="2" t="s">
        <v>66</v>
      </c>
      <c r="O949" s="2" t="s">
        <v>36</v>
      </c>
    </row>
    <row r="950" spans="1:15" ht="21" customHeight="1" x14ac:dyDescent="0.3">
      <c r="A950" s="17"/>
      <c r="B950" s="12" t="s">
        <v>14</v>
      </c>
      <c r="C950" s="13">
        <v>31</v>
      </c>
      <c r="D950" s="14" t="s">
        <v>37</v>
      </c>
      <c r="E950" s="12" t="s">
        <v>16</v>
      </c>
      <c r="F950" s="12" t="s">
        <v>17</v>
      </c>
      <c r="G950" s="15">
        <v>3</v>
      </c>
      <c r="H950" s="21">
        <v>11000000</v>
      </c>
      <c r="I950" s="12">
        <v>1</v>
      </c>
      <c r="J950" s="16">
        <v>4.9768518518518521E-3</v>
      </c>
      <c r="K950" s="12" t="s">
        <v>18</v>
      </c>
      <c r="L950" s="12" t="s">
        <v>39</v>
      </c>
      <c r="M950" s="12" t="s">
        <v>33</v>
      </c>
      <c r="N950" s="12" t="s">
        <v>76</v>
      </c>
      <c r="O950" s="12" t="s">
        <v>26</v>
      </c>
    </row>
    <row r="951" spans="1:15" ht="21" customHeight="1" x14ac:dyDescent="0.3">
      <c r="A951" s="17"/>
      <c r="B951" s="2" t="s">
        <v>14</v>
      </c>
      <c r="C951" s="3">
        <v>29</v>
      </c>
      <c r="D951" s="4" t="s">
        <v>37</v>
      </c>
      <c r="E951" s="2" t="s">
        <v>49</v>
      </c>
      <c r="F951" s="2" t="s">
        <v>23</v>
      </c>
      <c r="G951" s="5">
        <v>2</v>
      </c>
      <c r="H951" s="20">
        <v>12000000</v>
      </c>
      <c r="I951" s="2">
        <v>3</v>
      </c>
      <c r="J951" s="6">
        <v>4.9768518518518521E-3</v>
      </c>
      <c r="K951" s="2" t="s">
        <v>18</v>
      </c>
      <c r="L951" s="2" t="s">
        <v>39</v>
      </c>
      <c r="M951" s="2" t="s">
        <v>40</v>
      </c>
      <c r="N951" s="2" t="s">
        <v>76</v>
      </c>
      <c r="O951" s="2" t="s">
        <v>26</v>
      </c>
    </row>
    <row r="952" spans="1:15" ht="21" customHeight="1" x14ac:dyDescent="0.3">
      <c r="A952" s="17"/>
      <c r="B952" s="12" t="s">
        <v>14</v>
      </c>
      <c r="C952" s="13">
        <v>2</v>
      </c>
      <c r="D952" s="14" t="s">
        <v>44</v>
      </c>
      <c r="E952" s="12" t="s">
        <v>49</v>
      </c>
      <c r="F952" s="12" t="s">
        <v>68</v>
      </c>
      <c r="G952" s="15">
        <v>2</v>
      </c>
      <c r="H952" s="21">
        <v>38000000</v>
      </c>
      <c r="I952" s="12">
        <v>1</v>
      </c>
      <c r="J952" s="16">
        <v>4.9768518518518521E-3</v>
      </c>
      <c r="K952" s="12" t="s">
        <v>46</v>
      </c>
      <c r="L952" s="12" t="s">
        <v>19</v>
      </c>
      <c r="M952" s="12" t="s">
        <v>30</v>
      </c>
      <c r="N952" s="12" t="s">
        <v>77</v>
      </c>
      <c r="O952" s="12" t="s">
        <v>54</v>
      </c>
    </row>
    <row r="953" spans="1:15" ht="21" customHeight="1" x14ac:dyDescent="0.3">
      <c r="A953" s="17"/>
      <c r="B953" s="2" t="s">
        <v>14</v>
      </c>
      <c r="C953" s="3">
        <v>22</v>
      </c>
      <c r="D953" s="4" t="s">
        <v>44</v>
      </c>
      <c r="E953" s="2" t="s">
        <v>73</v>
      </c>
      <c r="F953" s="2" t="s">
        <v>23</v>
      </c>
      <c r="G953" s="5">
        <v>5</v>
      </c>
      <c r="H953" s="20">
        <v>25000000</v>
      </c>
      <c r="I953" s="2">
        <v>3</v>
      </c>
      <c r="J953" s="6">
        <v>4.9768518518518521E-3</v>
      </c>
      <c r="K953" s="2" t="s">
        <v>18</v>
      </c>
      <c r="L953" s="2" t="s">
        <v>56</v>
      </c>
      <c r="M953" s="2" t="s">
        <v>48</v>
      </c>
      <c r="N953" s="2" t="s">
        <v>76</v>
      </c>
      <c r="O953" s="2" t="s">
        <v>52</v>
      </c>
    </row>
    <row r="954" spans="1:15" ht="21" customHeight="1" x14ac:dyDescent="0.3">
      <c r="A954" s="17"/>
      <c r="B954" s="12" t="s">
        <v>14</v>
      </c>
      <c r="C954" s="13">
        <v>29</v>
      </c>
      <c r="D954" s="14" t="s">
        <v>69</v>
      </c>
      <c r="E954" s="12" t="s">
        <v>16</v>
      </c>
      <c r="F954" s="12" t="s">
        <v>23</v>
      </c>
      <c r="G954" s="15">
        <v>1</v>
      </c>
      <c r="H954" s="21">
        <v>7000000</v>
      </c>
      <c r="I954" s="12">
        <v>1</v>
      </c>
      <c r="J954" s="16">
        <v>4.9768518518518521E-3</v>
      </c>
      <c r="K954" s="12" t="s">
        <v>18</v>
      </c>
      <c r="L954" s="12" t="s">
        <v>35</v>
      </c>
      <c r="M954" s="12" t="s">
        <v>30</v>
      </c>
      <c r="N954" s="12" t="s">
        <v>78</v>
      </c>
      <c r="O954" s="12" t="s">
        <v>62</v>
      </c>
    </row>
    <row r="955" spans="1:15" ht="21" customHeight="1" x14ac:dyDescent="0.3">
      <c r="A955" s="17"/>
      <c r="B955" s="2" t="s">
        <v>14</v>
      </c>
      <c r="C955" s="3">
        <v>19</v>
      </c>
      <c r="D955" s="4" t="s">
        <v>57</v>
      </c>
      <c r="E955" s="2" t="s">
        <v>28</v>
      </c>
      <c r="F955" s="2" t="s">
        <v>45</v>
      </c>
      <c r="G955" s="5">
        <v>2</v>
      </c>
      <c r="H955" s="20">
        <v>12000000</v>
      </c>
      <c r="I955" s="2">
        <v>3</v>
      </c>
      <c r="J955" s="6">
        <v>4.9768518518518521E-3</v>
      </c>
      <c r="K955" s="2" t="s">
        <v>18</v>
      </c>
      <c r="L955" s="2" t="s">
        <v>24</v>
      </c>
      <c r="M955" s="2" t="s">
        <v>48</v>
      </c>
      <c r="N955" s="2" t="s">
        <v>76</v>
      </c>
      <c r="O955" s="2" t="s">
        <v>52</v>
      </c>
    </row>
    <row r="956" spans="1:15" ht="21" customHeight="1" x14ac:dyDescent="0.3">
      <c r="A956" s="17"/>
      <c r="B956" s="12" t="s">
        <v>70</v>
      </c>
      <c r="C956" s="13">
        <v>28</v>
      </c>
      <c r="D956" s="14" t="s">
        <v>27</v>
      </c>
      <c r="E956" s="12" t="s">
        <v>38</v>
      </c>
      <c r="F956" s="12" t="s">
        <v>42</v>
      </c>
      <c r="G956" s="15">
        <v>0</v>
      </c>
      <c r="H956" s="21">
        <v>0</v>
      </c>
      <c r="I956" s="12">
        <v>1</v>
      </c>
      <c r="J956" s="16">
        <v>4.9768518518518521E-3</v>
      </c>
      <c r="K956" s="12"/>
      <c r="L956" s="12"/>
      <c r="M956" s="12" t="s">
        <v>51</v>
      </c>
      <c r="N956" s="12" t="s">
        <v>78</v>
      </c>
      <c r="O956" s="12" t="s">
        <v>66</v>
      </c>
    </row>
    <row r="957" spans="1:15" ht="21" customHeight="1" x14ac:dyDescent="0.3">
      <c r="A957" s="17"/>
      <c r="B957" s="2" t="s">
        <v>70</v>
      </c>
      <c r="C957" s="3">
        <v>5</v>
      </c>
      <c r="D957" s="4" t="s">
        <v>37</v>
      </c>
      <c r="E957" s="2" t="s">
        <v>38</v>
      </c>
      <c r="F957" s="2" t="s">
        <v>42</v>
      </c>
      <c r="G957" s="5">
        <v>0</v>
      </c>
      <c r="H957" s="20">
        <v>0</v>
      </c>
      <c r="I957" s="2">
        <v>2</v>
      </c>
      <c r="J957" s="6">
        <v>4.9768518518518521E-3</v>
      </c>
      <c r="K957" s="2"/>
      <c r="L957" s="2"/>
      <c r="M957" s="2" t="s">
        <v>20</v>
      </c>
      <c r="N957" s="2" t="s">
        <v>78</v>
      </c>
      <c r="O957" s="2" t="s">
        <v>53</v>
      </c>
    </row>
    <row r="958" spans="1:15" ht="21" customHeight="1" x14ac:dyDescent="0.3">
      <c r="A958" s="17"/>
      <c r="B958" s="12" t="s">
        <v>70</v>
      </c>
      <c r="C958" s="13">
        <v>29</v>
      </c>
      <c r="D958" s="14" t="s">
        <v>37</v>
      </c>
      <c r="E958" s="12" t="s">
        <v>32</v>
      </c>
      <c r="F958" s="12" t="s">
        <v>45</v>
      </c>
      <c r="G958" s="15">
        <v>0</v>
      </c>
      <c r="H958" s="21">
        <v>0</v>
      </c>
      <c r="I958" s="12">
        <v>5</v>
      </c>
      <c r="J958" s="16">
        <v>4.9768518518518521E-3</v>
      </c>
      <c r="K958" s="12"/>
      <c r="L958" s="12"/>
      <c r="M958" s="12" t="s">
        <v>25</v>
      </c>
      <c r="N958" s="12" t="s">
        <v>66</v>
      </c>
      <c r="O958" s="12" t="s">
        <v>36</v>
      </c>
    </row>
    <row r="959" spans="1:15" ht="21" customHeight="1" x14ac:dyDescent="0.3">
      <c r="A959" s="17"/>
      <c r="B959" s="2" t="s">
        <v>70</v>
      </c>
      <c r="C959" s="3">
        <v>30</v>
      </c>
      <c r="D959" s="4" t="s">
        <v>44</v>
      </c>
      <c r="E959" s="2" t="s">
        <v>32</v>
      </c>
      <c r="F959" s="2" t="s">
        <v>42</v>
      </c>
      <c r="G959" s="5">
        <v>0</v>
      </c>
      <c r="H959" s="20">
        <v>0</v>
      </c>
      <c r="I959" s="2">
        <v>1</v>
      </c>
      <c r="J959" s="6">
        <v>4.9768518518518521E-3</v>
      </c>
      <c r="K959" s="2"/>
      <c r="L959" s="2"/>
      <c r="M959" s="2" t="s">
        <v>33</v>
      </c>
      <c r="N959" s="2" t="s">
        <v>78</v>
      </c>
      <c r="O959" s="2" t="s">
        <v>66</v>
      </c>
    </row>
    <row r="960" spans="1:15" ht="21" customHeight="1" x14ac:dyDescent="0.3">
      <c r="A960" s="17"/>
      <c r="B960" s="12" t="s">
        <v>70</v>
      </c>
      <c r="C960" s="13">
        <v>15</v>
      </c>
      <c r="D960" s="14" t="s">
        <v>44</v>
      </c>
      <c r="E960" s="12" t="s">
        <v>49</v>
      </c>
      <c r="F960" s="12" t="s">
        <v>42</v>
      </c>
      <c r="G960" s="15">
        <v>0</v>
      </c>
      <c r="H960" s="21">
        <v>0</v>
      </c>
      <c r="I960" s="12">
        <v>4</v>
      </c>
      <c r="J960" s="16">
        <v>4.9768518518518521E-3</v>
      </c>
      <c r="K960" s="12"/>
      <c r="L960" s="12"/>
      <c r="M960" s="12" t="s">
        <v>51</v>
      </c>
      <c r="N960" s="12" t="s">
        <v>78</v>
      </c>
      <c r="O960" s="12" t="s">
        <v>66</v>
      </c>
    </row>
    <row r="961" spans="1:15" ht="21" customHeight="1" x14ac:dyDescent="0.3">
      <c r="A961" s="17"/>
      <c r="B961" s="2" t="s">
        <v>14</v>
      </c>
      <c r="C961" s="3">
        <v>14</v>
      </c>
      <c r="D961" s="4" t="s">
        <v>55</v>
      </c>
      <c r="E961" s="2" t="s">
        <v>32</v>
      </c>
      <c r="F961" s="2" t="s">
        <v>17</v>
      </c>
      <c r="G961" s="5">
        <v>5</v>
      </c>
      <c r="H961" s="20">
        <v>20000000</v>
      </c>
      <c r="I961" s="2">
        <v>6</v>
      </c>
      <c r="J961" s="6">
        <v>5.0231481481481481E-3</v>
      </c>
      <c r="K961" s="2" t="s">
        <v>18</v>
      </c>
      <c r="L961" s="2" t="s">
        <v>47</v>
      </c>
      <c r="M961" s="2" t="s">
        <v>33</v>
      </c>
      <c r="N961" s="2" t="s">
        <v>78</v>
      </c>
      <c r="O961" s="2" t="s">
        <v>53</v>
      </c>
    </row>
    <row r="962" spans="1:15" ht="21" customHeight="1" x14ac:dyDescent="0.3">
      <c r="A962" s="17"/>
      <c r="B962" s="12" t="s">
        <v>14</v>
      </c>
      <c r="C962" s="13">
        <v>11</v>
      </c>
      <c r="D962" s="14" t="s">
        <v>57</v>
      </c>
      <c r="E962" s="12" t="s">
        <v>16</v>
      </c>
      <c r="F962" s="12" t="s">
        <v>23</v>
      </c>
      <c r="G962" s="15">
        <v>1</v>
      </c>
      <c r="H962" s="21">
        <v>19000000</v>
      </c>
      <c r="I962" s="12">
        <v>3</v>
      </c>
      <c r="J962" s="16">
        <v>5.0231481481481481E-3</v>
      </c>
      <c r="K962" s="12" t="s">
        <v>46</v>
      </c>
      <c r="L962" s="12" t="s">
        <v>39</v>
      </c>
      <c r="M962" s="12" t="s">
        <v>48</v>
      </c>
      <c r="N962" s="12" t="s">
        <v>76</v>
      </c>
      <c r="O962" s="12" t="s">
        <v>26</v>
      </c>
    </row>
    <row r="963" spans="1:15" ht="21" customHeight="1" x14ac:dyDescent="0.3">
      <c r="A963" s="17"/>
      <c r="B963" s="2" t="s">
        <v>14</v>
      </c>
      <c r="C963" s="3">
        <v>13</v>
      </c>
      <c r="D963" s="4" t="s">
        <v>59</v>
      </c>
      <c r="E963" s="2" t="s">
        <v>32</v>
      </c>
      <c r="F963" s="2" t="s">
        <v>42</v>
      </c>
      <c r="G963" s="5">
        <v>2</v>
      </c>
      <c r="H963" s="20">
        <v>12000000</v>
      </c>
      <c r="I963" s="2">
        <v>1</v>
      </c>
      <c r="J963" s="6">
        <v>5.0231481481481481E-3</v>
      </c>
      <c r="K963" s="2" t="s">
        <v>18</v>
      </c>
      <c r="L963" s="2" t="s">
        <v>39</v>
      </c>
      <c r="M963" s="2" t="s">
        <v>51</v>
      </c>
      <c r="N963" s="2" t="s">
        <v>76</v>
      </c>
      <c r="O963" s="2" t="s">
        <v>26</v>
      </c>
    </row>
    <row r="964" spans="1:15" ht="21" customHeight="1" x14ac:dyDescent="0.3">
      <c r="A964" s="17"/>
      <c r="B964" s="12" t="s">
        <v>14</v>
      </c>
      <c r="C964" s="13">
        <v>28</v>
      </c>
      <c r="D964" s="14" t="s">
        <v>22</v>
      </c>
      <c r="E964" s="12" t="s">
        <v>32</v>
      </c>
      <c r="F964" s="12" t="s">
        <v>42</v>
      </c>
      <c r="G964" s="15">
        <v>2</v>
      </c>
      <c r="H964" s="21">
        <v>38000000</v>
      </c>
      <c r="I964" s="12">
        <v>5</v>
      </c>
      <c r="J964" s="16">
        <v>5.0231481481481481E-3</v>
      </c>
      <c r="K964" s="12" t="s">
        <v>46</v>
      </c>
      <c r="L964" s="12" t="s">
        <v>56</v>
      </c>
      <c r="M964" s="12" t="s">
        <v>51</v>
      </c>
      <c r="N964" s="12" t="s">
        <v>78</v>
      </c>
      <c r="O964" s="12" t="s">
        <v>41</v>
      </c>
    </row>
    <row r="965" spans="1:15" ht="21" customHeight="1" x14ac:dyDescent="0.3">
      <c r="A965" s="17"/>
      <c r="B965" s="2" t="s">
        <v>14</v>
      </c>
      <c r="C965" s="3">
        <v>30</v>
      </c>
      <c r="D965" s="4" t="s">
        <v>27</v>
      </c>
      <c r="E965" s="2" t="s">
        <v>32</v>
      </c>
      <c r="F965" s="2" t="s">
        <v>17</v>
      </c>
      <c r="G965" s="5">
        <v>1</v>
      </c>
      <c r="H965" s="20">
        <v>7000000</v>
      </c>
      <c r="I965" s="2">
        <v>1</v>
      </c>
      <c r="J965" s="6">
        <v>5.0231481481481481E-3</v>
      </c>
      <c r="K965" s="2" t="s">
        <v>18</v>
      </c>
      <c r="L965" s="2" t="s">
        <v>35</v>
      </c>
      <c r="M965" s="2" t="s">
        <v>30</v>
      </c>
      <c r="N965" s="2" t="s">
        <v>77</v>
      </c>
      <c r="O965" s="2" t="s">
        <v>54</v>
      </c>
    </row>
    <row r="966" spans="1:15" ht="21" customHeight="1" x14ac:dyDescent="0.3">
      <c r="A966" s="17"/>
      <c r="B966" s="12" t="s">
        <v>14</v>
      </c>
      <c r="C966" s="13">
        <v>20</v>
      </c>
      <c r="D966" s="14" t="s">
        <v>27</v>
      </c>
      <c r="E966" s="12" t="s">
        <v>32</v>
      </c>
      <c r="F966" s="12" t="s">
        <v>17</v>
      </c>
      <c r="G966" s="15">
        <v>2</v>
      </c>
      <c r="H966" s="21">
        <v>12000000</v>
      </c>
      <c r="I966" s="12">
        <v>2</v>
      </c>
      <c r="J966" s="16">
        <v>5.0231481481481481E-3</v>
      </c>
      <c r="K966" s="12" t="s">
        <v>18</v>
      </c>
      <c r="L966" s="12" t="s">
        <v>19</v>
      </c>
      <c r="M966" s="12" t="s">
        <v>43</v>
      </c>
      <c r="N966" s="12" t="s">
        <v>78</v>
      </c>
      <c r="O966" s="12" t="s">
        <v>41</v>
      </c>
    </row>
    <row r="967" spans="1:15" ht="21" customHeight="1" x14ac:dyDescent="0.3">
      <c r="A967" s="17"/>
      <c r="B967" s="2" t="s">
        <v>14</v>
      </c>
      <c r="C967" s="3">
        <v>22</v>
      </c>
      <c r="D967" s="4" t="s">
        <v>37</v>
      </c>
      <c r="E967" s="2" t="s">
        <v>16</v>
      </c>
      <c r="F967" s="2" t="s">
        <v>17</v>
      </c>
      <c r="G967" s="5">
        <v>2</v>
      </c>
      <c r="H967" s="20">
        <v>12000000</v>
      </c>
      <c r="I967" s="2">
        <v>2</v>
      </c>
      <c r="J967" s="6">
        <v>5.0231481481481481E-3</v>
      </c>
      <c r="K967" s="2" t="s">
        <v>18</v>
      </c>
      <c r="L967" s="2" t="s">
        <v>29</v>
      </c>
      <c r="M967" s="2" t="s">
        <v>25</v>
      </c>
      <c r="N967" s="2" t="s">
        <v>76</v>
      </c>
      <c r="O967" s="2" t="s">
        <v>52</v>
      </c>
    </row>
    <row r="968" spans="1:15" ht="21" customHeight="1" x14ac:dyDescent="0.3">
      <c r="A968" s="17"/>
      <c r="B968" s="12" t="s">
        <v>14</v>
      </c>
      <c r="C968" s="13">
        <v>17</v>
      </c>
      <c r="D968" s="14" t="s">
        <v>44</v>
      </c>
      <c r="E968" s="12" t="s">
        <v>38</v>
      </c>
      <c r="F968" s="12" t="s">
        <v>45</v>
      </c>
      <c r="G968" s="15">
        <v>3</v>
      </c>
      <c r="H968" s="21">
        <v>15000000</v>
      </c>
      <c r="I968" s="12">
        <v>2</v>
      </c>
      <c r="J968" s="16">
        <v>5.0231481481481481E-3</v>
      </c>
      <c r="K968" s="12" t="s">
        <v>18</v>
      </c>
      <c r="L968" s="12" t="s">
        <v>24</v>
      </c>
      <c r="M968" s="12" t="s">
        <v>25</v>
      </c>
      <c r="N968" s="12" t="s">
        <v>78</v>
      </c>
      <c r="O968" s="12" t="s">
        <v>66</v>
      </c>
    </row>
    <row r="969" spans="1:15" ht="21" customHeight="1" x14ac:dyDescent="0.3">
      <c r="A969" s="17"/>
      <c r="B969" s="2" t="s">
        <v>14</v>
      </c>
      <c r="C969" s="3">
        <v>20</v>
      </c>
      <c r="D969" s="4" t="s">
        <v>44</v>
      </c>
      <c r="E969" s="2" t="s">
        <v>38</v>
      </c>
      <c r="F969" s="2" t="s">
        <v>42</v>
      </c>
      <c r="G969" s="5">
        <v>3</v>
      </c>
      <c r="H969" s="20">
        <v>11000000</v>
      </c>
      <c r="I969" s="2">
        <v>2</v>
      </c>
      <c r="J969" s="6">
        <v>5.0231481481481481E-3</v>
      </c>
      <c r="K969" s="2" t="s">
        <v>18</v>
      </c>
      <c r="L969" s="2" t="s">
        <v>39</v>
      </c>
      <c r="M969" s="2" t="s">
        <v>30</v>
      </c>
      <c r="N969" s="2" t="s">
        <v>76</v>
      </c>
      <c r="O969" s="2" t="s">
        <v>26</v>
      </c>
    </row>
    <row r="970" spans="1:15" ht="21" customHeight="1" x14ac:dyDescent="0.3">
      <c r="A970" s="17"/>
      <c r="B970" s="12" t="s">
        <v>14</v>
      </c>
      <c r="C970" s="13">
        <v>22</v>
      </c>
      <c r="D970" s="14" t="s">
        <v>44</v>
      </c>
      <c r="E970" s="12" t="s">
        <v>16</v>
      </c>
      <c r="F970" s="12" t="s">
        <v>68</v>
      </c>
      <c r="G970" s="15">
        <v>5</v>
      </c>
      <c r="H970" s="21">
        <v>25000000</v>
      </c>
      <c r="I970" s="12">
        <v>4</v>
      </c>
      <c r="J970" s="16">
        <v>5.0231481481481481E-3</v>
      </c>
      <c r="K970" s="12" t="s">
        <v>18</v>
      </c>
      <c r="L970" s="12" t="s">
        <v>24</v>
      </c>
      <c r="M970" s="12" t="s">
        <v>20</v>
      </c>
      <c r="N970" s="12" t="s">
        <v>76</v>
      </c>
      <c r="O970" s="12" t="s">
        <v>52</v>
      </c>
    </row>
    <row r="971" spans="1:15" ht="21" customHeight="1" x14ac:dyDescent="0.3">
      <c r="A971" s="17"/>
      <c r="B971" s="2" t="s">
        <v>14</v>
      </c>
      <c r="C971" s="3">
        <v>3</v>
      </c>
      <c r="D971" s="4" t="s">
        <v>44</v>
      </c>
      <c r="E971" s="2" t="s">
        <v>32</v>
      </c>
      <c r="F971" s="2" t="s">
        <v>17</v>
      </c>
      <c r="G971" s="5">
        <v>4</v>
      </c>
      <c r="H971" s="20">
        <v>15000000</v>
      </c>
      <c r="I971" s="2">
        <v>3</v>
      </c>
      <c r="J971" s="6">
        <v>5.0231481481481481E-3</v>
      </c>
      <c r="K971" s="2" t="s">
        <v>18</v>
      </c>
      <c r="L971" s="2" t="s">
        <v>64</v>
      </c>
      <c r="M971" s="2" t="s">
        <v>51</v>
      </c>
      <c r="N971" s="2" t="s">
        <v>78</v>
      </c>
      <c r="O971" s="2" t="s">
        <v>41</v>
      </c>
    </row>
    <row r="972" spans="1:15" ht="21" customHeight="1" x14ac:dyDescent="0.3">
      <c r="A972" s="17"/>
      <c r="B972" s="12" t="s">
        <v>14</v>
      </c>
      <c r="C972" s="13">
        <v>14</v>
      </c>
      <c r="D972" s="14" t="s">
        <v>55</v>
      </c>
      <c r="E972" s="12" t="s">
        <v>32</v>
      </c>
      <c r="F972" s="12" t="s">
        <v>17</v>
      </c>
      <c r="G972" s="15">
        <v>5</v>
      </c>
      <c r="H972" s="21">
        <v>20000000</v>
      </c>
      <c r="I972" s="12">
        <v>6</v>
      </c>
      <c r="J972" s="16">
        <v>5.0231481481481481E-3</v>
      </c>
      <c r="K972" s="12" t="s">
        <v>18</v>
      </c>
      <c r="L972" s="12" t="s">
        <v>47</v>
      </c>
      <c r="M972" s="12" t="s">
        <v>33</v>
      </c>
      <c r="N972" s="12" t="s">
        <v>78</v>
      </c>
      <c r="O972" s="12" t="s">
        <v>53</v>
      </c>
    </row>
    <row r="973" spans="1:15" ht="21" customHeight="1" x14ac:dyDescent="0.3">
      <c r="A973" s="17"/>
      <c r="B973" s="2" t="s">
        <v>14</v>
      </c>
      <c r="C973" s="3">
        <v>11</v>
      </c>
      <c r="D973" s="4" t="s">
        <v>57</v>
      </c>
      <c r="E973" s="2" t="s">
        <v>16</v>
      </c>
      <c r="F973" s="2" t="s">
        <v>23</v>
      </c>
      <c r="G973" s="5">
        <v>1</v>
      </c>
      <c r="H973" s="20">
        <v>19000000</v>
      </c>
      <c r="I973" s="2">
        <v>3</v>
      </c>
      <c r="J973" s="6">
        <v>5.0231481481481481E-3</v>
      </c>
      <c r="K973" s="2" t="s">
        <v>46</v>
      </c>
      <c r="L973" s="2" t="s">
        <v>39</v>
      </c>
      <c r="M973" s="2" t="s">
        <v>48</v>
      </c>
      <c r="N973" s="2" t="s">
        <v>76</v>
      </c>
      <c r="O973" s="2" t="s">
        <v>26</v>
      </c>
    </row>
    <row r="974" spans="1:15" ht="21" customHeight="1" x14ac:dyDescent="0.3">
      <c r="A974" s="17"/>
      <c r="B974" s="12" t="s">
        <v>14</v>
      </c>
      <c r="C974" s="13">
        <v>13</v>
      </c>
      <c r="D974" s="14" t="s">
        <v>59</v>
      </c>
      <c r="E974" s="12" t="s">
        <v>32</v>
      </c>
      <c r="F974" s="12" t="s">
        <v>42</v>
      </c>
      <c r="G974" s="15">
        <v>2</v>
      </c>
      <c r="H974" s="21">
        <v>12000000</v>
      </c>
      <c r="I974" s="12">
        <v>1</v>
      </c>
      <c r="J974" s="16">
        <v>5.0231481481481481E-3</v>
      </c>
      <c r="K974" s="12" t="s">
        <v>18</v>
      </c>
      <c r="L974" s="12" t="s">
        <v>39</v>
      </c>
      <c r="M974" s="12" t="s">
        <v>51</v>
      </c>
      <c r="N974" s="12" t="s">
        <v>76</v>
      </c>
      <c r="O974" s="12" t="s">
        <v>26</v>
      </c>
    </row>
    <row r="975" spans="1:15" ht="21" customHeight="1" x14ac:dyDescent="0.3">
      <c r="A975" s="17"/>
      <c r="B975" s="2" t="s">
        <v>14</v>
      </c>
      <c r="C975" s="3">
        <v>28</v>
      </c>
      <c r="D975" s="4" t="s">
        <v>22</v>
      </c>
      <c r="E975" s="2" t="s">
        <v>32</v>
      </c>
      <c r="F975" s="2" t="s">
        <v>42</v>
      </c>
      <c r="G975" s="5">
        <v>2</v>
      </c>
      <c r="H975" s="20">
        <v>38000000</v>
      </c>
      <c r="I975" s="2">
        <v>5</v>
      </c>
      <c r="J975" s="6">
        <v>5.0231481481481481E-3</v>
      </c>
      <c r="K975" s="2" t="s">
        <v>46</v>
      </c>
      <c r="L975" s="2" t="s">
        <v>56</v>
      </c>
      <c r="M975" s="2" t="s">
        <v>51</v>
      </c>
      <c r="N975" s="2" t="s">
        <v>78</v>
      </c>
      <c r="O975" s="2" t="s">
        <v>41</v>
      </c>
    </row>
    <row r="976" spans="1:15" ht="21" customHeight="1" x14ac:dyDescent="0.3">
      <c r="A976" s="17"/>
      <c r="B976" s="12" t="s">
        <v>70</v>
      </c>
      <c r="C976" s="13">
        <v>13</v>
      </c>
      <c r="D976" s="14" t="s">
        <v>58</v>
      </c>
      <c r="E976" s="12" t="s">
        <v>49</v>
      </c>
      <c r="F976" s="12" t="s">
        <v>42</v>
      </c>
      <c r="G976" s="15">
        <v>0</v>
      </c>
      <c r="H976" s="21">
        <v>0</v>
      </c>
      <c r="I976" s="12">
        <v>2</v>
      </c>
      <c r="J976" s="16">
        <v>5.0231481481481481E-3</v>
      </c>
      <c r="K976" s="12"/>
      <c r="L976" s="12"/>
      <c r="M976" s="12" t="s">
        <v>48</v>
      </c>
      <c r="N976" s="12" t="s">
        <v>77</v>
      </c>
      <c r="O976" s="12" t="s">
        <v>65</v>
      </c>
    </row>
    <row r="977" spans="1:15" ht="21" customHeight="1" x14ac:dyDescent="0.3">
      <c r="A977" s="17"/>
      <c r="B977" s="2" t="s">
        <v>70</v>
      </c>
      <c r="C977" s="3">
        <v>11</v>
      </c>
      <c r="D977" s="4" t="s">
        <v>44</v>
      </c>
      <c r="E977" s="2" t="s">
        <v>32</v>
      </c>
      <c r="F977" s="2" t="s">
        <v>23</v>
      </c>
      <c r="G977" s="5">
        <v>0</v>
      </c>
      <c r="H977" s="20">
        <v>0</v>
      </c>
      <c r="I977" s="2">
        <v>2</v>
      </c>
      <c r="J977" s="6">
        <v>5.0231481481481481E-3</v>
      </c>
      <c r="K977" s="2"/>
      <c r="L977" s="2"/>
      <c r="M977" s="2" t="s">
        <v>33</v>
      </c>
      <c r="N977" s="2" t="s">
        <v>66</v>
      </c>
      <c r="O977" s="2" t="s">
        <v>36</v>
      </c>
    </row>
    <row r="978" spans="1:15" ht="21" customHeight="1" x14ac:dyDescent="0.3">
      <c r="A978" s="17"/>
      <c r="B978" s="12" t="s">
        <v>70</v>
      </c>
      <c r="C978" s="13">
        <v>13</v>
      </c>
      <c r="D978" s="14" t="s">
        <v>58</v>
      </c>
      <c r="E978" s="12" t="s">
        <v>49</v>
      </c>
      <c r="F978" s="12" t="s">
        <v>42</v>
      </c>
      <c r="G978" s="15">
        <v>0</v>
      </c>
      <c r="H978" s="21">
        <v>0</v>
      </c>
      <c r="I978" s="12">
        <v>2</v>
      </c>
      <c r="J978" s="16">
        <v>5.0231481481481481E-3</v>
      </c>
      <c r="K978" s="12"/>
      <c r="L978" s="12"/>
      <c r="M978" s="12" t="s">
        <v>48</v>
      </c>
      <c r="N978" s="12" t="s">
        <v>77</v>
      </c>
      <c r="O978" s="12" t="s">
        <v>65</v>
      </c>
    </row>
    <row r="979" spans="1:15" ht="21" customHeight="1" x14ac:dyDescent="0.3">
      <c r="A979" s="17"/>
      <c r="B979" s="2" t="s">
        <v>14</v>
      </c>
      <c r="C979" s="3">
        <v>11</v>
      </c>
      <c r="D979" s="4" t="s">
        <v>55</v>
      </c>
      <c r="E979" s="2" t="s">
        <v>16</v>
      </c>
      <c r="F979" s="2" t="s">
        <v>42</v>
      </c>
      <c r="G979" s="5">
        <v>2</v>
      </c>
      <c r="H979" s="20">
        <v>38000000</v>
      </c>
      <c r="I979" s="2">
        <v>4</v>
      </c>
      <c r="J979" s="6">
        <v>5.208333333333333E-3</v>
      </c>
      <c r="K979" s="2" t="s">
        <v>46</v>
      </c>
      <c r="L979" s="2" t="s">
        <v>47</v>
      </c>
      <c r="M979" s="2" t="s">
        <v>51</v>
      </c>
      <c r="N979" s="2" t="s">
        <v>66</v>
      </c>
      <c r="O979" s="2" t="s">
        <v>67</v>
      </c>
    </row>
    <row r="980" spans="1:15" ht="21" customHeight="1" x14ac:dyDescent="0.3">
      <c r="A980" s="17"/>
      <c r="B980" s="12" t="s">
        <v>14</v>
      </c>
      <c r="C980" s="13">
        <v>6</v>
      </c>
      <c r="D980" s="14" t="s">
        <v>55</v>
      </c>
      <c r="E980" s="12" t="s">
        <v>32</v>
      </c>
      <c r="F980" s="12" t="s">
        <v>42</v>
      </c>
      <c r="G980" s="15">
        <v>5</v>
      </c>
      <c r="H980" s="21">
        <v>20000000</v>
      </c>
      <c r="I980" s="12">
        <v>3</v>
      </c>
      <c r="J980" s="16">
        <v>5.208333333333333E-3</v>
      </c>
      <c r="K980" s="12" t="s">
        <v>18</v>
      </c>
      <c r="L980" s="12" t="s">
        <v>29</v>
      </c>
      <c r="M980" s="12" t="s">
        <v>25</v>
      </c>
      <c r="N980" s="12" t="s">
        <v>76</v>
      </c>
      <c r="O980" s="12" t="s">
        <v>26</v>
      </c>
    </row>
    <row r="981" spans="1:15" ht="21" customHeight="1" x14ac:dyDescent="0.3">
      <c r="A981" s="17"/>
      <c r="B981" s="2" t="s">
        <v>14</v>
      </c>
      <c r="C981" s="3">
        <v>1</v>
      </c>
      <c r="D981" s="4" t="s">
        <v>15</v>
      </c>
      <c r="E981" s="2" t="s">
        <v>16</v>
      </c>
      <c r="F981" s="2" t="s">
        <v>45</v>
      </c>
      <c r="G981" s="5">
        <v>2</v>
      </c>
      <c r="H981" s="20">
        <v>12000000</v>
      </c>
      <c r="I981" s="2">
        <v>1</v>
      </c>
      <c r="J981" s="6">
        <v>5.208333333333333E-3</v>
      </c>
      <c r="K981" s="2" t="s">
        <v>18</v>
      </c>
      <c r="L981" s="2" t="s">
        <v>19</v>
      </c>
      <c r="M981" s="2" t="s">
        <v>25</v>
      </c>
      <c r="N981" s="2" t="s">
        <v>77</v>
      </c>
      <c r="O981" s="2" t="s">
        <v>65</v>
      </c>
    </row>
    <row r="982" spans="1:15" ht="21" customHeight="1" x14ac:dyDescent="0.3">
      <c r="A982" s="17"/>
      <c r="B982" s="12" t="s">
        <v>14</v>
      </c>
      <c r="C982" s="13">
        <v>10</v>
      </c>
      <c r="D982" s="14" t="s">
        <v>59</v>
      </c>
      <c r="E982" s="12" t="s">
        <v>38</v>
      </c>
      <c r="F982" s="12" t="s">
        <v>17</v>
      </c>
      <c r="G982" s="15">
        <v>2</v>
      </c>
      <c r="H982" s="21">
        <v>38000000</v>
      </c>
      <c r="I982" s="12">
        <v>2</v>
      </c>
      <c r="J982" s="16">
        <v>5.208333333333333E-3</v>
      </c>
      <c r="K982" s="12" t="s">
        <v>74</v>
      </c>
      <c r="L982" s="12" t="s">
        <v>47</v>
      </c>
      <c r="M982" s="12" t="s">
        <v>43</v>
      </c>
      <c r="N982" s="12" t="s">
        <v>76</v>
      </c>
      <c r="O982" s="12" t="s">
        <v>52</v>
      </c>
    </row>
    <row r="983" spans="1:15" ht="21" customHeight="1" x14ac:dyDescent="0.3">
      <c r="A983" s="17"/>
      <c r="B983" s="2" t="s">
        <v>14</v>
      </c>
      <c r="C983" s="3">
        <v>1</v>
      </c>
      <c r="D983" s="4" t="s">
        <v>59</v>
      </c>
      <c r="E983" s="2" t="s">
        <v>73</v>
      </c>
      <c r="F983" s="2" t="s">
        <v>42</v>
      </c>
      <c r="G983" s="5">
        <v>3</v>
      </c>
      <c r="H983" s="20">
        <v>15000000</v>
      </c>
      <c r="I983" s="2">
        <v>1</v>
      </c>
      <c r="J983" s="6">
        <v>5.208333333333333E-3</v>
      </c>
      <c r="K983" s="2" t="s">
        <v>18</v>
      </c>
      <c r="L983" s="2" t="s">
        <v>56</v>
      </c>
      <c r="M983" s="2" t="s">
        <v>43</v>
      </c>
      <c r="N983" s="2" t="s">
        <v>78</v>
      </c>
      <c r="O983" s="2" t="s">
        <v>62</v>
      </c>
    </row>
    <row r="984" spans="1:15" ht="21" customHeight="1" x14ac:dyDescent="0.3">
      <c r="A984" s="17"/>
      <c r="B984" s="12" t="s">
        <v>14</v>
      </c>
      <c r="C984" s="13">
        <v>30</v>
      </c>
      <c r="D984" s="14" t="s">
        <v>27</v>
      </c>
      <c r="E984" s="12" t="s">
        <v>32</v>
      </c>
      <c r="F984" s="12" t="s">
        <v>42</v>
      </c>
      <c r="G984" s="15">
        <v>1</v>
      </c>
      <c r="H984" s="21">
        <v>7000000</v>
      </c>
      <c r="I984" s="12">
        <v>2</v>
      </c>
      <c r="J984" s="16">
        <v>5.208333333333333E-3</v>
      </c>
      <c r="K984" s="12" t="s">
        <v>18</v>
      </c>
      <c r="L984" s="12" t="s">
        <v>29</v>
      </c>
      <c r="M984" s="12" t="s">
        <v>43</v>
      </c>
      <c r="N984" s="12" t="s">
        <v>78</v>
      </c>
      <c r="O984" s="12" t="s">
        <v>63</v>
      </c>
    </row>
    <row r="985" spans="1:15" ht="21" customHeight="1" x14ac:dyDescent="0.3">
      <c r="A985" s="17"/>
      <c r="B985" s="2" t="s">
        <v>14</v>
      </c>
      <c r="C985" s="3">
        <v>27</v>
      </c>
      <c r="D985" s="4" t="s">
        <v>27</v>
      </c>
      <c r="E985" s="2" t="s">
        <v>16</v>
      </c>
      <c r="F985" s="2" t="s">
        <v>23</v>
      </c>
      <c r="G985" s="5">
        <v>1</v>
      </c>
      <c r="H985" s="20">
        <v>7000000</v>
      </c>
      <c r="I985" s="2">
        <v>1</v>
      </c>
      <c r="J985" s="6">
        <v>5.208333333333333E-3</v>
      </c>
      <c r="K985" s="2" t="s">
        <v>18</v>
      </c>
      <c r="L985" s="2" t="s">
        <v>50</v>
      </c>
      <c r="M985" s="2" t="s">
        <v>51</v>
      </c>
      <c r="N985" s="2" t="s">
        <v>66</v>
      </c>
      <c r="O985" s="2" t="s">
        <v>67</v>
      </c>
    </row>
    <row r="986" spans="1:15" ht="21" customHeight="1" x14ac:dyDescent="0.3">
      <c r="A986" s="17"/>
      <c r="B986" s="12" t="s">
        <v>14</v>
      </c>
      <c r="C986" s="13">
        <v>15</v>
      </c>
      <c r="D986" s="14" t="s">
        <v>37</v>
      </c>
      <c r="E986" s="12" t="s">
        <v>32</v>
      </c>
      <c r="F986" s="12" t="s">
        <v>17</v>
      </c>
      <c r="G986" s="15">
        <v>1</v>
      </c>
      <c r="H986" s="21">
        <v>19000000</v>
      </c>
      <c r="I986" s="12">
        <v>2</v>
      </c>
      <c r="J986" s="16">
        <v>5.208333333333333E-3</v>
      </c>
      <c r="K986" s="12" t="s">
        <v>46</v>
      </c>
      <c r="L986" s="12" t="s">
        <v>19</v>
      </c>
      <c r="M986" s="12" t="s">
        <v>30</v>
      </c>
      <c r="N986" s="12" t="s">
        <v>77</v>
      </c>
      <c r="O986" s="12" t="s">
        <v>65</v>
      </c>
    </row>
    <row r="987" spans="1:15" ht="21" customHeight="1" x14ac:dyDescent="0.3">
      <c r="A987" s="17"/>
      <c r="B987" s="2" t="s">
        <v>14</v>
      </c>
      <c r="C987" s="3">
        <v>5</v>
      </c>
      <c r="D987" s="4" t="s">
        <v>37</v>
      </c>
      <c r="E987" s="2" t="s">
        <v>16</v>
      </c>
      <c r="F987" s="2" t="s">
        <v>42</v>
      </c>
      <c r="G987" s="5">
        <v>4</v>
      </c>
      <c r="H987" s="20">
        <v>15000000</v>
      </c>
      <c r="I987" s="2">
        <v>6</v>
      </c>
      <c r="J987" s="6">
        <v>5.208333333333333E-3</v>
      </c>
      <c r="K987" s="2" t="s">
        <v>18</v>
      </c>
      <c r="L987" s="2" t="s">
        <v>50</v>
      </c>
      <c r="M987" s="2" t="s">
        <v>30</v>
      </c>
      <c r="N987" s="2" t="s">
        <v>66</v>
      </c>
      <c r="O987" s="2" t="s">
        <v>36</v>
      </c>
    </row>
    <row r="988" spans="1:15" ht="21" customHeight="1" x14ac:dyDescent="0.3">
      <c r="A988" s="17"/>
      <c r="B988" s="12" t="s">
        <v>14</v>
      </c>
      <c r="C988" s="13">
        <v>6</v>
      </c>
      <c r="D988" s="14" t="s">
        <v>37</v>
      </c>
      <c r="E988" s="12" t="s">
        <v>49</v>
      </c>
      <c r="F988" s="12" t="s">
        <v>23</v>
      </c>
      <c r="G988" s="15">
        <v>5</v>
      </c>
      <c r="H988" s="21">
        <v>20000000</v>
      </c>
      <c r="I988" s="12">
        <v>6</v>
      </c>
      <c r="J988" s="16">
        <v>5.208333333333333E-3</v>
      </c>
      <c r="K988" s="12" t="s">
        <v>18</v>
      </c>
      <c r="L988" s="12" t="s">
        <v>29</v>
      </c>
      <c r="M988" s="12" t="s">
        <v>30</v>
      </c>
      <c r="N988" s="12" t="s">
        <v>78</v>
      </c>
      <c r="O988" s="12" t="s">
        <v>62</v>
      </c>
    </row>
    <row r="989" spans="1:15" ht="21" customHeight="1" x14ac:dyDescent="0.3">
      <c r="A989" s="17"/>
      <c r="B989" s="2" t="s">
        <v>14</v>
      </c>
      <c r="C989" s="3">
        <v>12</v>
      </c>
      <c r="D989" s="4" t="s">
        <v>37</v>
      </c>
      <c r="E989" s="2" t="s">
        <v>73</v>
      </c>
      <c r="F989" s="2" t="s">
        <v>17</v>
      </c>
      <c r="G989" s="5">
        <v>2</v>
      </c>
      <c r="H989" s="20">
        <v>12000000</v>
      </c>
      <c r="I989" s="2">
        <v>2</v>
      </c>
      <c r="J989" s="6">
        <v>5.208333333333333E-3</v>
      </c>
      <c r="K989" s="2" t="s">
        <v>18</v>
      </c>
      <c r="L989" s="2" t="s">
        <v>19</v>
      </c>
      <c r="M989" s="2" t="s">
        <v>40</v>
      </c>
      <c r="N989" s="2" t="s">
        <v>77</v>
      </c>
      <c r="O989" s="2" t="s">
        <v>54</v>
      </c>
    </row>
    <row r="990" spans="1:15" ht="21" customHeight="1" x14ac:dyDescent="0.3">
      <c r="A990" s="17"/>
      <c r="B990" s="12" t="s">
        <v>14</v>
      </c>
      <c r="C990" s="13">
        <v>28</v>
      </c>
      <c r="D990" s="14" t="s">
        <v>37</v>
      </c>
      <c r="E990" s="12" t="s">
        <v>28</v>
      </c>
      <c r="F990" s="12" t="s">
        <v>23</v>
      </c>
      <c r="G990" s="15">
        <v>2</v>
      </c>
      <c r="H990" s="21">
        <v>12000000</v>
      </c>
      <c r="I990" s="12">
        <v>2</v>
      </c>
      <c r="J990" s="16">
        <v>5.208333333333333E-3</v>
      </c>
      <c r="K990" s="12" t="s">
        <v>18</v>
      </c>
      <c r="L990" s="12" t="s">
        <v>19</v>
      </c>
      <c r="M990" s="12" t="s">
        <v>20</v>
      </c>
      <c r="N990" s="12" t="s">
        <v>78</v>
      </c>
      <c r="O990" s="12" t="s">
        <v>21</v>
      </c>
    </row>
    <row r="991" spans="1:15" ht="21" customHeight="1" x14ac:dyDescent="0.3">
      <c r="A991" s="17"/>
      <c r="B991" s="2" t="s">
        <v>14</v>
      </c>
      <c r="C991" s="3">
        <v>8</v>
      </c>
      <c r="D991" s="4" t="s">
        <v>37</v>
      </c>
      <c r="E991" s="2" t="s">
        <v>16</v>
      </c>
      <c r="F991" s="2" t="s">
        <v>23</v>
      </c>
      <c r="G991" s="5">
        <v>2</v>
      </c>
      <c r="H991" s="20">
        <v>12000000</v>
      </c>
      <c r="I991" s="2">
        <v>3</v>
      </c>
      <c r="J991" s="6">
        <v>5.208333333333333E-3</v>
      </c>
      <c r="K991" s="2" t="s">
        <v>18</v>
      </c>
      <c r="L991" s="2" t="s">
        <v>29</v>
      </c>
      <c r="M991" s="2" t="s">
        <v>33</v>
      </c>
      <c r="N991" s="2" t="s">
        <v>76</v>
      </c>
      <c r="O991" s="2" t="s">
        <v>75</v>
      </c>
    </row>
    <row r="992" spans="1:15" ht="21" customHeight="1" x14ac:dyDescent="0.3">
      <c r="A992" s="17"/>
      <c r="B992" s="12" t="s">
        <v>14</v>
      </c>
      <c r="C992" s="13">
        <v>7</v>
      </c>
      <c r="D992" s="14" t="s">
        <v>37</v>
      </c>
      <c r="E992" s="12" t="s">
        <v>38</v>
      </c>
      <c r="F992" s="12" t="s">
        <v>42</v>
      </c>
      <c r="G992" s="15">
        <v>2</v>
      </c>
      <c r="H992" s="21">
        <v>12000000</v>
      </c>
      <c r="I992" s="12">
        <v>3</v>
      </c>
      <c r="J992" s="16">
        <v>5.208333333333333E-3</v>
      </c>
      <c r="K992" s="12" t="s">
        <v>18</v>
      </c>
      <c r="L992" s="12" t="s">
        <v>56</v>
      </c>
      <c r="M992" s="12" t="s">
        <v>40</v>
      </c>
      <c r="N992" s="12" t="s">
        <v>78</v>
      </c>
      <c r="O992" s="12" t="s">
        <v>63</v>
      </c>
    </row>
    <row r="993" spans="1:15" ht="21" customHeight="1" x14ac:dyDescent="0.3">
      <c r="A993" s="17"/>
      <c r="B993" s="2" t="s">
        <v>14</v>
      </c>
      <c r="C993" s="3">
        <v>9</v>
      </c>
      <c r="D993" s="4" t="s">
        <v>37</v>
      </c>
      <c r="E993" s="2" t="s">
        <v>49</v>
      </c>
      <c r="F993" s="2" t="s">
        <v>42</v>
      </c>
      <c r="G993" s="5">
        <v>3</v>
      </c>
      <c r="H993" s="20">
        <v>15000000</v>
      </c>
      <c r="I993" s="2">
        <v>1</v>
      </c>
      <c r="J993" s="6">
        <v>5.208333333333333E-3</v>
      </c>
      <c r="K993" s="2" t="s">
        <v>18</v>
      </c>
      <c r="L993" s="2" t="s">
        <v>29</v>
      </c>
      <c r="M993" s="2" t="s">
        <v>48</v>
      </c>
      <c r="N993" s="2" t="s">
        <v>66</v>
      </c>
      <c r="O993" s="2" t="s">
        <v>36</v>
      </c>
    </row>
    <row r="994" spans="1:15" ht="21" customHeight="1" x14ac:dyDescent="0.3">
      <c r="A994" s="17"/>
      <c r="B994" s="12" t="s">
        <v>14</v>
      </c>
      <c r="C994" s="13">
        <v>16</v>
      </c>
      <c r="D994" s="14" t="s">
        <v>44</v>
      </c>
      <c r="E994" s="12" t="s">
        <v>28</v>
      </c>
      <c r="F994" s="12" t="s">
        <v>23</v>
      </c>
      <c r="G994" s="15">
        <v>1</v>
      </c>
      <c r="H994" s="21">
        <v>19000000</v>
      </c>
      <c r="I994" s="12">
        <v>1</v>
      </c>
      <c r="J994" s="16">
        <v>5.208333333333333E-3</v>
      </c>
      <c r="K994" s="12" t="s">
        <v>46</v>
      </c>
      <c r="L994" s="12" t="s">
        <v>19</v>
      </c>
      <c r="M994" s="12" t="s">
        <v>33</v>
      </c>
      <c r="N994" s="12" t="s">
        <v>76</v>
      </c>
      <c r="O994" s="12" t="s">
        <v>31</v>
      </c>
    </row>
    <row r="995" spans="1:15" ht="21" customHeight="1" x14ac:dyDescent="0.3">
      <c r="A995" s="17"/>
      <c r="B995" s="2" t="s">
        <v>14</v>
      </c>
      <c r="C995" s="3">
        <v>22</v>
      </c>
      <c r="D995" s="4" t="s">
        <v>44</v>
      </c>
      <c r="E995" s="2" t="s">
        <v>28</v>
      </c>
      <c r="F995" s="2" t="s">
        <v>23</v>
      </c>
      <c r="G995" s="5">
        <v>3</v>
      </c>
      <c r="H995" s="20">
        <v>11000000</v>
      </c>
      <c r="I995" s="2">
        <v>3</v>
      </c>
      <c r="J995" s="6">
        <v>5.208333333333333E-3</v>
      </c>
      <c r="K995" s="2" t="s">
        <v>18</v>
      </c>
      <c r="L995" s="2" t="s">
        <v>19</v>
      </c>
      <c r="M995" s="2" t="s">
        <v>30</v>
      </c>
      <c r="N995" s="2" t="s">
        <v>77</v>
      </c>
      <c r="O995" s="2" t="s">
        <v>65</v>
      </c>
    </row>
    <row r="996" spans="1:15" ht="21" customHeight="1" x14ac:dyDescent="0.3">
      <c r="A996" s="17"/>
      <c r="B996" s="12" t="s">
        <v>14</v>
      </c>
      <c r="C996" s="13">
        <v>5</v>
      </c>
      <c r="D996" s="14" t="s">
        <v>44</v>
      </c>
      <c r="E996" s="12" t="s">
        <v>16</v>
      </c>
      <c r="F996" s="12" t="s">
        <v>42</v>
      </c>
      <c r="G996" s="15">
        <v>3</v>
      </c>
      <c r="H996" s="21">
        <v>15000000</v>
      </c>
      <c r="I996" s="12">
        <v>2</v>
      </c>
      <c r="J996" s="16">
        <v>5.208333333333333E-3</v>
      </c>
      <c r="K996" s="12" t="s">
        <v>18</v>
      </c>
      <c r="L996" s="12" t="s">
        <v>64</v>
      </c>
      <c r="M996" s="12" t="s">
        <v>40</v>
      </c>
      <c r="N996" s="12" t="s">
        <v>66</v>
      </c>
      <c r="O996" s="12" t="s">
        <v>67</v>
      </c>
    </row>
    <row r="997" spans="1:15" ht="21" customHeight="1" x14ac:dyDescent="0.3">
      <c r="A997" s="17"/>
      <c r="B997" s="2" t="s">
        <v>14</v>
      </c>
      <c r="C997" s="3">
        <v>29</v>
      </c>
      <c r="D997" s="4" t="s">
        <v>44</v>
      </c>
      <c r="E997" s="2" t="s">
        <v>38</v>
      </c>
      <c r="F997" s="2" t="s">
        <v>42</v>
      </c>
      <c r="G997" s="5">
        <v>3</v>
      </c>
      <c r="H997" s="20">
        <v>15000000</v>
      </c>
      <c r="I997" s="2">
        <v>4</v>
      </c>
      <c r="J997" s="6">
        <v>5.208333333333333E-3</v>
      </c>
      <c r="K997" s="2" t="s">
        <v>18</v>
      </c>
      <c r="L997" s="2" t="s">
        <v>19</v>
      </c>
      <c r="M997" s="2" t="s">
        <v>25</v>
      </c>
      <c r="N997" s="2" t="s">
        <v>78</v>
      </c>
      <c r="O997" s="2" t="s">
        <v>63</v>
      </c>
    </row>
    <row r="998" spans="1:15" ht="21" customHeight="1" x14ac:dyDescent="0.3">
      <c r="A998" s="17"/>
      <c r="B998" s="12" t="s">
        <v>14</v>
      </c>
      <c r="C998" s="13">
        <v>12</v>
      </c>
      <c r="D998" s="14" t="s">
        <v>44</v>
      </c>
      <c r="E998" s="12" t="s">
        <v>16</v>
      </c>
      <c r="F998" s="12" t="s">
        <v>45</v>
      </c>
      <c r="G998" s="15">
        <v>4</v>
      </c>
      <c r="H998" s="21">
        <v>15000000</v>
      </c>
      <c r="I998" s="12">
        <v>2</v>
      </c>
      <c r="J998" s="16">
        <v>5.208333333333333E-3</v>
      </c>
      <c r="K998" s="12" t="s">
        <v>18</v>
      </c>
      <c r="L998" s="12" t="s">
        <v>19</v>
      </c>
      <c r="M998" s="12" t="s">
        <v>48</v>
      </c>
      <c r="N998" s="12" t="s">
        <v>78</v>
      </c>
      <c r="O998" s="12" t="s">
        <v>41</v>
      </c>
    </row>
    <row r="999" spans="1:15" ht="21" customHeight="1" x14ac:dyDescent="0.3">
      <c r="A999" s="17"/>
      <c r="B999" s="2" t="s">
        <v>14</v>
      </c>
      <c r="C999" s="3">
        <v>11</v>
      </c>
      <c r="D999" s="4" t="s">
        <v>55</v>
      </c>
      <c r="E999" s="2" t="s">
        <v>16</v>
      </c>
      <c r="F999" s="2" t="s">
        <v>42</v>
      </c>
      <c r="G999" s="5">
        <v>2</v>
      </c>
      <c r="H999" s="20">
        <v>38000000</v>
      </c>
      <c r="I999" s="2">
        <v>4</v>
      </c>
      <c r="J999" s="6">
        <v>5.208333333333333E-3</v>
      </c>
      <c r="K999" s="2" t="s">
        <v>46</v>
      </c>
      <c r="L999" s="2" t="s">
        <v>47</v>
      </c>
      <c r="M999" s="2" t="s">
        <v>51</v>
      </c>
      <c r="N999" s="2" t="s">
        <v>66</v>
      </c>
      <c r="O999" s="2" t="s">
        <v>67</v>
      </c>
    </row>
    <row r="1000" spans="1:15" ht="21" customHeight="1" x14ac:dyDescent="0.3">
      <c r="A1000" s="17"/>
      <c r="B1000" s="12" t="s">
        <v>14</v>
      </c>
      <c r="C1000" s="13">
        <v>6</v>
      </c>
      <c r="D1000" s="14" t="s">
        <v>55</v>
      </c>
      <c r="E1000" s="12" t="s">
        <v>32</v>
      </c>
      <c r="F1000" s="12" t="s">
        <v>42</v>
      </c>
      <c r="G1000" s="15">
        <v>5</v>
      </c>
      <c r="H1000" s="21">
        <v>20000000</v>
      </c>
      <c r="I1000" s="12">
        <v>3</v>
      </c>
      <c r="J1000" s="16">
        <v>5.208333333333333E-3</v>
      </c>
      <c r="K1000" s="12" t="s">
        <v>18</v>
      </c>
      <c r="L1000" s="12" t="s">
        <v>29</v>
      </c>
      <c r="M1000" s="12" t="s">
        <v>25</v>
      </c>
      <c r="N1000" s="12" t="s">
        <v>76</v>
      </c>
      <c r="O1000" s="12" t="s">
        <v>26</v>
      </c>
    </row>
    <row r="1001" spans="1:15" ht="21" customHeight="1" x14ac:dyDescent="0.3">
      <c r="A1001" s="17"/>
      <c r="B1001" s="2" t="s">
        <v>14</v>
      </c>
      <c r="C1001" s="3">
        <v>1</v>
      </c>
      <c r="D1001" s="4" t="s">
        <v>15</v>
      </c>
      <c r="E1001" s="2" t="s">
        <v>16</v>
      </c>
      <c r="F1001" s="2" t="s">
        <v>45</v>
      </c>
      <c r="G1001" s="5">
        <v>2</v>
      </c>
      <c r="H1001" s="20">
        <v>12000000</v>
      </c>
      <c r="I1001" s="2">
        <v>1</v>
      </c>
      <c r="J1001" s="6">
        <v>5.208333333333333E-3</v>
      </c>
      <c r="K1001" s="2" t="s">
        <v>18</v>
      </c>
      <c r="L1001" s="2" t="s">
        <v>19</v>
      </c>
      <c r="M1001" s="2" t="s">
        <v>25</v>
      </c>
      <c r="N1001" s="2" t="s">
        <v>77</v>
      </c>
      <c r="O1001" s="2" t="s">
        <v>65</v>
      </c>
    </row>
    <row r="1002" spans="1:15" ht="21" customHeight="1" x14ac:dyDescent="0.3">
      <c r="A1002" s="17"/>
      <c r="B1002" s="12" t="s">
        <v>14</v>
      </c>
      <c r="C1002" s="13">
        <v>10</v>
      </c>
      <c r="D1002" s="14" t="s">
        <v>59</v>
      </c>
      <c r="E1002" s="12" t="s">
        <v>38</v>
      </c>
      <c r="F1002" s="12" t="s">
        <v>17</v>
      </c>
      <c r="G1002" s="15">
        <v>2</v>
      </c>
      <c r="H1002" s="21">
        <v>38000000</v>
      </c>
      <c r="I1002" s="12">
        <v>2</v>
      </c>
      <c r="J1002" s="16">
        <v>5.208333333333333E-3</v>
      </c>
      <c r="K1002" s="12" t="s">
        <v>74</v>
      </c>
      <c r="L1002" s="12" t="s">
        <v>47</v>
      </c>
      <c r="M1002" s="12" t="s">
        <v>43</v>
      </c>
      <c r="N1002" s="12" t="s">
        <v>76</v>
      </c>
      <c r="O1002" s="12" t="s">
        <v>52</v>
      </c>
    </row>
    <row r="1003" spans="1:15" ht="21" customHeight="1" x14ac:dyDescent="0.3">
      <c r="A1003" s="17"/>
      <c r="B1003" s="2" t="s">
        <v>14</v>
      </c>
      <c r="C1003" s="3">
        <v>1</v>
      </c>
      <c r="D1003" s="4" t="s">
        <v>59</v>
      </c>
      <c r="E1003" s="2" t="s">
        <v>73</v>
      </c>
      <c r="F1003" s="2" t="s">
        <v>42</v>
      </c>
      <c r="G1003" s="5">
        <v>3</v>
      </c>
      <c r="H1003" s="20">
        <v>15000000</v>
      </c>
      <c r="I1003" s="2">
        <v>1</v>
      </c>
      <c r="J1003" s="6">
        <v>5.208333333333333E-3</v>
      </c>
      <c r="K1003" s="2" t="s">
        <v>18</v>
      </c>
      <c r="L1003" s="2" t="s">
        <v>56</v>
      </c>
      <c r="M1003" s="2" t="s">
        <v>43</v>
      </c>
      <c r="N1003" s="2" t="s">
        <v>78</v>
      </c>
      <c r="O1003" s="2" t="s">
        <v>62</v>
      </c>
    </row>
    <row r="1004" spans="1:15" ht="21" customHeight="1" x14ac:dyDescent="0.3">
      <c r="A1004" s="17"/>
      <c r="B1004" s="12" t="s">
        <v>70</v>
      </c>
      <c r="C1004" s="13">
        <v>7</v>
      </c>
      <c r="D1004" s="14" t="s">
        <v>72</v>
      </c>
      <c r="E1004" s="12" t="s">
        <v>28</v>
      </c>
      <c r="F1004" s="12" t="s">
        <v>17</v>
      </c>
      <c r="G1004" s="15">
        <v>0</v>
      </c>
      <c r="H1004" s="21">
        <v>0</v>
      </c>
      <c r="I1004" s="12">
        <v>3</v>
      </c>
      <c r="J1004" s="16">
        <v>5.208333333333333E-3</v>
      </c>
      <c r="K1004" s="12"/>
      <c r="L1004" s="12"/>
      <c r="M1004" s="12" t="s">
        <v>51</v>
      </c>
      <c r="N1004" s="12" t="s">
        <v>77</v>
      </c>
      <c r="O1004" s="12" t="s">
        <v>65</v>
      </c>
    </row>
    <row r="1005" spans="1:15" ht="21" customHeight="1" x14ac:dyDescent="0.3">
      <c r="A1005" s="17"/>
      <c r="B1005" s="2" t="s">
        <v>70</v>
      </c>
      <c r="C1005" s="3">
        <v>12</v>
      </c>
      <c r="D1005" s="4" t="s">
        <v>22</v>
      </c>
      <c r="E1005" s="2" t="s">
        <v>49</v>
      </c>
      <c r="F1005" s="2" t="s">
        <v>23</v>
      </c>
      <c r="G1005" s="5">
        <v>0</v>
      </c>
      <c r="H1005" s="20">
        <v>0</v>
      </c>
      <c r="I1005" s="2">
        <v>2</v>
      </c>
      <c r="J1005" s="6">
        <v>5.208333333333333E-3</v>
      </c>
      <c r="K1005" s="2"/>
      <c r="L1005" s="2"/>
      <c r="M1005" s="2" t="s">
        <v>30</v>
      </c>
      <c r="N1005" s="2" t="s">
        <v>76</v>
      </c>
      <c r="O1005" s="2" t="s">
        <v>31</v>
      </c>
    </row>
    <row r="1006" spans="1:15" ht="21" customHeight="1" x14ac:dyDescent="0.3">
      <c r="A1006" s="17"/>
      <c r="B1006" s="12" t="s">
        <v>70</v>
      </c>
      <c r="C1006" s="13">
        <v>1</v>
      </c>
      <c r="D1006" s="14" t="s">
        <v>27</v>
      </c>
      <c r="E1006" s="12" t="s">
        <v>32</v>
      </c>
      <c r="F1006" s="12" t="s">
        <v>42</v>
      </c>
      <c r="G1006" s="15">
        <v>0</v>
      </c>
      <c r="H1006" s="21">
        <v>0</v>
      </c>
      <c r="I1006" s="12">
        <v>4</v>
      </c>
      <c r="J1006" s="16">
        <v>5.208333333333333E-3</v>
      </c>
      <c r="K1006" s="12"/>
      <c r="L1006" s="12"/>
      <c r="M1006" s="12" t="s">
        <v>30</v>
      </c>
      <c r="N1006" s="12" t="s">
        <v>78</v>
      </c>
      <c r="O1006" s="12" t="s">
        <v>63</v>
      </c>
    </row>
    <row r="1007" spans="1:15" ht="21" customHeight="1" x14ac:dyDescent="0.3">
      <c r="A1007" s="17"/>
      <c r="B1007" s="2" t="s">
        <v>70</v>
      </c>
      <c r="C1007" s="3">
        <v>29</v>
      </c>
      <c r="D1007" s="4" t="s">
        <v>27</v>
      </c>
      <c r="E1007" s="2" t="s">
        <v>38</v>
      </c>
      <c r="F1007" s="2" t="s">
        <v>42</v>
      </c>
      <c r="G1007" s="5">
        <v>0</v>
      </c>
      <c r="H1007" s="20">
        <v>0</v>
      </c>
      <c r="I1007" s="2">
        <v>2</v>
      </c>
      <c r="J1007" s="6">
        <v>5.208333333333333E-3</v>
      </c>
      <c r="K1007" s="2"/>
      <c r="L1007" s="2"/>
      <c r="M1007" s="2" t="s">
        <v>40</v>
      </c>
      <c r="N1007" s="2" t="s">
        <v>76</v>
      </c>
      <c r="O1007" s="2" t="s">
        <v>52</v>
      </c>
    </row>
    <row r="1008" spans="1:15" ht="21" customHeight="1" x14ac:dyDescent="0.3">
      <c r="A1008" s="17"/>
      <c r="B1008" s="12" t="s">
        <v>70</v>
      </c>
      <c r="C1008" s="13">
        <v>26</v>
      </c>
      <c r="D1008" s="14" t="s">
        <v>37</v>
      </c>
      <c r="E1008" s="12" t="s">
        <v>38</v>
      </c>
      <c r="F1008" s="12" t="s">
        <v>17</v>
      </c>
      <c r="G1008" s="15">
        <v>0</v>
      </c>
      <c r="H1008" s="21">
        <v>0</v>
      </c>
      <c r="I1008" s="12">
        <v>3</v>
      </c>
      <c r="J1008" s="16">
        <v>5.208333333333333E-3</v>
      </c>
      <c r="K1008" s="12"/>
      <c r="L1008" s="12"/>
      <c r="M1008" s="12" t="s">
        <v>30</v>
      </c>
      <c r="N1008" s="12" t="s">
        <v>78</v>
      </c>
      <c r="O1008" s="12" t="s">
        <v>41</v>
      </c>
    </row>
    <row r="1009" spans="1:15" ht="21" customHeight="1" x14ac:dyDescent="0.3">
      <c r="A1009" s="17"/>
      <c r="B1009" s="2" t="s">
        <v>70</v>
      </c>
      <c r="C1009" s="3">
        <v>30</v>
      </c>
      <c r="D1009" s="4" t="s">
        <v>69</v>
      </c>
      <c r="E1009" s="2" t="s">
        <v>49</v>
      </c>
      <c r="F1009" s="2" t="s">
        <v>17</v>
      </c>
      <c r="G1009" s="5">
        <v>0</v>
      </c>
      <c r="H1009" s="20">
        <v>0</v>
      </c>
      <c r="I1009" s="2">
        <v>7</v>
      </c>
      <c r="J1009" s="6">
        <v>5.208333333333333E-3</v>
      </c>
      <c r="K1009" s="2"/>
      <c r="L1009" s="2"/>
      <c r="M1009" s="2" t="s">
        <v>43</v>
      </c>
      <c r="N1009" s="2" t="s">
        <v>76</v>
      </c>
      <c r="O1009" s="2" t="s">
        <v>52</v>
      </c>
    </row>
    <row r="1010" spans="1:15" ht="21" customHeight="1" x14ac:dyDescent="0.3">
      <c r="A1010" s="17"/>
      <c r="B1010" s="12" t="s">
        <v>70</v>
      </c>
      <c r="C1010" s="13">
        <v>7</v>
      </c>
      <c r="D1010" s="14" t="s">
        <v>72</v>
      </c>
      <c r="E1010" s="12" t="s">
        <v>28</v>
      </c>
      <c r="F1010" s="12" t="s">
        <v>17</v>
      </c>
      <c r="G1010" s="15">
        <v>0</v>
      </c>
      <c r="H1010" s="21">
        <v>0</v>
      </c>
      <c r="I1010" s="12">
        <v>3</v>
      </c>
      <c r="J1010" s="16">
        <v>5.208333333333333E-3</v>
      </c>
      <c r="K1010" s="12"/>
      <c r="L1010" s="12"/>
      <c r="M1010" s="12" t="s">
        <v>51</v>
      </c>
      <c r="N1010" s="12" t="s">
        <v>77</v>
      </c>
      <c r="O1010" s="12" t="s">
        <v>65</v>
      </c>
    </row>
    <row r="1011" spans="1:15" ht="21" customHeight="1" x14ac:dyDescent="0.3">
      <c r="A1011" s="17"/>
      <c r="B1011" s="2" t="s">
        <v>14</v>
      </c>
      <c r="C1011" s="3">
        <v>16</v>
      </c>
      <c r="D1011" s="4" t="s">
        <v>57</v>
      </c>
      <c r="E1011" s="2" t="s">
        <v>38</v>
      </c>
      <c r="F1011" s="2" t="s">
        <v>23</v>
      </c>
      <c r="G1011" s="5">
        <v>3</v>
      </c>
      <c r="H1011" s="20">
        <v>11000000</v>
      </c>
      <c r="I1011" s="2">
        <v>3</v>
      </c>
      <c r="J1011" s="6">
        <v>5.5555555555555558E-3</v>
      </c>
      <c r="K1011" s="2" t="s">
        <v>18</v>
      </c>
      <c r="L1011" s="2" t="s">
        <v>24</v>
      </c>
      <c r="M1011" s="2" t="s">
        <v>30</v>
      </c>
      <c r="N1011" s="2" t="s">
        <v>78</v>
      </c>
      <c r="O1011" s="2" t="s">
        <v>41</v>
      </c>
    </row>
    <row r="1012" spans="1:15" ht="21" customHeight="1" x14ac:dyDescent="0.3">
      <c r="A1012" s="17"/>
      <c r="B1012" s="12" t="s">
        <v>14</v>
      </c>
      <c r="C1012" s="13">
        <v>13</v>
      </c>
      <c r="D1012" s="14" t="s">
        <v>27</v>
      </c>
      <c r="E1012" s="12" t="s">
        <v>73</v>
      </c>
      <c r="F1012" s="12" t="s">
        <v>23</v>
      </c>
      <c r="G1012" s="15">
        <v>2</v>
      </c>
      <c r="H1012" s="21">
        <v>10000000</v>
      </c>
      <c r="I1012" s="12">
        <v>2</v>
      </c>
      <c r="J1012" s="16">
        <v>5.5555555555555558E-3</v>
      </c>
      <c r="K1012" s="12" t="s">
        <v>18</v>
      </c>
      <c r="L1012" s="12" t="s">
        <v>19</v>
      </c>
      <c r="M1012" s="12" t="s">
        <v>33</v>
      </c>
      <c r="N1012" s="12" t="s">
        <v>78</v>
      </c>
      <c r="O1012" s="12" t="s">
        <v>41</v>
      </c>
    </row>
    <row r="1013" spans="1:15" ht="21" customHeight="1" x14ac:dyDescent="0.3">
      <c r="A1013" s="17"/>
      <c r="B1013" s="2" t="s">
        <v>14</v>
      </c>
      <c r="C1013" s="3">
        <v>16</v>
      </c>
      <c r="D1013" s="4" t="s">
        <v>27</v>
      </c>
      <c r="E1013" s="2" t="s">
        <v>16</v>
      </c>
      <c r="F1013" s="2" t="s">
        <v>42</v>
      </c>
      <c r="G1013" s="5">
        <v>2</v>
      </c>
      <c r="H1013" s="20">
        <v>12000000</v>
      </c>
      <c r="I1013" s="2">
        <v>2</v>
      </c>
      <c r="J1013" s="6">
        <v>5.5555555555555558E-3</v>
      </c>
      <c r="K1013" s="2" t="s">
        <v>18</v>
      </c>
      <c r="L1013" s="2" t="s">
        <v>39</v>
      </c>
      <c r="M1013" s="2" t="s">
        <v>51</v>
      </c>
      <c r="N1013" s="2" t="s">
        <v>76</v>
      </c>
      <c r="O1013" s="2" t="s">
        <v>26</v>
      </c>
    </row>
    <row r="1014" spans="1:15" ht="21" customHeight="1" x14ac:dyDescent="0.3">
      <c r="A1014" s="17"/>
      <c r="B1014" s="12" t="s">
        <v>14</v>
      </c>
      <c r="C1014" s="13">
        <v>26</v>
      </c>
      <c r="D1014" s="14" t="s">
        <v>37</v>
      </c>
      <c r="E1014" s="12" t="s">
        <v>32</v>
      </c>
      <c r="F1014" s="12" t="s">
        <v>42</v>
      </c>
      <c r="G1014" s="15">
        <v>2</v>
      </c>
      <c r="H1014" s="21">
        <v>38000000</v>
      </c>
      <c r="I1014" s="12">
        <v>5</v>
      </c>
      <c r="J1014" s="16">
        <v>5.5555555555555558E-3</v>
      </c>
      <c r="K1014" s="12" t="s">
        <v>46</v>
      </c>
      <c r="L1014" s="12" t="s">
        <v>29</v>
      </c>
      <c r="M1014" s="12" t="s">
        <v>48</v>
      </c>
      <c r="N1014" s="12" t="s">
        <v>76</v>
      </c>
      <c r="O1014" s="12" t="s">
        <v>31</v>
      </c>
    </row>
    <row r="1015" spans="1:15" ht="21" customHeight="1" x14ac:dyDescent="0.3">
      <c r="A1015" s="17"/>
      <c r="B1015" s="2" t="s">
        <v>14</v>
      </c>
      <c r="C1015" s="3">
        <v>9</v>
      </c>
      <c r="D1015" s="4" t="s">
        <v>37</v>
      </c>
      <c r="E1015" s="2" t="s">
        <v>28</v>
      </c>
      <c r="F1015" s="2" t="s">
        <v>42</v>
      </c>
      <c r="G1015" s="5">
        <v>4</v>
      </c>
      <c r="H1015" s="20">
        <v>20000000</v>
      </c>
      <c r="I1015" s="2">
        <v>1</v>
      </c>
      <c r="J1015" s="6">
        <v>5.5555555555555558E-3</v>
      </c>
      <c r="K1015" s="2" t="s">
        <v>61</v>
      </c>
      <c r="L1015" s="2" t="s">
        <v>29</v>
      </c>
      <c r="M1015" s="2" t="s">
        <v>43</v>
      </c>
      <c r="N1015" s="2" t="s">
        <v>76</v>
      </c>
      <c r="O1015" s="2" t="s">
        <v>71</v>
      </c>
    </row>
    <row r="1016" spans="1:15" ht="21" customHeight="1" x14ac:dyDescent="0.3">
      <c r="A1016" s="17"/>
      <c r="B1016" s="12" t="s">
        <v>14</v>
      </c>
      <c r="C1016" s="13">
        <v>28</v>
      </c>
      <c r="D1016" s="14" t="s">
        <v>37</v>
      </c>
      <c r="E1016" s="12" t="s">
        <v>28</v>
      </c>
      <c r="F1016" s="12" t="s">
        <v>42</v>
      </c>
      <c r="G1016" s="15">
        <v>1</v>
      </c>
      <c r="H1016" s="21">
        <v>7000000</v>
      </c>
      <c r="I1016" s="12">
        <v>2</v>
      </c>
      <c r="J1016" s="16">
        <v>5.5555555555555558E-3</v>
      </c>
      <c r="K1016" s="12" t="s">
        <v>18</v>
      </c>
      <c r="L1016" s="12" t="s">
        <v>29</v>
      </c>
      <c r="M1016" s="12" t="s">
        <v>48</v>
      </c>
      <c r="N1016" s="12" t="s">
        <v>76</v>
      </c>
      <c r="O1016" s="12" t="s">
        <v>52</v>
      </c>
    </row>
    <row r="1017" spans="1:15" ht="21" customHeight="1" x14ac:dyDescent="0.3">
      <c r="A1017" s="17"/>
      <c r="B1017" s="2" t="s">
        <v>14</v>
      </c>
      <c r="C1017" s="3">
        <v>30</v>
      </c>
      <c r="D1017" s="4" t="s">
        <v>37</v>
      </c>
      <c r="E1017" s="2" t="s">
        <v>32</v>
      </c>
      <c r="F1017" s="2" t="s">
        <v>17</v>
      </c>
      <c r="G1017" s="5">
        <v>3</v>
      </c>
      <c r="H1017" s="20">
        <v>15000000</v>
      </c>
      <c r="I1017" s="2">
        <v>4</v>
      </c>
      <c r="J1017" s="6">
        <v>5.5555555555555558E-3</v>
      </c>
      <c r="K1017" s="2" t="s">
        <v>18</v>
      </c>
      <c r="L1017" s="2" t="s">
        <v>24</v>
      </c>
      <c r="M1017" s="2" t="s">
        <v>33</v>
      </c>
      <c r="N1017" s="2" t="s">
        <v>78</v>
      </c>
      <c r="O1017" s="2" t="s">
        <v>63</v>
      </c>
    </row>
    <row r="1018" spans="1:15" ht="21" customHeight="1" x14ac:dyDescent="0.3">
      <c r="A1018" s="17"/>
      <c r="B1018" s="12" t="s">
        <v>14</v>
      </c>
      <c r="C1018" s="13">
        <v>5</v>
      </c>
      <c r="D1018" s="14" t="s">
        <v>44</v>
      </c>
      <c r="E1018" s="12" t="s">
        <v>28</v>
      </c>
      <c r="F1018" s="12" t="s">
        <v>17</v>
      </c>
      <c r="G1018" s="15">
        <v>5</v>
      </c>
      <c r="H1018" s="21">
        <v>25000000</v>
      </c>
      <c r="I1018" s="12">
        <v>2</v>
      </c>
      <c r="J1018" s="16">
        <v>5.5555555555555558E-3</v>
      </c>
      <c r="K1018" s="12" t="s">
        <v>18</v>
      </c>
      <c r="L1018" s="12" t="s">
        <v>19</v>
      </c>
      <c r="M1018" s="12" t="s">
        <v>25</v>
      </c>
      <c r="N1018" s="12" t="s">
        <v>66</v>
      </c>
      <c r="O1018" s="12" t="s">
        <v>36</v>
      </c>
    </row>
    <row r="1019" spans="1:15" ht="21" customHeight="1" x14ac:dyDescent="0.3">
      <c r="A1019" s="17"/>
      <c r="B1019" s="2" t="s">
        <v>14</v>
      </c>
      <c r="C1019" s="3">
        <v>16</v>
      </c>
      <c r="D1019" s="4" t="s">
        <v>57</v>
      </c>
      <c r="E1019" s="2" t="s">
        <v>38</v>
      </c>
      <c r="F1019" s="2" t="s">
        <v>23</v>
      </c>
      <c r="G1019" s="5">
        <v>3</v>
      </c>
      <c r="H1019" s="20">
        <v>11000000</v>
      </c>
      <c r="I1019" s="2">
        <v>3</v>
      </c>
      <c r="J1019" s="6">
        <v>5.5555555555555558E-3</v>
      </c>
      <c r="K1019" s="2" t="s">
        <v>18</v>
      </c>
      <c r="L1019" s="2" t="s">
        <v>24</v>
      </c>
      <c r="M1019" s="2" t="s">
        <v>30</v>
      </c>
      <c r="N1019" s="2" t="s">
        <v>78</v>
      </c>
      <c r="O1019" s="2" t="s">
        <v>41</v>
      </c>
    </row>
    <row r="1020" spans="1:15" ht="21" customHeight="1" x14ac:dyDescent="0.3">
      <c r="A1020" s="17"/>
      <c r="B1020" s="12" t="s">
        <v>70</v>
      </c>
      <c r="C1020" s="13">
        <v>12</v>
      </c>
      <c r="D1020" s="14" t="s">
        <v>27</v>
      </c>
      <c r="E1020" s="12" t="s">
        <v>32</v>
      </c>
      <c r="F1020" s="12" t="s">
        <v>42</v>
      </c>
      <c r="G1020" s="15">
        <v>0</v>
      </c>
      <c r="H1020" s="21">
        <v>0</v>
      </c>
      <c r="I1020" s="12">
        <v>3</v>
      </c>
      <c r="J1020" s="16">
        <v>5.5555555555555558E-3</v>
      </c>
      <c r="K1020" s="12"/>
      <c r="L1020" s="12"/>
      <c r="M1020" s="12" t="s">
        <v>30</v>
      </c>
      <c r="N1020" s="12" t="s">
        <v>66</v>
      </c>
      <c r="O1020" s="12" t="s">
        <v>67</v>
      </c>
    </row>
    <row r="1021" spans="1:15" ht="21" customHeight="1" x14ac:dyDescent="0.3">
      <c r="A1021" s="17"/>
      <c r="B1021" s="2" t="s">
        <v>70</v>
      </c>
      <c r="C1021" s="3">
        <v>1</v>
      </c>
      <c r="D1021" s="4" t="s">
        <v>37</v>
      </c>
      <c r="E1021" s="2" t="s">
        <v>49</v>
      </c>
      <c r="F1021" s="2" t="s">
        <v>42</v>
      </c>
      <c r="G1021" s="5">
        <v>0</v>
      </c>
      <c r="H1021" s="20">
        <v>0</v>
      </c>
      <c r="I1021" s="2">
        <v>1</v>
      </c>
      <c r="J1021" s="6">
        <v>5.5555555555555558E-3</v>
      </c>
      <c r="K1021" s="2"/>
      <c r="L1021" s="2"/>
      <c r="M1021" s="2" t="s">
        <v>30</v>
      </c>
      <c r="N1021" s="2" t="s">
        <v>66</v>
      </c>
      <c r="O1021" s="2" t="s">
        <v>67</v>
      </c>
    </row>
    <row r="1022" spans="1:15" ht="21" customHeight="1" x14ac:dyDescent="0.3">
      <c r="A1022" s="17"/>
      <c r="B1022" s="12" t="s">
        <v>70</v>
      </c>
      <c r="C1022" s="13">
        <v>5</v>
      </c>
      <c r="D1022" s="14" t="s">
        <v>37</v>
      </c>
      <c r="E1022" s="12" t="s">
        <v>49</v>
      </c>
      <c r="F1022" s="12" t="s">
        <v>45</v>
      </c>
      <c r="G1022" s="15">
        <v>0</v>
      </c>
      <c r="H1022" s="21">
        <v>0</v>
      </c>
      <c r="I1022" s="12">
        <v>4</v>
      </c>
      <c r="J1022" s="16">
        <v>5.5555555555555558E-3</v>
      </c>
      <c r="K1022" s="12"/>
      <c r="L1022" s="12"/>
      <c r="M1022" s="12" t="s">
        <v>43</v>
      </c>
      <c r="N1022" s="12" t="s">
        <v>77</v>
      </c>
      <c r="O1022" s="12" t="s">
        <v>65</v>
      </c>
    </row>
    <row r="1023" spans="1:15" ht="21" customHeight="1" x14ac:dyDescent="0.3">
      <c r="A1023" s="17"/>
      <c r="B1023" s="2" t="s">
        <v>70</v>
      </c>
      <c r="C1023" s="3">
        <v>27</v>
      </c>
      <c r="D1023" s="4" t="s">
        <v>44</v>
      </c>
      <c r="E1023" s="2" t="s">
        <v>16</v>
      </c>
      <c r="F1023" s="2" t="s">
        <v>17</v>
      </c>
      <c r="G1023" s="5">
        <v>0</v>
      </c>
      <c r="H1023" s="20">
        <v>0</v>
      </c>
      <c r="I1023" s="2">
        <v>1</v>
      </c>
      <c r="J1023" s="6">
        <v>5.5555555555555558E-3</v>
      </c>
      <c r="K1023" s="2"/>
      <c r="L1023" s="2"/>
      <c r="M1023" s="2" t="s">
        <v>30</v>
      </c>
      <c r="N1023" s="2" t="s">
        <v>76</v>
      </c>
      <c r="O1023" s="2" t="s">
        <v>52</v>
      </c>
    </row>
    <row r="1024" spans="1:15" ht="21" customHeight="1" x14ac:dyDescent="0.3">
      <c r="A1024" s="17"/>
      <c r="B1024" s="12" t="s">
        <v>70</v>
      </c>
      <c r="C1024" s="13">
        <v>16</v>
      </c>
      <c r="D1024" s="14" t="s">
        <v>44</v>
      </c>
      <c r="E1024" s="12" t="s">
        <v>16</v>
      </c>
      <c r="F1024" s="12" t="s">
        <v>17</v>
      </c>
      <c r="G1024" s="15">
        <v>0</v>
      </c>
      <c r="H1024" s="21">
        <v>0</v>
      </c>
      <c r="I1024" s="12">
        <v>1</v>
      </c>
      <c r="J1024" s="16">
        <v>5.5555555555555558E-3</v>
      </c>
      <c r="K1024" s="12"/>
      <c r="L1024" s="12"/>
      <c r="M1024" s="12" t="s">
        <v>40</v>
      </c>
      <c r="N1024" s="12" t="s">
        <v>78</v>
      </c>
      <c r="O1024" s="12" t="s">
        <v>21</v>
      </c>
    </row>
    <row r="1025" spans="1:15" ht="21" customHeight="1" x14ac:dyDescent="0.3">
      <c r="A1025" s="17"/>
      <c r="B1025" s="2" t="s">
        <v>14</v>
      </c>
      <c r="C1025" s="3">
        <v>11</v>
      </c>
      <c r="D1025" s="4" t="s">
        <v>57</v>
      </c>
      <c r="E1025" s="2" t="s">
        <v>32</v>
      </c>
      <c r="F1025" s="2" t="s">
        <v>42</v>
      </c>
      <c r="G1025" s="5">
        <v>4</v>
      </c>
      <c r="H1025" s="20">
        <v>20000000</v>
      </c>
      <c r="I1025" s="2">
        <v>1</v>
      </c>
      <c r="J1025" s="6">
        <v>5.6712962962962958E-3</v>
      </c>
      <c r="K1025" s="2" t="s">
        <v>18</v>
      </c>
      <c r="L1025" s="2" t="s">
        <v>56</v>
      </c>
      <c r="M1025" s="2" t="s">
        <v>20</v>
      </c>
      <c r="N1025" s="2" t="s">
        <v>78</v>
      </c>
      <c r="O1025" s="2" t="s">
        <v>62</v>
      </c>
    </row>
    <row r="1026" spans="1:15" ht="21" customHeight="1" x14ac:dyDescent="0.3">
      <c r="A1026" s="17"/>
      <c r="B1026" s="12" t="s">
        <v>14</v>
      </c>
      <c r="C1026" s="13">
        <v>1</v>
      </c>
      <c r="D1026" s="14" t="s">
        <v>59</v>
      </c>
      <c r="E1026" s="12" t="s">
        <v>38</v>
      </c>
      <c r="F1026" s="12" t="s">
        <v>23</v>
      </c>
      <c r="G1026" s="15">
        <v>2</v>
      </c>
      <c r="H1026" s="21">
        <v>12000000</v>
      </c>
      <c r="I1026" s="12">
        <v>5</v>
      </c>
      <c r="J1026" s="16">
        <v>5.6712962962962958E-3</v>
      </c>
      <c r="K1026" s="12" t="s">
        <v>18</v>
      </c>
      <c r="L1026" s="12" t="s">
        <v>35</v>
      </c>
      <c r="M1026" s="12" t="s">
        <v>40</v>
      </c>
      <c r="N1026" s="12" t="s">
        <v>66</v>
      </c>
      <c r="O1026" s="12" t="s">
        <v>36</v>
      </c>
    </row>
    <row r="1027" spans="1:15" ht="21" customHeight="1" x14ac:dyDescent="0.3">
      <c r="A1027" s="17"/>
      <c r="B1027" s="2" t="s">
        <v>14</v>
      </c>
      <c r="C1027" s="3">
        <v>10</v>
      </c>
      <c r="D1027" s="4" t="s">
        <v>27</v>
      </c>
      <c r="E1027" s="2" t="s">
        <v>38</v>
      </c>
      <c r="F1027" s="2" t="s">
        <v>42</v>
      </c>
      <c r="G1027" s="5">
        <v>2</v>
      </c>
      <c r="H1027" s="20">
        <v>38000000</v>
      </c>
      <c r="I1027" s="2">
        <v>2</v>
      </c>
      <c r="J1027" s="6">
        <v>5.6712962962962958E-3</v>
      </c>
      <c r="K1027" s="2" t="s">
        <v>74</v>
      </c>
      <c r="L1027" s="2" t="s">
        <v>47</v>
      </c>
      <c r="M1027" s="2" t="s">
        <v>48</v>
      </c>
      <c r="N1027" s="2" t="s">
        <v>78</v>
      </c>
      <c r="O1027" s="2" t="s">
        <v>63</v>
      </c>
    </row>
    <row r="1028" spans="1:15" ht="21" customHeight="1" x14ac:dyDescent="0.3">
      <c r="A1028" s="17"/>
      <c r="B1028" s="12" t="s">
        <v>14</v>
      </c>
      <c r="C1028" s="13">
        <v>11</v>
      </c>
      <c r="D1028" s="14" t="s">
        <v>27</v>
      </c>
      <c r="E1028" s="12" t="s">
        <v>16</v>
      </c>
      <c r="F1028" s="12" t="s">
        <v>23</v>
      </c>
      <c r="G1028" s="15">
        <v>2</v>
      </c>
      <c r="H1028" s="21">
        <v>12000000</v>
      </c>
      <c r="I1028" s="12">
        <v>4</v>
      </c>
      <c r="J1028" s="16">
        <v>5.6712962962962958E-3</v>
      </c>
      <c r="K1028" s="12" t="s">
        <v>18</v>
      </c>
      <c r="L1028" s="12" t="s">
        <v>39</v>
      </c>
      <c r="M1028" s="12" t="s">
        <v>30</v>
      </c>
      <c r="N1028" s="12" t="s">
        <v>76</v>
      </c>
      <c r="O1028" s="12" t="s">
        <v>31</v>
      </c>
    </row>
    <row r="1029" spans="1:15" ht="21" customHeight="1" x14ac:dyDescent="0.3">
      <c r="A1029" s="17"/>
      <c r="B1029" s="2" t="s">
        <v>14</v>
      </c>
      <c r="C1029" s="3">
        <v>12</v>
      </c>
      <c r="D1029" s="4" t="s">
        <v>27</v>
      </c>
      <c r="E1029" s="2" t="s">
        <v>38</v>
      </c>
      <c r="F1029" s="2" t="s">
        <v>17</v>
      </c>
      <c r="G1029" s="5">
        <v>3</v>
      </c>
      <c r="H1029" s="20">
        <v>15000000</v>
      </c>
      <c r="I1029" s="2">
        <v>4</v>
      </c>
      <c r="J1029" s="6">
        <v>5.6712962962962958E-3</v>
      </c>
      <c r="K1029" s="2" t="s">
        <v>18</v>
      </c>
      <c r="L1029" s="2" t="s">
        <v>24</v>
      </c>
      <c r="M1029" s="2" t="s">
        <v>30</v>
      </c>
      <c r="N1029" s="2" t="s">
        <v>76</v>
      </c>
      <c r="O1029" s="2" t="s">
        <v>31</v>
      </c>
    </row>
    <row r="1030" spans="1:15" ht="21" customHeight="1" x14ac:dyDescent="0.3">
      <c r="A1030" s="17"/>
      <c r="B1030" s="12" t="s">
        <v>14</v>
      </c>
      <c r="C1030" s="13">
        <v>27</v>
      </c>
      <c r="D1030" s="14" t="s">
        <v>37</v>
      </c>
      <c r="E1030" s="12" t="s">
        <v>32</v>
      </c>
      <c r="F1030" s="12" t="s">
        <v>45</v>
      </c>
      <c r="G1030" s="15">
        <v>1</v>
      </c>
      <c r="H1030" s="21">
        <v>19000000</v>
      </c>
      <c r="I1030" s="12">
        <v>1</v>
      </c>
      <c r="J1030" s="16">
        <v>5.6712962962962958E-3</v>
      </c>
      <c r="K1030" s="12" t="s">
        <v>46</v>
      </c>
      <c r="L1030" s="12" t="s">
        <v>19</v>
      </c>
      <c r="M1030" s="12" t="s">
        <v>33</v>
      </c>
      <c r="N1030" s="12" t="s">
        <v>78</v>
      </c>
      <c r="O1030" s="12" t="s">
        <v>41</v>
      </c>
    </row>
    <row r="1031" spans="1:15" ht="21" customHeight="1" x14ac:dyDescent="0.3">
      <c r="A1031" s="17"/>
      <c r="B1031" s="2" t="s">
        <v>14</v>
      </c>
      <c r="C1031" s="3">
        <v>30</v>
      </c>
      <c r="D1031" s="4" t="s">
        <v>37</v>
      </c>
      <c r="E1031" s="2" t="s">
        <v>38</v>
      </c>
      <c r="F1031" s="2" t="s">
        <v>42</v>
      </c>
      <c r="G1031" s="5">
        <v>4</v>
      </c>
      <c r="H1031" s="20">
        <v>11000000</v>
      </c>
      <c r="I1031" s="2">
        <v>3</v>
      </c>
      <c r="J1031" s="6">
        <v>5.6712962962962958E-3</v>
      </c>
      <c r="K1031" s="2" t="s">
        <v>61</v>
      </c>
      <c r="L1031" s="2" t="s">
        <v>39</v>
      </c>
      <c r="M1031" s="2" t="s">
        <v>43</v>
      </c>
      <c r="N1031" s="2" t="s">
        <v>76</v>
      </c>
      <c r="O1031" s="2" t="s">
        <v>26</v>
      </c>
    </row>
    <row r="1032" spans="1:15" ht="21" customHeight="1" x14ac:dyDescent="0.3">
      <c r="A1032" s="17"/>
      <c r="B1032" s="12" t="s">
        <v>14</v>
      </c>
      <c r="C1032" s="13">
        <v>27</v>
      </c>
      <c r="D1032" s="14" t="s">
        <v>37</v>
      </c>
      <c r="E1032" s="12" t="s">
        <v>28</v>
      </c>
      <c r="F1032" s="12" t="s">
        <v>17</v>
      </c>
      <c r="G1032" s="15">
        <v>5</v>
      </c>
      <c r="H1032" s="21">
        <v>25000000</v>
      </c>
      <c r="I1032" s="12">
        <v>2</v>
      </c>
      <c r="J1032" s="16">
        <v>5.6712962962962958E-3</v>
      </c>
      <c r="K1032" s="12" t="s">
        <v>18</v>
      </c>
      <c r="L1032" s="12" t="s">
        <v>39</v>
      </c>
      <c r="M1032" s="12" t="s">
        <v>40</v>
      </c>
      <c r="N1032" s="12" t="s">
        <v>76</v>
      </c>
      <c r="O1032" s="12" t="s">
        <v>52</v>
      </c>
    </row>
    <row r="1033" spans="1:15" ht="21" customHeight="1" x14ac:dyDescent="0.3">
      <c r="A1033" s="17"/>
      <c r="B1033" s="2" t="s">
        <v>14</v>
      </c>
      <c r="C1033" s="3">
        <v>9</v>
      </c>
      <c r="D1033" s="4" t="s">
        <v>37</v>
      </c>
      <c r="E1033" s="2" t="s">
        <v>16</v>
      </c>
      <c r="F1033" s="2" t="s">
        <v>42</v>
      </c>
      <c r="G1033" s="5">
        <v>3</v>
      </c>
      <c r="H1033" s="20">
        <v>15000000</v>
      </c>
      <c r="I1033" s="2">
        <v>4</v>
      </c>
      <c r="J1033" s="6">
        <v>5.6712962962962958E-3</v>
      </c>
      <c r="K1033" s="2" t="s">
        <v>18</v>
      </c>
      <c r="L1033" s="2" t="s">
        <v>56</v>
      </c>
      <c r="M1033" s="2" t="s">
        <v>33</v>
      </c>
      <c r="N1033" s="2" t="s">
        <v>66</v>
      </c>
      <c r="O1033" s="2" t="s">
        <v>67</v>
      </c>
    </row>
    <row r="1034" spans="1:15" ht="21" customHeight="1" x14ac:dyDescent="0.3">
      <c r="A1034" s="17"/>
      <c r="B1034" s="12" t="s">
        <v>14</v>
      </c>
      <c r="C1034" s="13">
        <v>22</v>
      </c>
      <c r="D1034" s="14" t="s">
        <v>44</v>
      </c>
      <c r="E1034" s="12" t="s">
        <v>73</v>
      </c>
      <c r="F1034" s="12" t="s">
        <v>42</v>
      </c>
      <c r="G1034" s="15">
        <v>3</v>
      </c>
      <c r="H1034" s="21">
        <v>15000000</v>
      </c>
      <c r="I1034" s="12">
        <v>1</v>
      </c>
      <c r="J1034" s="16">
        <v>5.6712962962962958E-3</v>
      </c>
      <c r="K1034" s="12" t="s">
        <v>18</v>
      </c>
      <c r="L1034" s="12" t="s">
        <v>29</v>
      </c>
      <c r="M1034" s="12" t="s">
        <v>48</v>
      </c>
      <c r="N1034" s="12" t="s">
        <v>66</v>
      </c>
      <c r="O1034" s="12" t="s">
        <v>36</v>
      </c>
    </row>
    <row r="1035" spans="1:15" ht="21" customHeight="1" x14ac:dyDescent="0.3">
      <c r="A1035" s="17"/>
      <c r="B1035" s="2" t="s">
        <v>14</v>
      </c>
      <c r="C1035" s="3">
        <v>23</v>
      </c>
      <c r="D1035" s="4" t="s">
        <v>69</v>
      </c>
      <c r="E1035" s="2" t="s">
        <v>38</v>
      </c>
      <c r="F1035" s="2" t="s">
        <v>42</v>
      </c>
      <c r="G1035" s="5">
        <v>5</v>
      </c>
      <c r="H1035" s="20">
        <v>21000000</v>
      </c>
      <c r="I1035" s="2">
        <v>1</v>
      </c>
      <c r="J1035" s="6">
        <v>5.6712962962962958E-3</v>
      </c>
      <c r="K1035" s="2" t="s">
        <v>18</v>
      </c>
      <c r="L1035" s="2" t="s">
        <v>64</v>
      </c>
      <c r="M1035" s="2" t="s">
        <v>25</v>
      </c>
      <c r="N1035" s="2" t="s">
        <v>78</v>
      </c>
      <c r="O1035" s="2" t="s">
        <v>41</v>
      </c>
    </row>
    <row r="1036" spans="1:15" ht="21" customHeight="1" x14ac:dyDescent="0.3">
      <c r="A1036" s="17"/>
      <c r="B1036" s="12" t="s">
        <v>14</v>
      </c>
      <c r="C1036" s="13">
        <v>11</v>
      </c>
      <c r="D1036" s="14" t="s">
        <v>57</v>
      </c>
      <c r="E1036" s="12" t="s">
        <v>32</v>
      </c>
      <c r="F1036" s="12" t="s">
        <v>42</v>
      </c>
      <c r="G1036" s="15">
        <v>4</v>
      </c>
      <c r="H1036" s="21">
        <v>20000000</v>
      </c>
      <c r="I1036" s="12">
        <v>1</v>
      </c>
      <c r="J1036" s="16">
        <v>5.6712962962962958E-3</v>
      </c>
      <c r="K1036" s="12" t="s">
        <v>18</v>
      </c>
      <c r="L1036" s="12" t="s">
        <v>56</v>
      </c>
      <c r="M1036" s="12" t="s">
        <v>20</v>
      </c>
      <c r="N1036" s="12" t="s">
        <v>78</v>
      </c>
      <c r="O1036" s="12" t="s">
        <v>62</v>
      </c>
    </row>
    <row r="1037" spans="1:15" ht="21" customHeight="1" x14ac:dyDescent="0.3">
      <c r="A1037" s="17"/>
      <c r="B1037" s="2" t="s">
        <v>14</v>
      </c>
      <c r="C1037" s="3">
        <v>1</v>
      </c>
      <c r="D1037" s="4" t="s">
        <v>59</v>
      </c>
      <c r="E1037" s="2" t="s">
        <v>38</v>
      </c>
      <c r="F1037" s="2" t="s">
        <v>23</v>
      </c>
      <c r="G1037" s="5">
        <v>2</v>
      </c>
      <c r="H1037" s="20">
        <v>12000000</v>
      </c>
      <c r="I1037" s="2">
        <v>5</v>
      </c>
      <c r="J1037" s="6">
        <v>5.6712962962962958E-3</v>
      </c>
      <c r="K1037" s="2" t="s">
        <v>18</v>
      </c>
      <c r="L1037" s="2" t="s">
        <v>35</v>
      </c>
      <c r="M1037" s="2" t="s">
        <v>40</v>
      </c>
      <c r="N1037" s="2" t="s">
        <v>66</v>
      </c>
      <c r="O1037" s="2" t="s">
        <v>36</v>
      </c>
    </row>
    <row r="1038" spans="1:15" ht="21" customHeight="1" x14ac:dyDescent="0.3">
      <c r="A1038" s="17"/>
      <c r="B1038" s="12" t="s">
        <v>70</v>
      </c>
      <c r="C1038" s="13">
        <v>18</v>
      </c>
      <c r="D1038" s="14" t="s">
        <v>58</v>
      </c>
      <c r="E1038" s="12" t="s">
        <v>16</v>
      </c>
      <c r="F1038" s="12" t="s">
        <v>42</v>
      </c>
      <c r="G1038" s="15">
        <v>0</v>
      </c>
      <c r="H1038" s="21">
        <v>0</v>
      </c>
      <c r="I1038" s="12">
        <v>1</v>
      </c>
      <c r="J1038" s="16">
        <v>5.6712962962962958E-3</v>
      </c>
      <c r="K1038" s="12"/>
      <c r="L1038" s="12"/>
      <c r="M1038" s="12" t="s">
        <v>20</v>
      </c>
      <c r="N1038" s="12" t="s">
        <v>76</v>
      </c>
      <c r="O1038" s="12" t="s">
        <v>31</v>
      </c>
    </row>
    <row r="1039" spans="1:15" ht="21" customHeight="1" x14ac:dyDescent="0.3">
      <c r="A1039" s="17"/>
      <c r="B1039" s="2" t="s">
        <v>70</v>
      </c>
      <c r="C1039" s="3">
        <v>2</v>
      </c>
      <c r="D1039" s="4" t="s">
        <v>72</v>
      </c>
      <c r="E1039" s="2" t="s">
        <v>16</v>
      </c>
      <c r="F1039" s="2" t="s">
        <v>23</v>
      </c>
      <c r="G1039" s="5">
        <v>0</v>
      </c>
      <c r="H1039" s="20">
        <v>0</v>
      </c>
      <c r="I1039" s="2">
        <v>4</v>
      </c>
      <c r="J1039" s="6">
        <v>5.6712962962962958E-3</v>
      </c>
      <c r="K1039" s="2"/>
      <c r="L1039" s="2"/>
      <c r="M1039" s="2" t="s">
        <v>51</v>
      </c>
      <c r="N1039" s="2" t="s">
        <v>77</v>
      </c>
      <c r="O1039" s="2" t="s">
        <v>54</v>
      </c>
    </row>
    <row r="1040" spans="1:15" ht="21" customHeight="1" x14ac:dyDescent="0.3">
      <c r="A1040" s="17"/>
      <c r="B1040" s="12" t="s">
        <v>70</v>
      </c>
      <c r="C1040" s="13">
        <v>18</v>
      </c>
      <c r="D1040" s="14" t="s">
        <v>58</v>
      </c>
      <c r="E1040" s="12" t="s">
        <v>16</v>
      </c>
      <c r="F1040" s="12" t="s">
        <v>42</v>
      </c>
      <c r="G1040" s="15">
        <v>0</v>
      </c>
      <c r="H1040" s="21">
        <v>0</v>
      </c>
      <c r="I1040" s="12">
        <v>1</v>
      </c>
      <c r="J1040" s="16">
        <v>5.6712962962962958E-3</v>
      </c>
      <c r="K1040" s="12"/>
      <c r="L1040" s="12"/>
      <c r="M1040" s="12" t="s">
        <v>20</v>
      </c>
      <c r="N1040" s="12" t="s">
        <v>76</v>
      </c>
      <c r="O1040" s="12" t="s">
        <v>31</v>
      </c>
    </row>
    <row r="1041" spans="1:15" ht="21" customHeight="1" x14ac:dyDescent="0.3">
      <c r="A1041" s="17"/>
      <c r="B1041" s="2" t="s">
        <v>70</v>
      </c>
      <c r="C1041" s="3">
        <v>2</v>
      </c>
      <c r="D1041" s="4" t="s">
        <v>72</v>
      </c>
      <c r="E1041" s="2" t="s">
        <v>16</v>
      </c>
      <c r="F1041" s="2" t="s">
        <v>23</v>
      </c>
      <c r="G1041" s="5">
        <v>0</v>
      </c>
      <c r="H1041" s="20">
        <v>0</v>
      </c>
      <c r="I1041" s="2">
        <v>4</v>
      </c>
      <c r="J1041" s="6">
        <v>5.6712962962962958E-3</v>
      </c>
      <c r="K1041" s="2"/>
      <c r="L1041" s="2"/>
      <c r="M1041" s="2" t="s">
        <v>51</v>
      </c>
      <c r="N1041" s="2" t="s">
        <v>77</v>
      </c>
      <c r="O1041" s="2" t="s">
        <v>54</v>
      </c>
    </row>
    <row r="1042" spans="1:15" ht="21" customHeight="1" x14ac:dyDescent="0.3">
      <c r="A1042" s="17"/>
      <c r="B1042" s="12" t="s">
        <v>14</v>
      </c>
      <c r="C1042" s="13">
        <v>13</v>
      </c>
      <c r="D1042" s="14" t="s">
        <v>55</v>
      </c>
      <c r="E1042" s="12" t="s">
        <v>16</v>
      </c>
      <c r="F1042" s="12" t="s">
        <v>42</v>
      </c>
      <c r="G1042" s="15">
        <v>4</v>
      </c>
      <c r="H1042" s="21">
        <v>15000000</v>
      </c>
      <c r="I1042" s="12">
        <v>5</v>
      </c>
      <c r="J1042" s="16">
        <v>5.6944444444444438E-3</v>
      </c>
      <c r="K1042" s="12" t="s">
        <v>18</v>
      </c>
      <c r="L1042" s="12" t="s">
        <v>35</v>
      </c>
      <c r="M1042" s="12" t="s">
        <v>48</v>
      </c>
      <c r="N1042" s="12" t="s">
        <v>76</v>
      </c>
      <c r="O1042" s="12" t="s">
        <v>52</v>
      </c>
    </row>
    <row r="1043" spans="1:15" ht="21" customHeight="1" x14ac:dyDescent="0.3">
      <c r="A1043" s="17"/>
      <c r="B1043" s="2" t="s">
        <v>14</v>
      </c>
      <c r="C1043" s="3">
        <v>11</v>
      </c>
      <c r="D1043" s="4" t="s">
        <v>57</v>
      </c>
      <c r="E1043" s="2" t="s">
        <v>28</v>
      </c>
      <c r="F1043" s="2" t="s">
        <v>17</v>
      </c>
      <c r="G1043" s="5">
        <v>2</v>
      </c>
      <c r="H1043" s="20">
        <v>38000000</v>
      </c>
      <c r="I1043" s="2">
        <v>2</v>
      </c>
      <c r="J1043" s="6">
        <v>5.6944444444444438E-3</v>
      </c>
      <c r="K1043" s="2" t="s">
        <v>46</v>
      </c>
      <c r="L1043" s="2" t="s">
        <v>19</v>
      </c>
      <c r="M1043" s="2" t="s">
        <v>25</v>
      </c>
      <c r="N1043" s="2" t="s">
        <v>78</v>
      </c>
      <c r="O1043" s="2" t="s">
        <v>62</v>
      </c>
    </row>
    <row r="1044" spans="1:15" ht="21" customHeight="1" x14ac:dyDescent="0.3">
      <c r="A1044" s="17"/>
      <c r="B1044" s="12" t="s">
        <v>14</v>
      </c>
      <c r="C1044" s="13">
        <v>12</v>
      </c>
      <c r="D1044" s="14" t="s">
        <v>59</v>
      </c>
      <c r="E1044" s="12" t="s">
        <v>16</v>
      </c>
      <c r="F1044" s="12" t="s">
        <v>42</v>
      </c>
      <c r="G1044" s="15">
        <v>1</v>
      </c>
      <c r="H1044" s="21">
        <v>7000000</v>
      </c>
      <c r="I1044" s="12">
        <v>1</v>
      </c>
      <c r="J1044" s="16">
        <v>5.6944444444444438E-3</v>
      </c>
      <c r="K1044" s="12" t="s">
        <v>18</v>
      </c>
      <c r="L1044" s="12" t="s">
        <v>39</v>
      </c>
      <c r="M1044" s="12" t="s">
        <v>20</v>
      </c>
      <c r="N1044" s="12" t="s">
        <v>77</v>
      </c>
      <c r="O1044" s="12" t="s">
        <v>65</v>
      </c>
    </row>
    <row r="1045" spans="1:15" ht="21" customHeight="1" x14ac:dyDescent="0.3">
      <c r="A1045" s="17"/>
      <c r="B1045" s="2" t="s">
        <v>14</v>
      </c>
      <c r="C1045" s="3">
        <v>27</v>
      </c>
      <c r="D1045" s="4" t="s">
        <v>22</v>
      </c>
      <c r="E1045" s="2" t="s">
        <v>32</v>
      </c>
      <c r="F1045" s="2" t="s">
        <v>68</v>
      </c>
      <c r="G1045" s="5">
        <v>5</v>
      </c>
      <c r="H1045" s="20">
        <v>25000000</v>
      </c>
      <c r="I1045" s="2">
        <v>4</v>
      </c>
      <c r="J1045" s="6">
        <v>5.6944444444444438E-3</v>
      </c>
      <c r="K1045" s="2" t="s">
        <v>18</v>
      </c>
      <c r="L1045" s="2" t="s">
        <v>56</v>
      </c>
      <c r="M1045" s="2" t="s">
        <v>51</v>
      </c>
      <c r="N1045" s="2" t="s">
        <v>78</v>
      </c>
      <c r="O1045" s="2" t="s">
        <v>63</v>
      </c>
    </row>
    <row r="1046" spans="1:15" ht="21" customHeight="1" x14ac:dyDescent="0.3">
      <c r="A1046" s="17"/>
      <c r="B1046" s="12" t="s">
        <v>14</v>
      </c>
      <c r="C1046" s="13">
        <v>30</v>
      </c>
      <c r="D1046" s="14" t="s">
        <v>27</v>
      </c>
      <c r="E1046" s="12" t="s">
        <v>32</v>
      </c>
      <c r="F1046" s="12" t="s">
        <v>42</v>
      </c>
      <c r="G1046" s="15">
        <v>1</v>
      </c>
      <c r="H1046" s="21">
        <v>19000000</v>
      </c>
      <c r="I1046" s="12">
        <v>5</v>
      </c>
      <c r="J1046" s="16">
        <v>5.6944444444444438E-3</v>
      </c>
      <c r="K1046" s="12" t="s">
        <v>46</v>
      </c>
      <c r="L1046" s="12" t="s">
        <v>56</v>
      </c>
      <c r="M1046" s="12" t="s">
        <v>40</v>
      </c>
      <c r="N1046" s="12" t="s">
        <v>78</v>
      </c>
      <c r="O1046" s="12" t="s">
        <v>63</v>
      </c>
    </row>
    <row r="1047" spans="1:15" ht="21" customHeight="1" x14ac:dyDescent="0.3">
      <c r="A1047" s="17"/>
      <c r="B1047" s="2" t="s">
        <v>14</v>
      </c>
      <c r="C1047" s="3">
        <v>19</v>
      </c>
      <c r="D1047" s="4" t="s">
        <v>27</v>
      </c>
      <c r="E1047" s="2" t="s">
        <v>32</v>
      </c>
      <c r="F1047" s="2" t="s">
        <v>68</v>
      </c>
      <c r="G1047" s="5">
        <v>5</v>
      </c>
      <c r="H1047" s="20">
        <v>20000000</v>
      </c>
      <c r="I1047" s="2">
        <v>5</v>
      </c>
      <c r="J1047" s="6">
        <v>5.6944444444444438E-3</v>
      </c>
      <c r="K1047" s="2" t="s">
        <v>18</v>
      </c>
      <c r="L1047" s="2" t="s">
        <v>39</v>
      </c>
      <c r="M1047" s="2" t="s">
        <v>33</v>
      </c>
      <c r="N1047" s="2" t="s">
        <v>78</v>
      </c>
      <c r="O1047" s="2" t="s">
        <v>53</v>
      </c>
    </row>
    <row r="1048" spans="1:15" ht="21" customHeight="1" x14ac:dyDescent="0.3">
      <c r="A1048" s="17"/>
      <c r="B1048" s="12" t="s">
        <v>14</v>
      </c>
      <c r="C1048" s="13">
        <v>12</v>
      </c>
      <c r="D1048" s="14" t="s">
        <v>27</v>
      </c>
      <c r="E1048" s="12" t="s">
        <v>16</v>
      </c>
      <c r="F1048" s="12" t="s">
        <v>42</v>
      </c>
      <c r="G1048" s="15">
        <v>3</v>
      </c>
      <c r="H1048" s="21">
        <v>11000000</v>
      </c>
      <c r="I1048" s="12">
        <v>5</v>
      </c>
      <c r="J1048" s="16">
        <v>5.6944444444444438E-3</v>
      </c>
      <c r="K1048" s="12" t="s">
        <v>18</v>
      </c>
      <c r="L1048" s="12" t="s">
        <v>64</v>
      </c>
      <c r="M1048" s="12" t="s">
        <v>25</v>
      </c>
      <c r="N1048" s="12" t="s">
        <v>66</v>
      </c>
      <c r="O1048" s="12" t="s">
        <v>67</v>
      </c>
    </row>
    <row r="1049" spans="1:15" ht="21" customHeight="1" x14ac:dyDescent="0.3">
      <c r="A1049" s="17"/>
      <c r="B1049" s="2" t="s">
        <v>14</v>
      </c>
      <c r="C1049" s="3">
        <v>21</v>
      </c>
      <c r="D1049" s="4" t="s">
        <v>37</v>
      </c>
      <c r="E1049" s="2" t="s">
        <v>16</v>
      </c>
      <c r="F1049" s="2" t="s">
        <v>23</v>
      </c>
      <c r="G1049" s="5">
        <v>2</v>
      </c>
      <c r="H1049" s="20">
        <v>12000000</v>
      </c>
      <c r="I1049" s="2">
        <v>1</v>
      </c>
      <c r="J1049" s="6">
        <v>5.6944444444444438E-3</v>
      </c>
      <c r="K1049" s="2" t="s">
        <v>18</v>
      </c>
      <c r="L1049" s="2" t="s">
        <v>47</v>
      </c>
      <c r="M1049" s="2" t="s">
        <v>20</v>
      </c>
      <c r="N1049" s="2" t="s">
        <v>76</v>
      </c>
      <c r="O1049" s="2" t="s">
        <v>71</v>
      </c>
    </row>
    <row r="1050" spans="1:15" ht="21" customHeight="1" x14ac:dyDescent="0.3">
      <c r="A1050" s="17"/>
      <c r="B1050" s="12" t="s">
        <v>14</v>
      </c>
      <c r="C1050" s="13">
        <v>17</v>
      </c>
      <c r="D1050" s="14" t="s">
        <v>44</v>
      </c>
      <c r="E1050" s="12" t="s">
        <v>38</v>
      </c>
      <c r="F1050" s="12" t="s">
        <v>42</v>
      </c>
      <c r="G1050" s="15">
        <v>2</v>
      </c>
      <c r="H1050" s="21">
        <v>12000000</v>
      </c>
      <c r="I1050" s="12">
        <v>4</v>
      </c>
      <c r="J1050" s="16">
        <v>5.6944444444444438E-3</v>
      </c>
      <c r="K1050" s="12" t="s">
        <v>18</v>
      </c>
      <c r="L1050" s="12" t="s">
        <v>64</v>
      </c>
      <c r="M1050" s="12" t="s">
        <v>20</v>
      </c>
      <c r="N1050" s="12" t="s">
        <v>66</v>
      </c>
      <c r="O1050" s="12" t="s">
        <v>36</v>
      </c>
    </row>
    <row r="1051" spans="1:15" ht="21" customHeight="1" x14ac:dyDescent="0.3">
      <c r="A1051" s="17"/>
      <c r="B1051" s="2" t="s">
        <v>14</v>
      </c>
      <c r="C1051" s="3">
        <v>15</v>
      </c>
      <c r="D1051" s="4" t="s">
        <v>69</v>
      </c>
      <c r="E1051" s="2" t="s">
        <v>28</v>
      </c>
      <c r="F1051" s="2" t="s">
        <v>68</v>
      </c>
      <c r="G1051" s="5">
        <v>4</v>
      </c>
      <c r="H1051" s="20">
        <v>20000000</v>
      </c>
      <c r="I1051" s="2">
        <v>2</v>
      </c>
      <c r="J1051" s="6">
        <v>5.6944444444444438E-3</v>
      </c>
      <c r="K1051" s="2" t="s">
        <v>61</v>
      </c>
      <c r="L1051" s="2" t="s">
        <v>29</v>
      </c>
      <c r="M1051" s="2" t="s">
        <v>43</v>
      </c>
      <c r="N1051" s="2" t="s">
        <v>76</v>
      </c>
      <c r="O1051" s="2" t="s">
        <v>52</v>
      </c>
    </row>
    <row r="1052" spans="1:15" ht="21" customHeight="1" x14ac:dyDescent="0.3">
      <c r="A1052" s="17"/>
      <c r="B1052" s="12" t="s">
        <v>14</v>
      </c>
      <c r="C1052" s="13">
        <v>1</v>
      </c>
      <c r="D1052" s="14" t="s">
        <v>69</v>
      </c>
      <c r="E1052" s="12" t="s">
        <v>38</v>
      </c>
      <c r="F1052" s="12" t="s">
        <v>42</v>
      </c>
      <c r="G1052" s="15">
        <v>3</v>
      </c>
      <c r="H1052" s="21">
        <v>12000000</v>
      </c>
      <c r="I1052" s="12">
        <v>4</v>
      </c>
      <c r="J1052" s="16">
        <v>5.6944444444444438E-3</v>
      </c>
      <c r="K1052" s="12" t="s">
        <v>18</v>
      </c>
      <c r="L1052" s="12" t="s">
        <v>19</v>
      </c>
      <c r="M1052" s="12" t="s">
        <v>43</v>
      </c>
      <c r="N1052" s="12" t="s">
        <v>77</v>
      </c>
      <c r="O1052" s="12" t="s">
        <v>54</v>
      </c>
    </row>
    <row r="1053" spans="1:15" ht="21" customHeight="1" x14ac:dyDescent="0.3">
      <c r="A1053" s="17"/>
      <c r="B1053" s="2" t="s">
        <v>14</v>
      </c>
      <c r="C1053" s="3">
        <v>13</v>
      </c>
      <c r="D1053" s="4" t="s">
        <v>55</v>
      </c>
      <c r="E1053" s="2" t="s">
        <v>16</v>
      </c>
      <c r="F1053" s="2" t="s">
        <v>42</v>
      </c>
      <c r="G1053" s="5">
        <v>4</v>
      </c>
      <c r="H1053" s="20">
        <v>15000000</v>
      </c>
      <c r="I1053" s="2">
        <v>5</v>
      </c>
      <c r="J1053" s="6">
        <v>5.6944444444444438E-3</v>
      </c>
      <c r="K1053" s="2" t="s">
        <v>18</v>
      </c>
      <c r="L1053" s="2" t="s">
        <v>35</v>
      </c>
      <c r="M1053" s="2" t="s">
        <v>48</v>
      </c>
      <c r="N1053" s="2" t="s">
        <v>76</v>
      </c>
      <c r="O1053" s="2" t="s">
        <v>52</v>
      </c>
    </row>
    <row r="1054" spans="1:15" ht="21" customHeight="1" x14ac:dyDescent="0.3">
      <c r="A1054" s="17"/>
      <c r="B1054" s="12" t="s">
        <v>14</v>
      </c>
      <c r="C1054" s="13">
        <v>11</v>
      </c>
      <c r="D1054" s="14" t="s">
        <v>57</v>
      </c>
      <c r="E1054" s="12" t="s">
        <v>28</v>
      </c>
      <c r="F1054" s="12" t="s">
        <v>17</v>
      </c>
      <c r="G1054" s="15">
        <v>2</v>
      </c>
      <c r="H1054" s="21">
        <v>38000000</v>
      </c>
      <c r="I1054" s="12">
        <v>2</v>
      </c>
      <c r="J1054" s="16">
        <v>5.6944444444444438E-3</v>
      </c>
      <c r="K1054" s="12" t="s">
        <v>46</v>
      </c>
      <c r="L1054" s="12" t="s">
        <v>19</v>
      </c>
      <c r="M1054" s="12" t="s">
        <v>25</v>
      </c>
      <c r="N1054" s="12" t="s">
        <v>78</v>
      </c>
      <c r="O1054" s="12" t="s">
        <v>62</v>
      </c>
    </row>
    <row r="1055" spans="1:15" ht="21" customHeight="1" x14ac:dyDescent="0.3">
      <c r="A1055" s="17"/>
      <c r="B1055" s="2" t="s">
        <v>14</v>
      </c>
      <c r="C1055" s="3">
        <v>12</v>
      </c>
      <c r="D1055" s="4" t="s">
        <v>59</v>
      </c>
      <c r="E1055" s="2" t="s">
        <v>16</v>
      </c>
      <c r="F1055" s="2" t="s">
        <v>42</v>
      </c>
      <c r="G1055" s="5">
        <v>1</v>
      </c>
      <c r="H1055" s="20">
        <v>7000000</v>
      </c>
      <c r="I1055" s="2">
        <v>1</v>
      </c>
      <c r="J1055" s="6">
        <v>5.6944444444444438E-3</v>
      </c>
      <c r="K1055" s="2" t="s">
        <v>18</v>
      </c>
      <c r="L1055" s="2" t="s">
        <v>39</v>
      </c>
      <c r="M1055" s="2" t="s">
        <v>20</v>
      </c>
      <c r="N1055" s="2" t="s">
        <v>77</v>
      </c>
      <c r="O1055" s="2" t="s">
        <v>65</v>
      </c>
    </row>
    <row r="1056" spans="1:15" ht="21" customHeight="1" x14ac:dyDescent="0.3">
      <c r="A1056" s="17"/>
      <c r="B1056" s="12" t="s">
        <v>14</v>
      </c>
      <c r="C1056" s="13">
        <v>27</v>
      </c>
      <c r="D1056" s="14" t="s">
        <v>22</v>
      </c>
      <c r="E1056" s="12" t="s">
        <v>32</v>
      </c>
      <c r="F1056" s="12" t="s">
        <v>68</v>
      </c>
      <c r="G1056" s="15">
        <v>5</v>
      </c>
      <c r="H1056" s="21">
        <v>25000000</v>
      </c>
      <c r="I1056" s="12">
        <v>4</v>
      </c>
      <c r="J1056" s="16">
        <v>5.6944444444444438E-3</v>
      </c>
      <c r="K1056" s="12" t="s">
        <v>18</v>
      </c>
      <c r="L1056" s="12" t="s">
        <v>56</v>
      </c>
      <c r="M1056" s="12" t="s">
        <v>51</v>
      </c>
      <c r="N1056" s="12" t="s">
        <v>78</v>
      </c>
      <c r="O1056" s="12" t="s">
        <v>63</v>
      </c>
    </row>
    <row r="1057" spans="1:15" ht="21" customHeight="1" x14ac:dyDescent="0.3">
      <c r="A1057" s="17"/>
      <c r="B1057" s="2" t="s">
        <v>70</v>
      </c>
      <c r="C1057" s="3">
        <v>12</v>
      </c>
      <c r="D1057" s="4" t="s">
        <v>58</v>
      </c>
      <c r="E1057" s="2" t="s">
        <v>49</v>
      </c>
      <c r="F1057" s="2" t="s">
        <v>23</v>
      </c>
      <c r="G1057" s="5">
        <v>0</v>
      </c>
      <c r="H1057" s="20">
        <v>0</v>
      </c>
      <c r="I1057" s="2">
        <v>3</v>
      </c>
      <c r="J1057" s="6">
        <v>5.6944444444444438E-3</v>
      </c>
      <c r="K1057" s="2"/>
      <c r="L1057" s="2"/>
      <c r="M1057" s="2" t="s">
        <v>51</v>
      </c>
      <c r="N1057" s="2" t="s">
        <v>77</v>
      </c>
      <c r="O1057" s="2" t="s">
        <v>54</v>
      </c>
    </row>
    <row r="1058" spans="1:15" ht="21" customHeight="1" x14ac:dyDescent="0.3">
      <c r="A1058" s="17"/>
      <c r="B1058" s="12" t="s">
        <v>70</v>
      </c>
      <c r="C1058" s="13">
        <v>25</v>
      </c>
      <c r="D1058" s="14" t="s">
        <v>44</v>
      </c>
      <c r="E1058" s="12" t="s">
        <v>16</v>
      </c>
      <c r="F1058" s="12" t="s">
        <v>42</v>
      </c>
      <c r="G1058" s="15">
        <v>0</v>
      </c>
      <c r="H1058" s="21">
        <v>0</v>
      </c>
      <c r="I1058" s="12">
        <v>1</v>
      </c>
      <c r="J1058" s="16">
        <v>5.6944444444444438E-3</v>
      </c>
      <c r="K1058" s="12"/>
      <c r="L1058" s="12"/>
      <c r="M1058" s="12" t="s">
        <v>48</v>
      </c>
      <c r="N1058" s="12" t="s">
        <v>66</v>
      </c>
      <c r="O1058" s="12" t="s">
        <v>67</v>
      </c>
    </row>
    <row r="1059" spans="1:15" ht="21" customHeight="1" x14ac:dyDescent="0.3">
      <c r="A1059" s="17"/>
      <c r="B1059" s="2" t="s">
        <v>70</v>
      </c>
      <c r="C1059" s="3">
        <v>12</v>
      </c>
      <c r="D1059" s="4" t="s">
        <v>58</v>
      </c>
      <c r="E1059" s="2" t="s">
        <v>49</v>
      </c>
      <c r="F1059" s="2" t="s">
        <v>23</v>
      </c>
      <c r="G1059" s="5">
        <v>0</v>
      </c>
      <c r="H1059" s="20">
        <v>0</v>
      </c>
      <c r="I1059" s="2">
        <v>3</v>
      </c>
      <c r="J1059" s="6">
        <v>5.6944444444444438E-3</v>
      </c>
      <c r="K1059" s="2"/>
      <c r="L1059" s="2"/>
      <c r="M1059" s="2" t="s">
        <v>51</v>
      </c>
      <c r="N1059" s="2" t="s">
        <v>77</v>
      </c>
      <c r="O1059" s="2" t="s">
        <v>54</v>
      </c>
    </row>
    <row r="1060" spans="1:15" ht="21" customHeight="1" x14ac:dyDescent="0.3">
      <c r="A1060" s="17"/>
      <c r="B1060" s="12" t="s">
        <v>14</v>
      </c>
      <c r="C1060" s="13">
        <v>12</v>
      </c>
      <c r="D1060" s="14" t="s">
        <v>22</v>
      </c>
      <c r="E1060" s="12" t="s">
        <v>16</v>
      </c>
      <c r="F1060" s="12" t="s">
        <v>42</v>
      </c>
      <c r="G1060" s="15">
        <v>3</v>
      </c>
      <c r="H1060" s="21">
        <v>15000000</v>
      </c>
      <c r="I1060" s="12">
        <v>1</v>
      </c>
      <c r="J1060" s="16">
        <v>5.7870370370370376E-3</v>
      </c>
      <c r="K1060" s="12" t="s">
        <v>18</v>
      </c>
      <c r="L1060" s="12" t="s">
        <v>35</v>
      </c>
      <c r="M1060" s="12" t="s">
        <v>40</v>
      </c>
      <c r="N1060" s="12" t="s">
        <v>76</v>
      </c>
      <c r="O1060" s="12" t="s">
        <v>26</v>
      </c>
    </row>
    <row r="1061" spans="1:15" ht="21" customHeight="1" x14ac:dyDescent="0.3">
      <c r="A1061" s="17"/>
      <c r="B1061" s="2" t="s">
        <v>14</v>
      </c>
      <c r="C1061" s="3">
        <v>30</v>
      </c>
      <c r="D1061" s="4" t="s">
        <v>27</v>
      </c>
      <c r="E1061" s="2" t="s">
        <v>28</v>
      </c>
      <c r="F1061" s="2" t="s">
        <v>42</v>
      </c>
      <c r="G1061" s="5">
        <v>2</v>
      </c>
      <c r="H1061" s="20">
        <v>12000000</v>
      </c>
      <c r="I1061" s="2">
        <v>2</v>
      </c>
      <c r="J1061" s="6">
        <v>5.7870370370370376E-3</v>
      </c>
      <c r="K1061" s="2" t="s">
        <v>18</v>
      </c>
      <c r="L1061" s="2" t="s">
        <v>64</v>
      </c>
      <c r="M1061" s="2" t="s">
        <v>30</v>
      </c>
      <c r="N1061" s="2" t="s">
        <v>77</v>
      </c>
      <c r="O1061" s="2" t="s">
        <v>54</v>
      </c>
    </row>
    <row r="1062" spans="1:15" ht="21" customHeight="1" x14ac:dyDescent="0.3">
      <c r="A1062" s="17"/>
      <c r="B1062" s="12" t="s">
        <v>14</v>
      </c>
      <c r="C1062" s="13">
        <v>6</v>
      </c>
      <c r="D1062" s="14" t="s">
        <v>27</v>
      </c>
      <c r="E1062" s="12" t="s">
        <v>32</v>
      </c>
      <c r="F1062" s="12" t="s">
        <v>42</v>
      </c>
      <c r="G1062" s="15">
        <v>5</v>
      </c>
      <c r="H1062" s="21">
        <v>20000000</v>
      </c>
      <c r="I1062" s="12">
        <v>2</v>
      </c>
      <c r="J1062" s="16">
        <v>5.7870370370370376E-3</v>
      </c>
      <c r="K1062" s="12" t="s">
        <v>18</v>
      </c>
      <c r="L1062" s="12" t="s">
        <v>39</v>
      </c>
      <c r="M1062" s="12" t="s">
        <v>43</v>
      </c>
      <c r="N1062" s="12" t="s">
        <v>78</v>
      </c>
      <c r="O1062" s="12" t="s">
        <v>53</v>
      </c>
    </row>
    <row r="1063" spans="1:15" ht="21" customHeight="1" x14ac:dyDescent="0.3">
      <c r="A1063" s="17"/>
      <c r="B1063" s="2" t="s">
        <v>14</v>
      </c>
      <c r="C1063" s="3">
        <v>21</v>
      </c>
      <c r="D1063" s="4" t="s">
        <v>37</v>
      </c>
      <c r="E1063" s="2" t="s">
        <v>28</v>
      </c>
      <c r="F1063" s="2" t="s">
        <v>23</v>
      </c>
      <c r="G1063" s="5">
        <v>1</v>
      </c>
      <c r="H1063" s="20">
        <v>7000000</v>
      </c>
      <c r="I1063" s="2">
        <v>2</v>
      </c>
      <c r="J1063" s="6">
        <v>5.7870370370370376E-3</v>
      </c>
      <c r="K1063" s="2" t="s">
        <v>18</v>
      </c>
      <c r="L1063" s="2" t="s">
        <v>19</v>
      </c>
      <c r="M1063" s="2" t="s">
        <v>30</v>
      </c>
      <c r="N1063" s="2" t="s">
        <v>76</v>
      </c>
      <c r="O1063" s="2" t="s">
        <v>75</v>
      </c>
    </row>
    <row r="1064" spans="1:15" ht="21" customHeight="1" x14ac:dyDescent="0.3">
      <c r="A1064" s="17"/>
      <c r="B1064" s="12" t="s">
        <v>14</v>
      </c>
      <c r="C1064" s="13">
        <v>22</v>
      </c>
      <c r="D1064" s="14" t="s">
        <v>37</v>
      </c>
      <c r="E1064" s="12" t="s">
        <v>49</v>
      </c>
      <c r="F1064" s="12" t="s">
        <v>23</v>
      </c>
      <c r="G1064" s="15">
        <v>3</v>
      </c>
      <c r="H1064" s="21">
        <v>15000000</v>
      </c>
      <c r="I1064" s="12">
        <v>5</v>
      </c>
      <c r="J1064" s="16">
        <v>5.7870370370370376E-3</v>
      </c>
      <c r="K1064" s="12" t="s">
        <v>18</v>
      </c>
      <c r="L1064" s="12" t="s">
        <v>39</v>
      </c>
      <c r="M1064" s="12" t="s">
        <v>48</v>
      </c>
      <c r="N1064" s="12" t="s">
        <v>78</v>
      </c>
      <c r="O1064" s="12" t="s">
        <v>66</v>
      </c>
    </row>
    <row r="1065" spans="1:15" ht="21" customHeight="1" x14ac:dyDescent="0.3">
      <c r="A1065" s="17"/>
      <c r="B1065" s="2" t="s">
        <v>14</v>
      </c>
      <c r="C1065" s="3">
        <v>12</v>
      </c>
      <c r="D1065" s="4" t="s">
        <v>37</v>
      </c>
      <c r="E1065" s="2" t="s">
        <v>28</v>
      </c>
      <c r="F1065" s="2" t="s">
        <v>42</v>
      </c>
      <c r="G1065" s="5">
        <v>4</v>
      </c>
      <c r="H1065" s="20">
        <v>15000000</v>
      </c>
      <c r="I1065" s="2">
        <v>4</v>
      </c>
      <c r="J1065" s="6">
        <v>5.7870370370370376E-3</v>
      </c>
      <c r="K1065" s="2" t="s">
        <v>18</v>
      </c>
      <c r="L1065" s="2" t="s">
        <v>56</v>
      </c>
      <c r="M1065" s="2" t="s">
        <v>33</v>
      </c>
      <c r="N1065" s="2" t="s">
        <v>76</v>
      </c>
      <c r="O1065" s="2" t="s">
        <v>52</v>
      </c>
    </row>
    <row r="1066" spans="1:15" ht="21" customHeight="1" x14ac:dyDescent="0.3">
      <c r="A1066" s="17"/>
      <c r="B1066" s="12" t="s">
        <v>14</v>
      </c>
      <c r="C1066" s="13">
        <v>23</v>
      </c>
      <c r="D1066" s="14" t="s">
        <v>44</v>
      </c>
      <c r="E1066" s="12" t="s">
        <v>28</v>
      </c>
      <c r="F1066" s="12" t="s">
        <v>23</v>
      </c>
      <c r="G1066" s="15">
        <v>2</v>
      </c>
      <c r="H1066" s="21">
        <v>12000000</v>
      </c>
      <c r="I1066" s="12">
        <v>1</v>
      </c>
      <c r="J1066" s="16">
        <v>5.7870370370370376E-3</v>
      </c>
      <c r="K1066" s="12" t="s">
        <v>18</v>
      </c>
      <c r="L1066" s="12" t="s">
        <v>35</v>
      </c>
      <c r="M1066" s="12" t="s">
        <v>25</v>
      </c>
      <c r="N1066" s="12" t="s">
        <v>78</v>
      </c>
      <c r="O1066" s="12" t="s">
        <v>41</v>
      </c>
    </row>
    <row r="1067" spans="1:15" ht="21" customHeight="1" x14ac:dyDescent="0.3">
      <c r="A1067" s="17"/>
      <c r="B1067" s="2" t="s">
        <v>14</v>
      </c>
      <c r="C1067" s="3">
        <v>29</v>
      </c>
      <c r="D1067" s="4" t="s">
        <v>44</v>
      </c>
      <c r="E1067" s="2" t="s">
        <v>38</v>
      </c>
      <c r="F1067" s="2" t="s">
        <v>17</v>
      </c>
      <c r="G1067" s="5">
        <v>2</v>
      </c>
      <c r="H1067" s="20">
        <v>12000000</v>
      </c>
      <c r="I1067" s="2">
        <v>2</v>
      </c>
      <c r="J1067" s="6">
        <v>5.7870370370370376E-3</v>
      </c>
      <c r="K1067" s="2" t="s">
        <v>18</v>
      </c>
      <c r="L1067" s="2" t="s">
        <v>39</v>
      </c>
      <c r="M1067" s="2" t="s">
        <v>48</v>
      </c>
      <c r="N1067" s="2" t="s">
        <v>78</v>
      </c>
      <c r="O1067" s="2" t="s">
        <v>53</v>
      </c>
    </row>
    <row r="1068" spans="1:15" ht="21" customHeight="1" x14ac:dyDescent="0.3">
      <c r="A1068" s="17"/>
      <c r="B1068" s="12" t="s">
        <v>14</v>
      </c>
      <c r="C1068" s="13">
        <v>21</v>
      </c>
      <c r="D1068" s="14" t="s">
        <v>69</v>
      </c>
      <c r="E1068" s="12" t="s">
        <v>16</v>
      </c>
      <c r="F1068" s="12" t="s">
        <v>42</v>
      </c>
      <c r="G1068" s="15">
        <v>1</v>
      </c>
      <c r="H1068" s="21">
        <v>19000000</v>
      </c>
      <c r="I1068" s="12">
        <v>2</v>
      </c>
      <c r="J1068" s="16">
        <v>5.7870370370370376E-3</v>
      </c>
      <c r="K1068" s="12" t="s">
        <v>46</v>
      </c>
      <c r="L1068" s="12" t="s">
        <v>56</v>
      </c>
      <c r="M1068" s="12" t="s">
        <v>30</v>
      </c>
      <c r="N1068" s="12" t="s">
        <v>78</v>
      </c>
      <c r="O1068" s="12" t="s">
        <v>66</v>
      </c>
    </row>
    <row r="1069" spans="1:15" ht="21" customHeight="1" x14ac:dyDescent="0.3">
      <c r="A1069" s="17"/>
      <c r="B1069" s="2" t="s">
        <v>14</v>
      </c>
      <c r="C1069" s="3">
        <v>24</v>
      </c>
      <c r="D1069" s="4" t="s">
        <v>69</v>
      </c>
      <c r="E1069" s="2" t="s">
        <v>16</v>
      </c>
      <c r="F1069" s="2" t="s">
        <v>23</v>
      </c>
      <c r="G1069" s="5">
        <v>3</v>
      </c>
      <c r="H1069" s="20">
        <v>15000000</v>
      </c>
      <c r="I1069" s="2">
        <v>1</v>
      </c>
      <c r="J1069" s="6">
        <v>5.7870370370370376E-3</v>
      </c>
      <c r="K1069" s="2" t="s">
        <v>18</v>
      </c>
      <c r="L1069" s="2" t="s">
        <v>24</v>
      </c>
      <c r="M1069" s="2" t="s">
        <v>33</v>
      </c>
      <c r="N1069" s="2" t="s">
        <v>76</v>
      </c>
      <c r="O1069" s="2" t="s">
        <v>26</v>
      </c>
    </row>
    <row r="1070" spans="1:15" ht="21" customHeight="1" x14ac:dyDescent="0.3">
      <c r="A1070" s="17"/>
      <c r="B1070" s="12" t="s">
        <v>70</v>
      </c>
      <c r="C1070" s="13">
        <v>20</v>
      </c>
      <c r="D1070" s="14" t="s">
        <v>27</v>
      </c>
      <c r="E1070" s="12" t="s">
        <v>16</v>
      </c>
      <c r="F1070" s="12" t="s">
        <v>42</v>
      </c>
      <c r="G1070" s="15">
        <v>0</v>
      </c>
      <c r="H1070" s="21">
        <v>0</v>
      </c>
      <c r="I1070" s="12">
        <v>1</v>
      </c>
      <c r="J1070" s="16">
        <v>5.7870370370370376E-3</v>
      </c>
      <c r="K1070" s="12"/>
      <c r="L1070" s="12"/>
      <c r="M1070" s="12" t="s">
        <v>48</v>
      </c>
      <c r="N1070" s="12" t="s">
        <v>76</v>
      </c>
      <c r="O1070" s="12" t="s">
        <v>52</v>
      </c>
    </row>
    <row r="1071" spans="1:15" ht="21" customHeight="1" x14ac:dyDescent="0.3">
      <c r="A1071" s="17"/>
      <c r="B1071" s="2" t="s">
        <v>70</v>
      </c>
      <c r="C1071" s="3">
        <v>8</v>
      </c>
      <c r="D1071" s="4" t="s">
        <v>37</v>
      </c>
      <c r="E1071" s="2" t="s">
        <v>38</v>
      </c>
      <c r="F1071" s="2" t="s">
        <v>42</v>
      </c>
      <c r="G1071" s="5">
        <v>0</v>
      </c>
      <c r="H1071" s="20">
        <v>0</v>
      </c>
      <c r="I1071" s="2">
        <v>5</v>
      </c>
      <c r="J1071" s="6">
        <v>5.7870370370370376E-3</v>
      </c>
      <c r="K1071" s="2"/>
      <c r="L1071" s="2"/>
      <c r="M1071" s="2" t="s">
        <v>20</v>
      </c>
      <c r="N1071" s="2" t="s">
        <v>77</v>
      </c>
      <c r="O1071" s="2" t="s">
        <v>54</v>
      </c>
    </row>
    <row r="1072" spans="1:15" ht="21" customHeight="1" x14ac:dyDescent="0.3">
      <c r="A1072" s="17"/>
      <c r="B1072" s="12" t="s">
        <v>70</v>
      </c>
      <c r="C1072" s="13">
        <v>31</v>
      </c>
      <c r="D1072" s="14" t="s">
        <v>69</v>
      </c>
      <c r="E1072" s="12" t="s">
        <v>16</v>
      </c>
      <c r="F1072" s="12" t="s">
        <v>42</v>
      </c>
      <c r="G1072" s="15">
        <v>0</v>
      </c>
      <c r="H1072" s="21">
        <v>0</v>
      </c>
      <c r="I1072" s="12">
        <v>1</v>
      </c>
      <c r="J1072" s="16">
        <v>5.7870370370370376E-3</v>
      </c>
      <c r="K1072" s="12"/>
      <c r="L1072" s="12"/>
      <c r="M1072" s="12" t="s">
        <v>51</v>
      </c>
      <c r="N1072" s="12" t="s">
        <v>66</v>
      </c>
      <c r="O1072" s="12" t="s">
        <v>36</v>
      </c>
    </row>
    <row r="1073" spans="1:15" ht="21" customHeight="1" x14ac:dyDescent="0.3">
      <c r="A1073" s="17"/>
      <c r="B1073" s="2" t="s">
        <v>14</v>
      </c>
      <c r="C1073" s="3">
        <v>30</v>
      </c>
      <c r="D1073" s="4" t="s">
        <v>22</v>
      </c>
      <c r="E1073" s="2" t="s">
        <v>28</v>
      </c>
      <c r="F1073" s="2" t="s">
        <v>17</v>
      </c>
      <c r="G1073" s="5">
        <v>2</v>
      </c>
      <c r="H1073" s="20">
        <v>38000000</v>
      </c>
      <c r="I1073" s="2">
        <v>2</v>
      </c>
      <c r="J1073" s="6">
        <v>6.0185185185185177E-3</v>
      </c>
      <c r="K1073" s="2" t="s">
        <v>46</v>
      </c>
      <c r="L1073" s="2" t="s">
        <v>56</v>
      </c>
      <c r="M1073" s="2" t="s">
        <v>20</v>
      </c>
      <c r="N1073" s="2" t="s">
        <v>76</v>
      </c>
      <c r="O1073" s="2" t="s">
        <v>31</v>
      </c>
    </row>
    <row r="1074" spans="1:15" ht="21" customHeight="1" x14ac:dyDescent="0.3">
      <c r="A1074" s="17"/>
      <c r="B1074" s="12" t="s">
        <v>14</v>
      </c>
      <c r="C1074" s="13">
        <v>28</v>
      </c>
      <c r="D1074" s="14" t="s">
        <v>27</v>
      </c>
      <c r="E1074" s="12" t="s">
        <v>16</v>
      </c>
      <c r="F1074" s="12" t="s">
        <v>42</v>
      </c>
      <c r="G1074" s="15">
        <v>2</v>
      </c>
      <c r="H1074" s="21">
        <v>12000000</v>
      </c>
      <c r="I1074" s="12">
        <v>2</v>
      </c>
      <c r="J1074" s="16">
        <v>6.0185185185185177E-3</v>
      </c>
      <c r="K1074" s="12" t="s">
        <v>18</v>
      </c>
      <c r="L1074" s="12" t="s">
        <v>29</v>
      </c>
      <c r="M1074" s="12" t="s">
        <v>30</v>
      </c>
      <c r="N1074" s="12" t="s">
        <v>66</v>
      </c>
      <c r="O1074" s="12" t="s">
        <v>67</v>
      </c>
    </row>
    <row r="1075" spans="1:15" ht="21" customHeight="1" x14ac:dyDescent="0.3">
      <c r="A1075" s="17"/>
      <c r="B1075" s="2" t="s">
        <v>14</v>
      </c>
      <c r="C1075" s="3">
        <v>28</v>
      </c>
      <c r="D1075" s="4" t="s">
        <v>27</v>
      </c>
      <c r="E1075" s="2" t="s">
        <v>38</v>
      </c>
      <c r="F1075" s="2" t="s">
        <v>23</v>
      </c>
      <c r="G1075" s="5">
        <v>3</v>
      </c>
      <c r="H1075" s="20">
        <v>15000000</v>
      </c>
      <c r="I1075" s="2">
        <v>2</v>
      </c>
      <c r="J1075" s="6">
        <v>6.0185185185185177E-3</v>
      </c>
      <c r="K1075" s="2" t="s">
        <v>18</v>
      </c>
      <c r="L1075" s="2" t="s">
        <v>19</v>
      </c>
      <c r="M1075" s="2" t="s">
        <v>30</v>
      </c>
      <c r="N1075" s="2" t="s">
        <v>66</v>
      </c>
      <c r="O1075" s="2" t="s">
        <v>67</v>
      </c>
    </row>
    <row r="1076" spans="1:15" ht="21" customHeight="1" x14ac:dyDescent="0.3">
      <c r="A1076" s="17"/>
      <c r="B1076" s="12" t="s">
        <v>14</v>
      </c>
      <c r="C1076" s="13">
        <v>30</v>
      </c>
      <c r="D1076" s="14" t="s">
        <v>27</v>
      </c>
      <c r="E1076" s="12" t="s">
        <v>73</v>
      </c>
      <c r="F1076" s="12" t="s">
        <v>23</v>
      </c>
      <c r="G1076" s="15">
        <v>3</v>
      </c>
      <c r="H1076" s="21">
        <v>15000000</v>
      </c>
      <c r="I1076" s="12">
        <v>4</v>
      </c>
      <c r="J1076" s="16">
        <v>6.0185185185185177E-3</v>
      </c>
      <c r="K1076" s="12" t="s">
        <v>18</v>
      </c>
      <c r="L1076" s="12" t="s">
        <v>56</v>
      </c>
      <c r="M1076" s="12" t="s">
        <v>33</v>
      </c>
      <c r="N1076" s="12" t="s">
        <v>76</v>
      </c>
      <c r="O1076" s="12" t="s">
        <v>26</v>
      </c>
    </row>
    <row r="1077" spans="1:15" ht="21" customHeight="1" x14ac:dyDescent="0.3">
      <c r="A1077" s="17"/>
      <c r="B1077" s="2" t="s">
        <v>14</v>
      </c>
      <c r="C1077" s="3">
        <v>30</v>
      </c>
      <c r="D1077" s="4" t="s">
        <v>27</v>
      </c>
      <c r="E1077" s="2" t="s">
        <v>32</v>
      </c>
      <c r="F1077" s="2" t="s">
        <v>17</v>
      </c>
      <c r="G1077" s="5">
        <v>2</v>
      </c>
      <c r="H1077" s="20">
        <v>12000000</v>
      </c>
      <c r="I1077" s="2">
        <v>2</v>
      </c>
      <c r="J1077" s="6">
        <v>6.0185185185185177E-3</v>
      </c>
      <c r="K1077" s="2" t="s">
        <v>18</v>
      </c>
      <c r="L1077" s="2" t="s">
        <v>56</v>
      </c>
      <c r="M1077" s="2" t="s">
        <v>43</v>
      </c>
      <c r="N1077" s="2" t="s">
        <v>76</v>
      </c>
      <c r="O1077" s="2" t="s">
        <v>26</v>
      </c>
    </row>
    <row r="1078" spans="1:15" ht="21" customHeight="1" x14ac:dyDescent="0.3">
      <c r="A1078" s="17"/>
      <c r="B1078" s="12" t="s">
        <v>14</v>
      </c>
      <c r="C1078" s="13">
        <v>6</v>
      </c>
      <c r="D1078" s="14" t="s">
        <v>27</v>
      </c>
      <c r="E1078" s="12" t="s">
        <v>73</v>
      </c>
      <c r="F1078" s="12" t="s">
        <v>23</v>
      </c>
      <c r="G1078" s="15">
        <v>3</v>
      </c>
      <c r="H1078" s="21">
        <v>15000000</v>
      </c>
      <c r="I1078" s="12">
        <v>4</v>
      </c>
      <c r="J1078" s="16">
        <v>6.0185185185185177E-3</v>
      </c>
      <c r="K1078" s="12" t="s">
        <v>18</v>
      </c>
      <c r="L1078" s="12" t="s">
        <v>39</v>
      </c>
      <c r="M1078" s="12" t="s">
        <v>48</v>
      </c>
      <c r="N1078" s="12" t="s">
        <v>76</v>
      </c>
      <c r="O1078" s="12" t="s">
        <v>26</v>
      </c>
    </row>
    <row r="1079" spans="1:15" ht="21" customHeight="1" x14ac:dyDescent="0.3">
      <c r="A1079" s="17"/>
      <c r="B1079" s="2" t="s">
        <v>14</v>
      </c>
      <c r="C1079" s="3">
        <v>27</v>
      </c>
      <c r="D1079" s="4" t="s">
        <v>37</v>
      </c>
      <c r="E1079" s="2" t="s">
        <v>16</v>
      </c>
      <c r="F1079" s="2" t="s">
        <v>23</v>
      </c>
      <c r="G1079" s="5">
        <v>4</v>
      </c>
      <c r="H1079" s="20">
        <v>20000000</v>
      </c>
      <c r="I1079" s="2">
        <v>5</v>
      </c>
      <c r="J1079" s="6">
        <v>6.0185185185185177E-3</v>
      </c>
      <c r="K1079" s="2" t="s">
        <v>61</v>
      </c>
      <c r="L1079" s="2" t="s">
        <v>56</v>
      </c>
      <c r="M1079" s="2" t="s">
        <v>51</v>
      </c>
      <c r="N1079" s="2" t="s">
        <v>76</v>
      </c>
      <c r="O1079" s="2" t="s">
        <v>52</v>
      </c>
    </row>
    <row r="1080" spans="1:15" ht="21" customHeight="1" x14ac:dyDescent="0.3">
      <c r="A1080" s="17"/>
      <c r="B1080" s="12" t="s">
        <v>14</v>
      </c>
      <c r="C1080" s="13">
        <v>11</v>
      </c>
      <c r="D1080" s="14" t="s">
        <v>37</v>
      </c>
      <c r="E1080" s="12" t="s">
        <v>49</v>
      </c>
      <c r="F1080" s="12" t="s">
        <v>17</v>
      </c>
      <c r="G1080" s="15">
        <v>1</v>
      </c>
      <c r="H1080" s="21">
        <v>7000000</v>
      </c>
      <c r="I1080" s="12">
        <v>1</v>
      </c>
      <c r="J1080" s="16">
        <v>6.0185185185185177E-3</v>
      </c>
      <c r="K1080" s="12" t="s">
        <v>18</v>
      </c>
      <c r="L1080" s="12" t="s">
        <v>19</v>
      </c>
      <c r="M1080" s="12" t="s">
        <v>30</v>
      </c>
      <c r="N1080" s="12" t="s">
        <v>77</v>
      </c>
      <c r="O1080" s="12" t="s">
        <v>54</v>
      </c>
    </row>
    <row r="1081" spans="1:15" ht="21" customHeight="1" x14ac:dyDescent="0.3">
      <c r="A1081" s="17"/>
      <c r="B1081" s="2" t="s">
        <v>14</v>
      </c>
      <c r="C1081" s="3">
        <v>29</v>
      </c>
      <c r="D1081" s="4" t="s">
        <v>37</v>
      </c>
      <c r="E1081" s="2" t="s">
        <v>38</v>
      </c>
      <c r="F1081" s="2" t="s">
        <v>42</v>
      </c>
      <c r="G1081" s="5">
        <v>2</v>
      </c>
      <c r="H1081" s="20">
        <v>12000000</v>
      </c>
      <c r="I1081" s="2">
        <v>2</v>
      </c>
      <c r="J1081" s="6">
        <v>6.0185185185185177E-3</v>
      </c>
      <c r="K1081" s="2" t="s">
        <v>18</v>
      </c>
      <c r="L1081" s="2" t="s">
        <v>35</v>
      </c>
      <c r="M1081" s="2" t="s">
        <v>30</v>
      </c>
      <c r="N1081" s="2" t="s">
        <v>78</v>
      </c>
      <c r="O1081" s="2" t="s">
        <v>41</v>
      </c>
    </row>
    <row r="1082" spans="1:15" ht="21" customHeight="1" x14ac:dyDescent="0.3">
      <c r="A1082" s="17"/>
      <c r="B1082" s="12" t="s">
        <v>14</v>
      </c>
      <c r="C1082" s="13">
        <v>7</v>
      </c>
      <c r="D1082" s="14" t="s">
        <v>37</v>
      </c>
      <c r="E1082" s="12" t="s">
        <v>38</v>
      </c>
      <c r="F1082" s="12" t="s">
        <v>17</v>
      </c>
      <c r="G1082" s="15">
        <v>2</v>
      </c>
      <c r="H1082" s="21">
        <v>12000000</v>
      </c>
      <c r="I1082" s="12">
        <v>7</v>
      </c>
      <c r="J1082" s="16">
        <v>6.0185185185185177E-3</v>
      </c>
      <c r="K1082" s="12" t="s">
        <v>18</v>
      </c>
      <c r="L1082" s="12" t="s">
        <v>19</v>
      </c>
      <c r="M1082" s="12" t="s">
        <v>20</v>
      </c>
      <c r="N1082" s="12" t="s">
        <v>77</v>
      </c>
      <c r="O1082" s="12" t="s">
        <v>65</v>
      </c>
    </row>
    <row r="1083" spans="1:15" ht="21" customHeight="1" x14ac:dyDescent="0.3">
      <c r="A1083" s="17"/>
      <c r="B1083" s="2" t="s">
        <v>14</v>
      </c>
      <c r="C1083" s="3">
        <v>8</v>
      </c>
      <c r="D1083" s="4" t="s">
        <v>37</v>
      </c>
      <c r="E1083" s="2" t="s">
        <v>16</v>
      </c>
      <c r="F1083" s="2" t="s">
        <v>42</v>
      </c>
      <c r="G1083" s="5">
        <v>3</v>
      </c>
      <c r="H1083" s="20">
        <v>15000000</v>
      </c>
      <c r="I1083" s="2">
        <v>2</v>
      </c>
      <c r="J1083" s="6">
        <v>6.0185185185185177E-3</v>
      </c>
      <c r="K1083" s="2" t="s">
        <v>18</v>
      </c>
      <c r="L1083" s="2" t="s">
        <v>24</v>
      </c>
      <c r="M1083" s="2" t="s">
        <v>43</v>
      </c>
      <c r="N1083" s="2" t="s">
        <v>76</v>
      </c>
      <c r="O1083" s="2" t="s">
        <v>71</v>
      </c>
    </row>
    <row r="1084" spans="1:15" ht="21" customHeight="1" x14ac:dyDescent="0.3">
      <c r="A1084" s="17"/>
      <c r="B1084" s="12" t="s">
        <v>14</v>
      </c>
      <c r="C1084" s="13">
        <v>11</v>
      </c>
      <c r="D1084" s="14" t="s">
        <v>37</v>
      </c>
      <c r="E1084" s="12" t="s">
        <v>28</v>
      </c>
      <c r="F1084" s="12" t="s">
        <v>68</v>
      </c>
      <c r="G1084" s="15">
        <v>4</v>
      </c>
      <c r="H1084" s="21">
        <v>20000000</v>
      </c>
      <c r="I1084" s="12">
        <v>5</v>
      </c>
      <c r="J1084" s="16">
        <v>6.0185185185185177E-3</v>
      </c>
      <c r="K1084" s="12" t="s">
        <v>18</v>
      </c>
      <c r="L1084" s="12" t="s">
        <v>39</v>
      </c>
      <c r="M1084" s="12" t="s">
        <v>51</v>
      </c>
      <c r="N1084" s="12" t="s">
        <v>77</v>
      </c>
      <c r="O1084" s="12" t="s">
        <v>54</v>
      </c>
    </row>
    <row r="1085" spans="1:15" ht="21" customHeight="1" x14ac:dyDescent="0.3">
      <c r="A1085" s="17"/>
      <c r="B1085" s="2" t="s">
        <v>14</v>
      </c>
      <c r="C1085" s="3">
        <v>22</v>
      </c>
      <c r="D1085" s="4" t="s">
        <v>44</v>
      </c>
      <c r="E1085" s="2" t="s">
        <v>28</v>
      </c>
      <c r="F1085" s="2" t="s">
        <v>17</v>
      </c>
      <c r="G1085" s="5">
        <v>1</v>
      </c>
      <c r="H1085" s="20">
        <v>19000000</v>
      </c>
      <c r="I1085" s="2">
        <v>1</v>
      </c>
      <c r="J1085" s="6">
        <v>6.0185185185185177E-3</v>
      </c>
      <c r="K1085" s="2" t="s">
        <v>46</v>
      </c>
      <c r="L1085" s="2" t="s">
        <v>29</v>
      </c>
      <c r="M1085" s="2" t="s">
        <v>40</v>
      </c>
      <c r="N1085" s="2" t="s">
        <v>76</v>
      </c>
      <c r="O1085" s="2" t="s">
        <v>26</v>
      </c>
    </row>
    <row r="1086" spans="1:15" ht="21" customHeight="1" x14ac:dyDescent="0.3">
      <c r="A1086" s="17"/>
      <c r="B1086" s="12" t="s">
        <v>14</v>
      </c>
      <c r="C1086" s="13">
        <v>6</v>
      </c>
      <c r="D1086" s="14" t="s">
        <v>44</v>
      </c>
      <c r="E1086" s="12" t="s">
        <v>16</v>
      </c>
      <c r="F1086" s="12" t="s">
        <v>42</v>
      </c>
      <c r="G1086" s="15">
        <v>4</v>
      </c>
      <c r="H1086" s="21">
        <v>20000000</v>
      </c>
      <c r="I1086" s="12">
        <v>1</v>
      </c>
      <c r="J1086" s="16">
        <v>6.0185185185185177E-3</v>
      </c>
      <c r="K1086" s="12" t="s">
        <v>61</v>
      </c>
      <c r="L1086" s="12" t="s">
        <v>64</v>
      </c>
      <c r="M1086" s="12" t="s">
        <v>30</v>
      </c>
      <c r="N1086" s="12" t="s">
        <v>78</v>
      </c>
      <c r="O1086" s="12" t="s">
        <v>66</v>
      </c>
    </row>
    <row r="1087" spans="1:15" ht="21" customHeight="1" x14ac:dyDescent="0.3">
      <c r="A1087" s="17"/>
      <c r="B1087" s="2" t="s">
        <v>14</v>
      </c>
      <c r="C1087" s="3">
        <v>1</v>
      </c>
      <c r="D1087" s="4" t="s">
        <v>44</v>
      </c>
      <c r="E1087" s="2" t="s">
        <v>32</v>
      </c>
      <c r="F1087" s="2" t="s">
        <v>17</v>
      </c>
      <c r="G1087" s="5">
        <v>2</v>
      </c>
      <c r="H1087" s="20">
        <v>12000000</v>
      </c>
      <c r="I1087" s="2">
        <v>1</v>
      </c>
      <c r="J1087" s="6">
        <v>6.0185185185185177E-3</v>
      </c>
      <c r="K1087" s="2" t="s">
        <v>18</v>
      </c>
      <c r="L1087" s="2" t="s">
        <v>29</v>
      </c>
      <c r="M1087" s="2" t="s">
        <v>30</v>
      </c>
      <c r="N1087" s="2" t="s">
        <v>78</v>
      </c>
      <c r="O1087" s="2" t="s">
        <v>53</v>
      </c>
    </row>
    <row r="1088" spans="1:15" ht="21" customHeight="1" x14ac:dyDescent="0.3">
      <c r="A1088" s="17"/>
      <c r="B1088" s="12" t="s">
        <v>14</v>
      </c>
      <c r="C1088" s="13">
        <v>14</v>
      </c>
      <c r="D1088" s="14" t="s">
        <v>44</v>
      </c>
      <c r="E1088" s="12" t="s">
        <v>38</v>
      </c>
      <c r="F1088" s="12" t="s">
        <v>42</v>
      </c>
      <c r="G1088" s="15">
        <v>5</v>
      </c>
      <c r="H1088" s="21">
        <v>25000000</v>
      </c>
      <c r="I1088" s="12">
        <v>1</v>
      </c>
      <c r="J1088" s="16">
        <v>6.0185185185185177E-3</v>
      </c>
      <c r="K1088" s="12" t="s">
        <v>18</v>
      </c>
      <c r="L1088" s="12" t="s">
        <v>50</v>
      </c>
      <c r="M1088" s="12" t="s">
        <v>30</v>
      </c>
      <c r="N1088" s="12" t="s">
        <v>76</v>
      </c>
      <c r="O1088" s="12" t="s">
        <v>31</v>
      </c>
    </row>
    <row r="1089" spans="1:15" ht="21" customHeight="1" x14ac:dyDescent="0.3">
      <c r="A1089" s="17"/>
      <c r="B1089" s="2" t="s">
        <v>14</v>
      </c>
      <c r="C1089" s="3">
        <v>10</v>
      </c>
      <c r="D1089" s="4" t="s">
        <v>44</v>
      </c>
      <c r="E1089" s="2" t="s">
        <v>16</v>
      </c>
      <c r="F1089" s="2" t="s">
        <v>23</v>
      </c>
      <c r="G1089" s="5">
        <v>1</v>
      </c>
      <c r="H1089" s="20">
        <v>7000000</v>
      </c>
      <c r="I1089" s="2">
        <v>2</v>
      </c>
      <c r="J1089" s="6">
        <v>6.0185185185185177E-3</v>
      </c>
      <c r="K1089" s="2" t="s">
        <v>18</v>
      </c>
      <c r="L1089" s="2" t="s">
        <v>64</v>
      </c>
      <c r="M1089" s="2" t="s">
        <v>48</v>
      </c>
      <c r="N1089" s="2" t="s">
        <v>78</v>
      </c>
      <c r="O1089" s="2" t="s">
        <v>66</v>
      </c>
    </row>
    <row r="1090" spans="1:15" ht="21" customHeight="1" x14ac:dyDescent="0.3">
      <c r="A1090" s="17"/>
      <c r="B1090" s="12" t="s">
        <v>14</v>
      </c>
      <c r="C1090" s="13">
        <v>13</v>
      </c>
      <c r="D1090" s="14" t="s">
        <v>69</v>
      </c>
      <c r="E1090" s="12" t="s">
        <v>32</v>
      </c>
      <c r="F1090" s="12" t="s">
        <v>42</v>
      </c>
      <c r="G1090" s="15">
        <v>1</v>
      </c>
      <c r="H1090" s="21">
        <v>19000000</v>
      </c>
      <c r="I1090" s="12">
        <v>2</v>
      </c>
      <c r="J1090" s="16">
        <v>6.0185185185185177E-3</v>
      </c>
      <c r="K1090" s="12" t="s">
        <v>46</v>
      </c>
      <c r="L1090" s="12" t="s">
        <v>19</v>
      </c>
      <c r="M1090" s="12" t="s">
        <v>51</v>
      </c>
      <c r="N1090" s="12" t="s">
        <v>78</v>
      </c>
      <c r="O1090" s="12" t="s">
        <v>41</v>
      </c>
    </row>
    <row r="1091" spans="1:15" ht="21" customHeight="1" x14ac:dyDescent="0.3">
      <c r="A1091" s="17"/>
      <c r="B1091" s="2" t="s">
        <v>14</v>
      </c>
      <c r="C1091" s="3">
        <v>16</v>
      </c>
      <c r="D1091" s="4" t="s">
        <v>69</v>
      </c>
      <c r="E1091" s="2" t="s">
        <v>16</v>
      </c>
      <c r="F1091" s="2" t="s">
        <v>17</v>
      </c>
      <c r="G1091" s="5">
        <v>5</v>
      </c>
      <c r="H1091" s="20">
        <v>20000000</v>
      </c>
      <c r="I1091" s="2">
        <v>4</v>
      </c>
      <c r="J1091" s="6">
        <v>6.0185185185185177E-3</v>
      </c>
      <c r="K1091" s="2" t="s">
        <v>18</v>
      </c>
      <c r="L1091" s="2" t="s">
        <v>56</v>
      </c>
      <c r="M1091" s="2" t="s">
        <v>33</v>
      </c>
      <c r="N1091" s="2" t="s">
        <v>76</v>
      </c>
      <c r="O1091" s="2" t="s">
        <v>52</v>
      </c>
    </row>
    <row r="1092" spans="1:15" ht="21" customHeight="1" x14ac:dyDescent="0.3">
      <c r="A1092" s="17"/>
      <c r="B1092" s="12" t="s">
        <v>14</v>
      </c>
      <c r="C1092" s="13">
        <v>17</v>
      </c>
      <c r="D1092" s="14" t="s">
        <v>69</v>
      </c>
      <c r="E1092" s="12" t="s">
        <v>32</v>
      </c>
      <c r="F1092" s="12" t="s">
        <v>42</v>
      </c>
      <c r="G1092" s="15">
        <v>5</v>
      </c>
      <c r="H1092" s="21">
        <v>21000000</v>
      </c>
      <c r="I1092" s="12">
        <v>6</v>
      </c>
      <c r="J1092" s="16">
        <v>6.0185185185185177E-3</v>
      </c>
      <c r="K1092" s="12" t="s">
        <v>18</v>
      </c>
      <c r="L1092" s="12" t="s">
        <v>29</v>
      </c>
      <c r="M1092" s="12" t="s">
        <v>33</v>
      </c>
      <c r="N1092" s="12" t="s">
        <v>66</v>
      </c>
      <c r="O1092" s="12" t="s">
        <v>36</v>
      </c>
    </row>
    <row r="1093" spans="1:15" ht="21" customHeight="1" x14ac:dyDescent="0.3">
      <c r="A1093" s="17"/>
      <c r="B1093" s="2" t="s">
        <v>14</v>
      </c>
      <c r="C1093" s="3">
        <v>30</v>
      </c>
      <c r="D1093" s="4" t="s">
        <v>22</v>
      </c>
      <c r="E1093" s="2" t="s">
        <v>28</v>
      </c>
      <c r="F1093" s="2" t="s">
        <v>17</v>
      </c>
      <c r="G1093" s="5">
        <v>2</v>
      </c>
      <c r="H1093" s="20">
        <v>38000000</v>
      </c>
      <c r="I1093" s="2">
        <v>2</v>
      </c>
      <c r="J1093" s="6">
        <v>6.0185185185185177E-3</v>
      </c>
      <c r="K1093" s="2" t="s">
        <v>46</v>
      </c>
      <c r="L1093" s="2" t="s">
        <v>56</v>
      </c>
      <c r="M1093" s="2" t="s">
        <v>20</v>
      </c>
      <c r="N1093" s="2" t="s">
        <v>76</v>
      </c>
      <c r="O1093" s="2" t="s">
        <v>31</v>
      </c>
    </row>
    <row r="1094" spans="1:15" ht="21" customHeight="1" x14ac:dyDescent="0.3">
      <c r="A1094" s="17"/>
      <c r="B1094" s="12" t="s">
        <v>70</v>
      </c>
      <c r="C1094" s="13">
        <v>5</v>
      </c>
      <c r="D1094" s="14" t="s">
        <v>55</v>
      </c>
      <c r="E1094" s="12" t="s">
        <v>16</v>
      </c>
      <c r="F1094" s="12" t="s">
        <v>45</v>
      </c>
      <c r="G1094" s="15">
        <v>0</v>
      </c>
      <c r="H1094" s="21">
        <v>0</v>
      </c>
      <c r="I1094" s="12">
        <v>4</v>
      </c>
      <c r="J1094" s="16">
        <v>6.0185185185185177E-3</v>
      </c>
      <c r="K1094" s="12"/>
      <c r="L1094" s="12"/>
      <c r="M1094" s="12" t="s">
        <v>48</v>
      </c>
      <c r="N1094" s="12" t="s">
        <v>76</v>
      </c>
      <c r="O1094" s="12" t="s">
        <v>26</v>
      </c>
    </row>
    <row r="1095" spans="1:15" ht="21" customHeight="1" x14ac:dyDescent="0.3">
      <c r="A1095" s="17"/>
      <c r="B1095" s="2" t="s">
        <v>70</v>
      </c>
      <c r="C1095" s="3">
        <v>10</v>
      </c>
      <c r="D1095" s="4" t="s">
        <v>72</v>
      </c>
      <c r="E1095" s="2" t="s">
        <v>38</v>
      </c>
      <c r="F1095" s="2" t="s">
        <v>23</v>
      </c>
      <c r="G1095" s="5">
        <v>0</v>
      </c>
      <c r="H1095" s="20">
        <v>0</v>
      </c>
      <c r="I1095" s="2">
        <v>3</v>
      </c>
      <c r="J1095" s="6">
        <v>6.0185185185185177E-3</v>
      </c>
      <c r="K1095" s="2"/>
      <c r="L1095" s="2"/>
      <c r="M1095" s="2" t="s">
        <v>51</v>
      </c>
      <c r="N1095" s="2" t="s">
        <v>66</v>
      </c>
      <c r="O1095" s="2" t="s">
        <v>36</v>
      </c>
    </row>
    <row r="1096" spans="1:15" ht="21" customHeight="1" x14ac:dyDescent="0.3">
      <c r="A1096" s="17"/>
      <c r="B1096" s="12" t="s">
        <v>70</v>
      </c>
      <c r="C1096" s="13">
        <v>12</v>
      </c>
      <c r="D1096" s="14" t="s">
        <v>22</v>
      </c>
      <c r="E1096" s="12" t="s">
        <v>38</v>
      </c>
      <c r="F1096" s="12" t="s">
        <v>45</v>
      </c>
      <c r="G1096" s="15">
        <v>0</v>
      </c>
      <c r="H1096" s="21">
        <v>0</v>
      </c>
      <c r="I1096" s="12">
        <v>1</v>
      </c>
      <c r="J1096" s="16">
        <v>6.0185185185185177E-3</v>
      </c>
      <c r="K1096" s="12"/>
      <c r="L1096" s="12"/>
      <c r="M1096" s="12" t="s">
        <v>30</v>
      </c>
      <c r="N1096" s="12" t="s">
        <v>78</v>
      </c>
      <c r="O1096" s="12" t="s">
        <v>66</v>
      </c>
    </row>
    <row r="1097" spans="1:15" ht="21" customHeight="1" x14ac:dyDescent="0.3">
      <c r="A1097" s="17"/>
      <c r="B1097" s="2" t="s">
        <v>70</v>
      </c>
      <c r="C1097" s="3">
        <v>30</v>
      </c>
      <c r="D1097" s="4" t="s">
        <v>27</v>
      </c>
      <c r="E1097" s="2" t="s">
        <v>38</v>
      </c>
      <c r="F1097" s="2" t="s">
        <v>23</v>
      </c>
      <c r="G1097" s="5">
        <v>0</v>
      </c>
      <c r="H1097" s="20">
        <v>0</v>
      </c>
      <c r="I1097" s="2">
        <v>2</v>
      </c>
      <c r="J1097" s="6">
        <v>6.0185185185185177E-3</v>
      </c>
      <c r="K1097" s="2"/>
      <c r="L1097" s="2"/>
      <c r="M1097" s="2" t="s">
        <v>51</v>
      </c>
      <c r="N1097" s="2" t="s">
        <v>78</v>
      </c>
      <c r="O1097" s="2" t="s">
        <v>41</v>
      </c>
    </row>
    <row r="1098" spans="1:15" ht="21" customHeight="1" x14ac:dyDescent="0.3">
      <c r="A1098" s="17"/>
      <c r="B1098" s="12" t="s">
        <v>70</v>
      </c>
      <c r="C1098" s="13">
        <v>30</v>
      </c>
      <c r="D1098" s="14" t="s">
        <v>69</v>
      </c>
      <c r="E1098" s="12" t="s">
        <v>16</v>
      </c>
      <c r="F1098" s="12" t="s">
        <v>42</v>
      </c>
      <c r="G1098" s="15">
        <v>0</v>
      </c>
      <c r="H1098" s="21">
        <v>0</v>
      </c>
      <c r="I1098" s="12">
        <v>5</v>
      </c>
      <c r="J1098" s="16">
        <v>6.0185185185185177E-3</v>
      </c>
      <c r="K1098" s="12"/>
      <c r="L1098" s="12"/>
      <c r="M1098" s="12" t="s">
        <v>30</v>
      </c>
      <c r="N1098" s="12" t="s">
        <v>77</v>
      </c>
      <c r="O1098" s="12" t="s">
        <v>54</v>
      </c>
    </row>
    <row r="1099" spans="1:15" ht="21" customHeight="1" x14ac:dyDescent="0.3">
      <c r="A1099" s="17"/>
      <c r="B1099" s="2" t="s">
        <v>70</v>
      </c>
      <c r="C1099" s="3">
        <v>30</v>
      </c>
      <c r="D1099" s="4" t="s">
        <v>69</v>
      </c>
      <c r="E1099" s="2" t="s">
        <v>49</v>
      </c>
      <c r="F1099" s="2" t="s">
        <v>17</v>
      </c>
      <c r="G1099" s="5">
        <v>0</v>
      </c>
      <c r="H1099" s="20">
        <v>0</v>
      </c>
      <c r="I1099" s="2">
        <v>3</v>
      </c>
      <c r="J1099" s="6">
        <v>6.0185185185185177E-3</v>
      </c>
      <c r="K1099" s="2"/>
      <c r="L1099" s="2"/>
      <c r="M1099" s="2" t="s">
        <v>40</v>
      </c>
      <c r="N1099" s="2" t="s">
        <v>66</v>
      </c>
      <c r="O1099" s="2" t="s">
        <v>67</v>
      </c>
    </row>
    <row r="1100" spans="1:15" ht="21" customHeight="1" x14ac:dyDescent="0.3">
      <c r="A1100" s="17"/>
      <c r="B1100" s="12" t="s">
        <v>70</v>
      </c>
      <c r="C1100" s="13">
        <v>5</v>
      </c>
      <c r="D1100" s="14" t="s">
        <v>55</v>
      </c>
      <c r="E1100" s="12" t="s">
        <v>16</v>
      </c>
      <c r="F1100" s="12" t="s">
        <v>45</v>
      </c>
      <c r="G1100" s="15">
        <v>0</v>
      </c>
      <c r="H1100" s="21">
        <v>0</v>
      </c>
      <c r="I1100" s="12">
        <v>4</v>
      </c>
      <c r="J1100" s="16">
        <v>6.0185185185185177E-3</v>
      </c>
      <c r="K1100" s="12"/>
      <c r="L1100" s="12"/>
      <c r="M1100" s="12" t="s">
        <v>48</v>
      </c>
      <c r="N1100" s="12" t="s">
        <v>76</v>
      </c>
      <c r="O1100" s="12" t="s">
        <v>26</v>
      </c>
    </row>
    <row r="1101" spans="1:15" ht="21" customHeight="1" x14ac:dyDescent="0.3">
      <c r="A1101" s="17"/>
      <c r="B1101" s="2" t="s">
        <v>70</v>
      </c>
      <c r="C1101" s="3">
        <v>10</v>
      </c>
      <c r="D1101" s="4" t="s">
        <v>72</v>
      </c>
      <c r="E1101" s="2" t="s">
        <v>38</v>
      </c>
      <c r="F1101" s="2" t="s">
        <v>23</v>
      </c>
      <c r="G1101" s="5">
        <v>0</v>
      </c>
      <c r="H1101" s="20">
        <v>0</v>
      </c>
      <c r="I1101" s="2">
        <v>3</v>
      </c>
      <c r="J1101" s="6">
        <v>6.0185185185185177E-3</v>
      </c>
      <c r="K1101" s="2"/>
      <c r="L1101" s="2"/>
      <c r="M1101" s="2" t="s">
        <v>51</v>
      </c>
      <c r="N1101" s="2" t="s">
        <v>66</v>
      </c>
      <c r="O1101" s="2" t="s">
        <v>36</v>
      </c>
    </row>
    <row r="1102" spans="1:15" ht="21" customHeight="1" x14ac:dyDescent="0.3">
      <c r="A1102" s="17"/>
      <c r="B1102" s="12" t="s">
        <v>14</v>
      </c>
      <c r="C1102" s="13">
        <v>26</v>
      </c>
      <c r="D1102" s="14" t="s">
        <v>22</v>
      </c>
      <c r="E1102" s="12" t="s">
        <v>28</v>
      </c>
      <c r="F1102" s="12" t="s">
        <v>42</v>
      </c>
      <c r="G1102" s="15">
        <v>3</v>
      </c>
      <c r="H1102" s="21">
        <v>15000000</v>
      </c>
      <c r="I1102" s="12">
        <v>2</v>
      </c>
      <c r="J1102" s="16">
        <v>6.2499999999999995E-3</v>
      </c>
      <c r="K1102" s="12" t="s">
        <v>18</v>
      </c>
      <c r="L1102" s="12" t="s">
        <v>35</v>
      </c>
      <c r="M1102" s="12" t="s">
        <v>20</v>
      </c>
      <c r="N1102" s="12" t="s">
        <v>78</v>
      </c>
      <c r="O1102" s="12" t="s">
        <v>63</v>
      </c>
    </row>
    <row r="1103" spans="1:15" ht="21" customHeight="1" x14ac:dyDescent="0.3">
      <c r="A1103" s="17"/>
      <c r="B1103" s="2" t="s">
        <v>14</v>
      </c>
      <c r="C1103" s="3">
        <v>27</v>
      </c>
      <c r="D1103" s="4" t="s">
        <v>27</v>
      </c>
      <c r="E1103" s="2" t="s">
        <v>32</v>
      </c>
      <c r="F1103" s="2" t="s">
        <v>23</v>
      </c>
      <c r="G1103" s="5">
        <v>3</v>
      </c>
      <c r="H1103" s="20">
        <v>15000000</v>
      </c>
      <c r="I1103" s="2">
        <v>4</v>
      </c>
      <c r="J1103" s="6">
        <v>6.2499999999999995E-3</v>
      </c>
      <c r="K1103" s="2" t="s">
        <v>18</v>
      </c>
      <c r="L1103" s="2" t="s">
        <v>56</v>
      </c>
      <c r="M1103" s="2" t="s">
        <v>40</v>
      </c>
      <c r="N1103" s="2" t="s">
        <v>76</v>
      </c>
      <c r="O1103" s="2" t="s">
        <v>31</v>
      </c>
    </row>
    <row r="1104" spans="1:15" ht="21" customHeight="1" x14ac:dyDescent="0.3">
      <c r="A1104" s="17"/>
      <c r="B1104" s="12" t="s">
        <v>14</v>
      </c>
      <c r="C1104" s="13">
        <v>30</v>
      </c>
      <c r="D1104" s="14" t="s">
        <v>27</v>
      </c>
      <c r="E1104" s="12" t="s">
        <v>73</v>
      </c>
      <c r="F1104" s="12" t="s">
        <v>45</v>
      </c>
      <c r="G1104" s="15">
        <v>3</v>
      </c>
      <c r="H1104" s="21">
        <v>15000000</v>
      </c>
      <c r="I1104" s="12">
        <v>2</v>
      </c>
      <c r="J1104" s="16">
        <v>6.2499999999999995E-3</v>
      </c>
      <c r="K1104" s="12" t="s">
        <v>18</v>
      </c>
      <c r="L1104" s="12" t="s">
        <v>19</v>
      </c>
      <c r="M1104" s="12" t="s">
        <v>43</v>
      </c>
      <c r="N1104" s="12" t="s">
        <v>77</v>
      </c>
      <c r="O1104" s="12" t="s">
        <v>65</v>
      </c>
    </row>
    <row r="1105" spans="1:15" ht="21" customHeight="1" x14ac:dyDescent="0.3">
      <c r="A1105" s="17"/>
      <c r="B1105" s="2" t="s">
        <v>14</v>
      </c>
      <c r="C1105" s="3">
        <v>5</v>
      </c>
      <c r="D1105" s="4" t="s">
        <v>37</v>
      </c>
      <c r="E1105" s="2" t="s">
        <v>32</v>
      </c>
      <c r="F1105" s="2" t="s">
        <v>42</v>
      </c>
      <c r="G1105" s="5">
        <v>1</v>
      </c>
      <c r="H1105" s="20">
        <v>7000000</v>
      </c>
      <c r="I1105" s="2">
        <v>4</v>
      </c>
      <c r="J1105" s="6">
        <v>6.2499999999999995E-3</v>
      </c>
      <c r="K1105" s="2" t="s">
        <v>18</v>
      </c>
      <c r="L1105" s="2" t="s">
        <v>29</v>
      </c>
      <c r="M1105" s="2" t="s">
        <v>30</v>
      </c>
      <c r="N1105" s="2" t="s">
        <v>78</v>
      </c>
      <c r="O1105" s="2" t="s">
        <v>66</v>
      </c>
    </row>
    <row r="1106" spans="1:15" ht="21" customHeight="1" x14ac:dyDescent="0.3">
      <c r="A1106" s="17"/>
      <c r="B1106" s="12" t="s">
        <v>14</v>
      </c>
      <c r="C1106" s="13">
        <v>28</v>
      </c>
      <c r="D1106" s="14" t="s">
        <v>37</v>
      </c>
      <c r="E1106" s="12" t="s">
        <v>16</v>
      </c>
      <c r="F1106" s="12" t="s">
        <v>42</v>
      </c>
      <c r="G1106" s="15">
        <v>5</v>
      </c>
      <c r="H1106" s="21">
        <v>20000000</v>
      </c>
      <c r="I1106" s="12">
        <v>2</v>
      </c>
      <c r="J1106" s="16">
        <v>6.2499999999999995E-3</v>
      </c>
      <c r="K1106" s="12" t="s">
        <v>18</v>
      </c>
      <c r="L1106" s="12" t="s">
        <v>56</v>
      </c>
      <c r="M1106" s="12" t="s">
        <v>25</v>
      </c>
      <c r="N1106" s="12" t="s">
        <v>76</v>
      </c>
      <c r="O1106" s="12" t="s">
        <v>52</v>
      </c>
    </row>
    <row r="1107" spans="1:15" ht="21" customHeight="1" x14ac:dyDescent="0.3">
      <c r="A1107" s="17"/>
      <c r="B1107" s="2" t="s">
        <v>14</v>
      </c>
      <c r="C1107" s="3">
        <v>7</v>
      </c>
      <c r="D1107" s="4" t="s">
        <v>37</v>
      </c>
      <c r="E1107" s="2" t="s">
        <v>16</v>
      </c>
      <c r="F1107" s="2" t="s">
        <v>42</v>
      </c>
      <c r="G1107" s="5">
        <v>2</v>
      </c>
      <c r="H1107" s="20">
        <v>12000000</v>
      </c>
      <c r="I1107" s="2">
        <v>2</v>
      </c>
      <c r="J1107" s="6">
        <v>6.2499999999999995E-3</v>
      </c>
      <c r="K1107" s="2" t="s">
        <v>18</v>
      </c>
      <c r="L1107" s="2" t="s">
        <v>19</v>
      </c>
      <c r="M1107" s="2" t="s">
        <v>48</v>
      </c>
      <c r="N1107" s="2" t="s">
        <v>78</v>
      </c>
      <c r="O1107" s="2" t="s">
        <v>63</v>
      </c>
    </row>
    <row r="1108" spans="1:15" ht="21" customHeight="1" x14ac:dyDescent="0.3">
      <c r="A1108" s="17"/>
      <c r="B1108" s="12" t="s">
        <v>14</v>
      </c>
      <c r="C1108" s="13">
        <v>20</v>
      </c>
      <c r="D1108" s="14" t="s">
        <v>44</v>
      </c>
      <c r="E1108" s="12" t="s">
        <v>16</v>
      </c>
      <c r="F1108" s="12" t="s">
        <v>42</v>
      </c>
      <c r="G1108" s="15">
        <v>4</v>
      </c>
      <c r="H1108" s="21">
        <v>20000000</v>
      </c>
      <c r="I1108" s="12">
        <v>2</v>
      </c>
      <c r="J1108" s="16">
        <v>6.2499999999999995E-3</v>
      </c>
      <c r="K1108" s="12" t="s">
        <v>61</v>
      </c>
      <c r="L1108" s="12" t="s">
        <v>39</v>
      </c>
      <c r="M1108" s="12" t="s">
        <v>51</v>
      </c>
      <c r="N1108" s="12" t="s">
        <v>76</v>
      </c>
      <c r="O1108" s="12" t="s">
        <v>31</v>
      </c>
    </row>
    <row r="1109" spans="1:15" ht="21" customHeight="1" x14ac:dyDescent="0.3">
      <c r="A1109" s="17"/>
      <c r="B1109" s="2" t="s">
        <v>14</v>
      </c>
      <c r="C1109" s="3">
        <v>15</v>
      </c>
      <c r="D1109" s="4" t="s">
        <v>44</v>
      </c>
      <c r="E1109" s="2" t="s">
        <v>73</v>
      </c>
      <c r="F1109" s="2" t="s">
        <v>23</v>
      </c>
      <c r="G1109" s="5">
        <v>2</v>
      </c>
      <c r="H1109" s="20">
        <v>12000000</v>
      </c>
      <c r="I1109" s="2">
        <v>3</v>
      </c>
      <c r="J1109" s="6">
        <v>6.2499999999999995E-3</v>
      </c>
      <c r="K1109" s="2" t="s">
        <v>18</v>
      </c>
      <c r="L1109" s="2" t="s">
        <v>64</v>
      </c>
      <c r="M1109" s="2" t="s">
        <v>33</v>
      </c>
      <c r="N1109" s="2" t="s">
        <v>78</v>
      </c>
      <c r="O1109" s="2" t="s">
        <v>66</v>
      </c>
    </row>
    <row r="1110" spans="1:15" ht="21" customHeight="1" x14ac:dyDescent="0.3">
      <c r="A1110" s="17"/>
      <c r="B1110" s="12" t="s">
        <v>14</v>
      </c>
      <c r="C1110" s="13">
        <v>18</v>
      </c>
      <c r="D1110" s="14" t="s">
        <v>44</v>
      </c>
      <c r="E1110" s="12" t="s">
        <v>16</v>
      </c>
      <c r="F1110" s="12" t="s">
        <v>23</v>
      </c>
      <c r="G1110" s="15">
        <v>2</v>
      </c>
      <c r="H1110" s="21">
        <v>12000000</v>
      </c>
      <c r="I1110" s="12">
        <v>1</v>
      </c>
      <c r="J1110" s="16">
        <v>6.2499999999999995E-3</v>
      </c>
      <c r="K1110" s="12" t="s">
        <v>18</v>
      </c>
      <c r="L1110" s="12" t="s">
        <v>56</v>
      </c>
      <c r="M1110" s="12" t="s">
        <v>40</v>
      </c>
      <c r="N1110" s="12" t="s">
        <v>76</v>
      </c>
      <c r="O1110" s="12" t="s">
        <v>52</v>
      </c>
    </row>
    <row r="1111" spans="1:15" ht="21" customHeight="1" x14ac:dyDescent="0.3">
      <c r="A1111" s="17"/>
      <c r="B1111" s="2" t="s">
        <v>14</v>
      </c>
      <c r="C1111" s="3">
        <v>3</v>
      </c>
      <c r="D1111" s="4" t="s">
        <v>44</v>
      </c>
      <c r="E1111" s="2" t="s">
        <v>38</v>
      </c>
      <c r="F1111" s="2" t="s">
        <v>17</v>
      </c>
      <c r="G1111" s="5">
        <v>4</v>
      </c>
      <c r="H1111" s="20">
        <v>20000000</v>
      </c>
      <c r="I1111" s="2">
        <v>1</v>
      </c>
      <c r="J1111" s="6">
        <v>6.2499999999999995E-3</v>
      </c>
      <c r="K1111" s="2" t="s">
        <v>18</v>
      </c>
      <c r="L1111" s="2" t="s">
        <v>39</v>
      </c>
      <c r="M1111" s="2" t="s">
        <v>43</v>
      </c>
      <c r="N1111" s="2" t="s">
        <v>78</v>
      </c>
      <c r="O1111" s="2" t="s">
        <v>53</v>
      </c>
    </row>
    <row r="1112" spans="1:15" ht="21" customHeight="1" x14ac:dyDescent="0.3">
      <c r="A1112" s="17"/>
      <c r="B1112" s="12" t="s">
        <v>70</v>
      </c>
      <c r="C1112" s="13">
        <v>11</v>
      </c>
      <c r="D1112" s="14" t="s">
        <v>58</v>
      </c>
      <c r="E1112" s="12" t="s">
        <v>16</v>
      </c>
      <c r="F1112" s="12" t="s">
        <v>17</v>
      </c>
      <c r="G1112" s="15">
        <v>0</v>
      </c>
      <c r="H1112" s="21">
        <v>0</v>
      </c>
      <c r="I1112" s="12">
        <v>1</v>
      </c>
      <c r="J1112" s="16">
        <v>6.2499999999999995E-3</v>
      </c>
      <c r="K1112" s="12"/>
      <c r="L1112" s="12"/>
      <c r="M1112" s="12" t="s">
        <v>30</v>
      </c>
      <c r="N1112" s="12" t="s">
        <v>76</v>
      </c>
      <c r="O1112" s="12" t="s">
        <v>52</v>
      </c>
    </row>
    <row r="1113" spans="1:15" ht="21" customHeight="1" x14ac:dyDescent="0.3">
      <c r="A1113" s="17"/>
      <c r="B1113" s="2" t="s">
        <v>70</v>
      </c>
      <c r="C1113" s="3">
        <v>30</v>
      </c>
      <c r="D1113" s="4" t="s">
        <v>69</v>
      </c>
      <c r="E1113" s="2" t="s">
        <v>38</v>
      </c>
      <c r="F1113" s="2" t="s">
        <v>17</v>
      </c>
      <c r="G1113" s="5">
        <v>0</v>
      </c>
      <c r="H1113" s="20">
        <v>0</v>
      </c>
      <c r="I1113" s="2">
        <v>3</v>
      </c>
      <c r="J1113" s="6">
        <v>6.2499999999999995E-3</v>
      </c>
      <c r="K1113" s="2"/>
      <c r="L1113" s="2"/>
      <c r="M1113" s="2" t="s">
        <v>30</v>
      </c>
      <c r="N1113" s="2" t="s">
        <v>66</v>
      </c>
      <c r="O1113" s="2" t="s">
        <v>67</v>
      </c>
    </row>
    <row r="1114" spans="1:15" ht="21" customHeight="1" x14ac:dyDescent="0.3">
      <c r="A1114" s="17"/>
      <c r="B1114" s="12" t="s">
        <v>70</v>
      </c>
      <c r="C1114" s="13">
        <v>27</v>
      </c>
      <c r="D1114" s="14" t="s">
        <v>69</v>
      </c>
      <c r="E1114" s="12" t="s">
        <v>49</v>
      </c>
      <c r="F1114" s="12" t="s">
        <v>42</v>
      </c>
      <c r="G1114" s="15">
        <v>0</v>
      </c>
      <c r="H1114" s="21">
        <v>0</v>
      </c>
      <c r="I1114" s="12">
        <v>1</v>
      </c>
      <c r="J1114" s="16">
        <v>6.2499999999999995E-3</v>
      </c>
      <c r="K1114" s="12"/>
      <c r="L1114" s="12"/>
      <c r="M1114" s="12" t="s">
        <v>48</v>
      </c>
      <c r="N1114" s="12" t="s">
        <v>77</v>
      </c>
      <c r="O1114" s="12" t="s">
        <v>34</v>
      </c>
    </row>
    <row r="1115" spans="1:15" ht="21" customHeight="1" x14ac:dyDescent="0.3">
      <c r="A1115" s="17"/>
      <c r="B1115" s="2" t="s">
        <v>70</v>
      </c>
      <c r="C1115" s="3">
        <v>11</v>
      </c>
      <c r="D1115" s="4" t="s">
        <v>58</v>
      </c>
      <c r="E1115" s="2" t="s">
        <v>16</v>
      </c>
      <c r="F1115" s="2" t="s">
        <v>17</v>
      </c>
      <c r="G1115" s="5">
        <v>0</v>
      </c>
      <c r="H1115" s="20">
        <v>0</v>
      </c>
      <c r="I1115" s="2">
        <v>1</v>
      </c>
      <c r="J1115" s="6">
        <v>6.2499999999999995E-3</v>
      </c>
      <c r="K1115" s="2"/>
      <c r="L1115" s="2"/>
      <c r="M1115" s="2" t="s">
        <v>30</v>
      </c>
      <c r="N1115" s="2" t="s">
        <v>76</v>
      </c>
      <c r="O1115" s="2" t="s">
        <v>52</v>
      </c>
    </row>
    <row r="1116" spans="1:15" ht="21" customHeight="1" x14ac:dyDescent="0.3">
      <c r="A1116" s="17"/>
      <c r="B1116" s="12" t="s">
        <v>14</v>
      </c>
      <c r="C1116" s="13">
        <v>31</v>
      </c>
      <c r="D1116" s="14" t="s">
        <v>59</v>
      </c>
      <c r="E1116" s="12" t="s">
        <v>49</v>
      </c>
      <c r="F1116" s="12" t="s">
        <v>42</v>
      </c>
      <c r="G1116" s="15">
        <v>2</v>
      </c>
      <c r="H1116" s="21">
        <v>12000000</v>
      </c>
      <c r="I1116" s="12">
        <v>4</v>
      </c>
      <c r="J1116" s="16">
        <v>6.3888888888888884E-3</v>
      </c>
      <c r="K1116" s="12" t="s">
        <v>18</v>
      </c>
      <c r="L1116" s="12" t="s">
        <v>56</v>
      </c>
      <c r="M1116" s="12" t="s">
        <v>30</v>
      </c>
      <c r="N1116" s="12" t="s">
        <v>76</v>
      </c>
      <c r="O1116" s="12" t="s">
        <v>26</v>
      </c>
    </row>
    <row r="1117" spans="1:15" ht="21" customHeight="1" x14ac:dyDescent="0.3">
      <c r="A1117" s="17"/>
      <c r="B1117" s="2" t="s">
        <v>14</v>
      </c>
      <c r="C1117" s="3">
        <v>7</v>
      </c>
      <c r="D1117" s="4" t="s">
        <v>27</v>
      </c>
      <c r="E1117" s="2" t="s">
        <v>16</v>
      </c>
      <c r="F1117" s="2" t="s">
        <v>45</v>
      </c>
      <c r="G1117" s="5">
        <v>4</v>
      </c>
      <c r="H1117" s="20">
        <v>11000000</v>
      </c>
      <c r="I1117" s="2">
        <v>5</v>
      </c>
      <c r="J1117" s="6">
        <v>6.3888888888888884E-3</v>
      </c>
      <c r="K1117" s="2" t="s">
        <v>61</v>
      </c>
      <c r="L1117" s="2" t="s">
        <v>39</v>
      </c>
      <c r="M1117" s="2" t="s">
        <v>33</v>
      </c>
      <c r="N1117" s="2" t="s">
        <v>76</v>
      </c>
      <c r="O1117" s="2" t="s">
        <v>52</v>
      </c>
    </row>
    <row r="1118" spans="1:15" ht="21" customHeight="1" x14ac:dyDescent="0.3">
      <c r="A1118" s="17"/>
      <c r="B1118" s="12" t="s">
        <v>14</v>
      </c>
      <c r="C1118" s="13">
        <v>21</v>
      </c>
      <c r="D1118" s="14" t="s">
        <v>37</v>
      </c>
      <c r="E1118" s="12" t="s">
        <v>16</v>
      </c>
      <c r="F1118" s="12" t="s">
        <v>68</v>
      </c>
      <c r="G1118" s="15">
        <v>4</v>
      </c>
      <c r="H1118" s="21">
        <v>20000000</v>
      </c>
      <c r="I1118" s="12">
        <v>2</v>
      </c>
      <c r="J1118" s="16">
        <v>6.3888888888888884E-3</v>
      </c>
      <c r="K1118" s="12" t="s">
        <v>18</v>
      </c>
      <c r="L1118" s="12" t="s">
        <v>35</v>
      </c>
      <c r="M1118" s="12" t="s">
        <v>30</v>
      </c>
      <c r="N1118" s="12" t="s">
        <v>76</v>
      </c>
      <c r="O1118" s="12" t="s">
        <v>52</v>
      </c>
    </row>
    <row r="1119" spans="1:15" ht="21" customHeight="1" x14ac:dyDescent="0.3">
      <c r="A1119" s="17"/>
      <c r="B1119" s="2" t="s">
        <v>14</v>
      </c>
      <c r="C1119" s="3">
        <v>8</v>
      </c>
      <c r="D1119" s="4" t="s">
        <v>37</v>
      </c>
      <c r="E1119" s="2" t="s">
        <v>16</v>
      </c>
      <c r="F1119" s="2" t="s">
        <v>68</v>
      </c>
      <c r="G1119" s="5">
        <v>3</v>
      </c>
      <c r="H1119" s="20">
        <v>15000000</v>
      </c>
      <c r="I1119" s="2">
        <v>1</v>
      </c>
      <c r="J1119" s="6">
        <v>6.3888888888888884E-3</v>
      </c>
      <c r="K1119" s="2" t="s">
        <v>18</v>
      </c>
      <c r="L1119" s="2" t="s">
        <v>64</v>
      </c>
      <c r="M1119" s="2" t="s">
        <v>40</v>
      </c>
      <c r="N1119" s="2" t="s">
        <v>78</v>
      </c>
      <c r="O1119" s="2" t="s">
        <v>53</v>
      </c>
    </row>
    <row r="1120" spans="1:15" ht="21" customHeight="1" x14ac:dyDescent="0.3">
      <c r="A1120" s="17"/>
      <c r="B1120" s="12" t="s">
        <v>14</v>
      </c>
      <c r="C1120" s="13">
        <v>8</v>
      </c>
      <c r="D1120" s="14" t="s">
        <v>37</v>
      </c>
      <c r="E1120" s="12" t="s">
        <v>38</v>
      </c>
      <c r="F1120" s="12" t="s">
        <v>42</v>
      </c>
      <c r="G1120" s="15">
        <v>2</v>
      </c>
      <c r="H1120" s="21">
        <v>12000000</v>
      </c>
      <c r="I1120" s="12">
        <v>4</v>
      </c>
      <c r="J1120" s="16">
        <v>6.3888888888888884E-3</v>
      </c>
      <c r="K1120" s="12" t="s">
        <v>18</v>
      </c>
      <c r="L1120" s="12" t="s">
        <v>39</v>
      </c>
      <c r="M1120" s="12" t="s">
        <v>25</v>
      </c>
      <c r="N1120" s="12" t="s">
        <v>77</v>
      </c>
      <c r="O1120" s="12" t="s">
        <v>54</v>
      </c>
    </row>
    <row r="1121" spans="1:15" ht="21" customHeight="1" x14ac:dyDescent="0.3">
      <c r="A1121" s="17"/>
      <c r="B1121" s="2" t="s">
        <v>14</v>
      </c>
      <c r="C1121" s="3">
        <v>22</v>
      </c>
      <c r="D1121" s="4" t="s">
        <v>44</v>
      </c>
      <c r="E1121" s="2" t="s">
        <v>28</v>
      </c>
      <c r="F1121" s="2" t="s">
        <v>17</v>
      </c>
      <c r="G1121" s="5">
        <v>1</v>
      </c>
      <c r="H1121" s="20">
        <v>7000000</v>
      </c>
      <c r="I1121" s="2">
        <v>1</v>
      </c>
      <c r="J1121" s="6">
        <v>6.3888888888888884E-3</v>
      </c>
      <c r="K1121" s="2" t="s">
        <v>18</v>
      </c>
      <c r="L1121" s="2" t="s">
        <v>29</v>
      </c>
      <c r="M1121" s="2" t="s">
        <v>51</v>
      </c>
      <c r="N1121" s="2" t="s">
        <v>66</v>
      </c>
      <c r="O1121" s="2" t="s">
        <v>67</v>
      </c>
    </row>
    <row r="1122" spans="1:15" ht="21" customHeight="1" x14ac:dyDescent="0.3">
      <c r="A1122" s="17"/>
      <c r="B1122" s="12" t="s">
        <v>14</v>
      </c>
      <c r="C1122" s="13">
        <v>25</v>
      </c>
      <c r="D1122" s="14" t="s">
        <v>44</v>
      </c>
      <c r="E1122" s="12" t="s">
        <v>16</v>
      </c>
      <c r="F1122" s="12" t="s">
        <v>42</v>
      </c>
      <c r="G1122" s="15">
        <v>3</v>
      </c>
      <c r="H1122" s="21">
        <v>15000000</v>
      </c>
      <c r="I1122" s="12">
        <v>3</v>
      </c>
      <c r="J1122" s="16">
        <v>6.3888888888888884E-3</v>
      </c>
      <c r="K1122" s="12" t="s">
        <v>18</v>
      </c>
      <c r="L1122" s="12" t="s">
        <v>19</v>
      </c>
      <c r="M1122" s="12" t="s">
        <v>30</v>
      </c>
      <c r="N1122" s="12" t="s">
        <v>78</v>
      </c>
      <c r="O1122" s="12" t="s">
        <v>41</v>
      </c>
    </row>
    <row r="1123" spans="1:15" ht="21" customHeight="1" x14ac:dyDescent="0.3">
      <c r="A1123" s="17"/>
      <c r="B1123" s="2" t="s">
        <v>14</v>
      </c>
      <c r="C1123" s="3">
        <v>7</v>
      </c>
      <c r="D1123" s="4" t="s">
        <v>44</v>
      </c>
      <c r="E1123" s="2" t="s">
        <v>16</v>
      </c>
      <c r="F1123" s="2" t="s">
        <v>42</v>
      </c>
      <c r="G1123" s="5">
        <v>5</v>
      </c>
      <c r="H1123" s="20">
        <v>25000000</v>
      </c>
      <c r="I1123" s="2">
        <v>3</v>
      </c>
      <c r="J1123" s="6">
        <v>6.3888888888888884E-3</v>
      </c>
      <c r="K1123" s="2" t="s">
        <v>18</v>
      </c>
      <c r="L1123" s="2" t="s">
        <v>24</v>
      </c>
      <c r="M1123" s="2" t="s">
        <v>20</v>
      </c>
      <c r="N1123" s="2" t="s">
        <v>78</v>
      </c>
      <c r="O1123" s="2" t="s">
        <v>62</v>
      </c>
    </row>
    <row r="1124" spans="1:15" ht="21" customHeight="1" x14ac:dyDescent="0.3">
      <c r="A1124" s="17"/>
      <c r="B1124" s="12" t="s">
        <v>14</v>
      </c>
      <c r="C1124" s="13">
        <v>1</v>
      </c>
      <c r="D1124" s="14" t="s">
        <v>69</v>
      </c>
      <c r="E1124" s="12" t="s">
        <v>28</v>
      </c>
      <c r="F1124" s="12" t="s">
        <v>45</v>
      </c>
      <c r="G1124" s="15">
        <v>5</v>
      </c>
      <c r="H1124" s="21">
        <v>25000000</v>
      </c>
      <c r="I1124" s="12">
        <v>3</v>
      </c>
      <c r="J1124" s="16">
        <v>6.3888888888888884E-3</v>
      </c>
      <c r="K1124" s="12" t="s">
        <v>18</v>
      </c>
      <c r="L1124" s="12" t="s">
        <v>39</v>
      </c>
      <c r="M1124" s="12" t="s">
        <v>30</v>
      </c>
      <c r="N1124" s="12" t="s">
        <v>77</v>
      </c>
      <c r="O1124" s="12" t="s">
        <v>65</v>
      </c>
    </row>
    <row r="1125" spans="1:15" ht="21" customHeight="1" x14ac:dyDescent="0.3">
      <c r="A1125" s="17"/>
      <c r="B1125" s="2" t="s">
        <v>14</v>
      </c>
      <c r="C1125" s="3">
        <v>17</v>
      </c>
      <c r="D1125" s="4" t="s">
        <v>69</v>
      </c>
      <c r="E1125" s="2" t="s">
        <v>16</v>
      </c>
      <c r="F1125" s="2" t="s">
        <v>42</v>
      </c>
      <c r="G1125" s="5">
        <v>2</v>
      </c>
      <c r="H1125" s="20">
        <v>12000000</v>
      </c>
      <c r="I1125" s="2">
        <v>2</v>
      </c>
      <c r="J1125" s="6">
        <v>6.3888888888888884E-3</v>
      </c>
      <c r="K1125" s="2" t="s">
        <v>18</v>
      </c>
      <c r="L1125" s="2" t="s">
        <v>56</v>
      </c>
      <c r="M1125" s="2" t="s">
        <v>43</v>
      </c>
      <c r="N1125" s="2" t="s">
        <v>76</v>
      </c>
      <c r="O1125" s="2" t="s">
        <v>52</v>
      </c>
    </row>
    <row r="1126" spans="1:15" ht="21" customHeight="1" x14ac:dyDescent="0.3">
      <c r="A1126" s="17"/>
      <c r="B1126" s="12" t="s">
        <v>14</v>
      </c>
      <c r="C1126" s="13">
        <v>31</v>
      </c>
      <c r="D1126" s="14" t="s">
        <v>59</v>
      </c>
      <c r="E1126" s="12" t="s">
        <v>49</v>
      </c>
      <c r="F1126" s="12" t="s">
        <v>42</v>
      </c>
      <c r="G1126" s="15">
        <v>2</v>
      </c>
      <c r="H1126" s="21">
        <v>12000000</v>
      </c>
      <c r="I1126" s="12">
        <v>4</v>
      </c>
      <c r="J1126" s="16">
        <v>6.3888888888888884E-3</v>
      </c>
      <c r="K1126" s="12" t="s">
        <v>18</v>
      </c>
      <c r="L1126" s="12" t="s">
        <v>56</v>
      </c>
      <c r="M1126" s="12" t="s">
        <v>30</v>
      </c>
      <c r="N1126" s="12" t="s">
        <v>76</v>
      </c>
      <c r="O1126" s="12" t="s">
        <v>26</v>
      </c>
    </row>
    <row r="1127" spans="1:15" ht="21" customHeight="1" x14ac:dyDescent="0.3">
      <c r="A1127" s="17"/>
      <c r="B1127" s="2" t="s">
        <v>70</v>
      </c>
      <c r="C1127" s="3">
        <v>12</v>
      </c>
      <c r="D1127" s="4" t="s">
        <v>22</v>
      </c>
      <c r="E1127" s="2" t="s">
        <v>38</v>
      </c>
      <c r="F1127" s="2" t="s">
        <v>23</v>
      </c>
      <c r="G1127" s="5">
        <v>0</v>
      </c>
      <c r="H1127" s="20">
        <v>0</v>
      </c>
      <c r="I1127" s="2">
        <v>3</v>
      </c>
      <c r="J1127" s="6">
        <v>6.3888888888888884E-3</v>
      </c>
      <c r="K1127" s="2"/>
      <c r="L1127" s="2"/>
      <c r="M1127" s="2" t="s">
        <v>48</v>
      </c>
      <c r="N1127" s="2" t="s">
        <v>66</v>
      </c>
      <c r="O1127" s="2" t="s">
        <v>67</v>
      </c>
    </row>
    <row r="1128" spans="1:15" ht="21" customHeight="1" x14ac:dyDescent="0.3">
      <c r="A1128" s="17"/>
      <c r="B1128" s="12" t="s">
        <v>70</v>
      </c>
      <c r="C1128" s="13">
        <v>17</v>
      </c>
      <c r="D1128" s="14" t="s">
        <v>44</v>
      </c>
      <c r="E1128" s="12" t="s">
        <v>28</v>
      </c>
      <c r="F1128" s="12" t="s">
        <v>23</v>
      </c>
      <c r="G1128" s="15">
        <v>0</v>
      </c>
      <c r="H1128" s="21">
        <v>0</v>
      </c>
      <c r="I1128" s="12">
        <v>1</v>
      </c>
      <c r="J1128" s="16">
        <v>6.3888888888888884E-3</v>
      </c>
      <c r="K1128" s="12"/>
      <c r="L1128" s="12"/>
      <c r="M1128" s="12" t="s">
        <v>48</v>
      </c>
      <c r="N1128" s="12" t="s">
        <v>77</v>
      </c>
      <c r="O1128" s="12" t="s">
        <v>54</v>
      </c>
    </row>
    <row r="1129" spans="1:15" ht="21" customHeight="1" x14ac:dyDescent="0.3">
      <c r="A1129" s="17"/>
      <c r="B1129" s="2" t="s">
        <v>70</v>
      </c>
      <c r="C1129" s="3">
        <v>14</v>
      </c>
      <c r="D1129" s="4" t="s">
        <v>69</v>
      </c>
      <c r="E1129" s="2" t="s">
        <v>28</v>
      </c>
      <c r="F1129" s="2" t="s">
        <v>42</v>
      </c>
      <c r="G1129" s="5">
        <v>0</v>
      </c>
      <c r="H1129" s="20">
        <v>0</v>
      </c>
      <c r="I1129" s="2">
        <v>4</v>
      </c>
      <c r="J1129" s="6">
        <v>6.3888888888888884E-3</v>
      </c>
      <c r="K1129" s="2"/>
      <c r="L1129" s="2"/>
      <c r="M1129" s="2" t="s">
        <v>51</v>
      </c>
      <c r="N1129" s="2" t="s">
        <v>76</v>
      </c>
      <c r="O1129" s="2" t="s">
        <v>31</v>
      </c>
    </row>
    <row r="1130" spans="1:15" ht="21" customHeight="1" x14ac:dyDescent="0.3">
      <c r="A1130" s="17"/>
      <c r="B1130" s="12" t="s">
        <v>14</v>
      </c>
      <c r="C1130" s="13">
        <v>11</v>
      </c>
      <c r="D1130" s="14" t="s">
        <v>55</v>
      </c>
      <c r="E1130" s="12" t="s">
        <v>32</v>
      </c>
      <c r="F1130" s="12" t="s">
        <v>23</v>
      </c>
      <c r="G1130" s="15">
        <v>2</v>
      </c>
      <c r="H1130" s="21">
        <v>38000000</v>
      </c>
      <c r="I1130" s="12">
        <v>1</v>
      </c>
      <c r="J1130" s="16">
        <v>6.4236111111111117E-3</v>
      </c>
      <c r="K1130" s="12" t="s">
        <v>46</v>
      </c>
      <c r="L1130" s="12" t="s">
        <v>29</v>
      </c>
      <c r="M1130" s="12" t="s">
        <v>51</v>
      </c>
      <c r="N1130" s="12" t="s">
        <v>66</v>
      </c>
      <c r="O1130" s="12" t="s">
        <v>67</v>
      </c>
    </row>
    <row r="1131" spans="1:15" ht="21" customHeight="1" x14ac:dyDescent="0.3">
      <c r="A1131" s="17"/>
      <c r="B1131" s="2" t="s">
        <v>14</v>
      </c>
      <c r="C1131" s="3">
        <v>11</v>
      </c>
      <c r="D1131" s="4" t="s">
        <v>57</v>
      </c>
      <c r="E1131" s="2" t="s">
        <v>16</v>
      </c>
      <c r="F1131" s="2" t="s">
        <v>42</v>
      </c>
      <c r="G1131" s="5">
        <v>5</v>
      </c>
      <c r="H1131" s="20">
        <v>25000000</v>
      </c>
      <c r="I1131" s="2">
        <v>1</v>
      </c>
      <c r="J1131" s="6">
        <v>6.4236111111111117E-3</v>
      </c>
      <c r="K1131" s="2" t="s">
        <v>18</v>
      </c>
      <c r="L1131" s="2" t="s">
        <v>29</v>
      </c>
      <c r="M1131" s="2" t="s">
        <v>51</v>
      </c>
      <c r="N1131" s="2" t="s">
        <v>78</v>
      </c>
      <c r="O1131" s="2" t="s">
        <v>41</v>
      </c>
    </row>
    <row r="1132" spans="1:15" ht="21" customHeight="1" x14ac:dyDescent="0.3">
      <c r="A1132" s="17"/>
      <c r="B1132" s="12" t="s">
        <v>14</v>
      </c>
      <c r="C1132" s="13">
        <v>1</v>
      </c>
      <c r="D1132" s="14" t="s">
        <v>60</v>
      </c>
      <c r="E1132" s="12" t="s">
        <v>49</v>
      </c>
      <c r="F1132" s="12" t="s">
        <v>23</v>
      </c>
      <c r="G1132" s="15">
        <v>2</v>
      </c>
      <c r="H1132" s="21">
        <v>12000000</v>
      </c>
      <c r="I1132" s="12">
        <v>1</v>
      </c>
      <c r="J1132" s="16">
        <v>6.4236111111111117E-3</v>
      </c>
      <c r="K1132" s="12" t="s">
        <v>18</v>
      </c>
      <c r="L1132" s="12" t="s">
        <v>29</v>
      </c>
      <c r="M1132" s="12" t="s">
        <v>43</v>
      </c>
      <c r="N1132" s="12" t="s">
        <v>76</v>
      </c>
      <c r="O1132" s="12" t="s">
        <v>52</v>
      </c>
    </row>
    <row r="1133" spans="1:15" ht="21" customHeight="1" x14ac:dyDescent="0.3">
      <c r="A1133" s="17"/>
      <c r="B1133" s="2" t="s">
        <v>14</v>
      </c>
      <c r="C1133" s="3">
        <v>29</v>
      </c>
      <c r="D1133" s="4" t="s">
        <v>22</v>
      </c>
      <c r="E1133" s="2" t="s">
        <v>28</v>
      </c>
      <c r="F1133" s="2" t="s">
        <v>17</v>
      </c>
      <c r="G1133" s="5">
        <v>5</v>
      </c>
      <c r="H1133" s="20">
        <v>21000000</v>
      </c>
      <c r="I1133" s="2">
        <v>5</v>
      </c>
      <c r="J1133" s="6">
        <v>6.4236111111111117E-3</v>
      </c>
      <c r="K1133" s="2" t="s">
        <v>18</v>
      </c>
      <c r="L1133" s="2" t="s">
        <v>19</v>
      </c>
      <c r="M1133" s="2" t="s">
        <v>30</v>
      </c>
      <c r="N1133" s="2" t="s">
        <v>77</v>
      </c>
      <c r="O1133" s="2" t="s">
        <v>54</v>
      </c>
    </row>
    <row r="1134" spans="1:15" ht="21" customHeight="1" x14ac:dyDescent="0.3">
      <c r="A1134" s="17"/>
      <c r="B1134" s="12" t="s">
        <v>14</v>
      </c>
      <c r="C1134" s="13">
        <v>30</v>
      </c>
      <c r="D1134" s="14" t="s">
        <v>27</v>
      </c>
      <c r="E1134" s="12" t="s">
        <v>32</v>
      </c>
      <c r="F1134" s="12" t="s">
        <v>23</v>
      </c>
      <c r="G1134" s="15">
        <v>2</v>
      </c>
      <c r="H1134" s="21">
        <v>12000000</v>
      </c>
      <c r="I1134" s="12">
        <v>4</v>
      </c>
      <c r="J1134" s="16">
        <v>6.4236111111111117E-3</v>
      </c>
      <c r="K1134" s="12" t="s">
        <v>18</v>
      </c>
      <c r="L1134" s="12" t="s">
        <v>19</v>
      </c>
      <c r="M1134" s="12" t="s">
        <v>33</v>
      </c>
      <c r="N1134" s="12" t="s">
        <v>78</v>
      </c>
      <c r="O1134" s="12" t="s">
        <v>66</v>
      </c>
    </row>
    <row r="1135" spans="1:15" ht="21" customHeight="1" x14ac:dyDescent="0.3">
      <c r="A1135" s="17"/>
      <c r="B1135" s="2" t="s">
        <v>14</v>
      </c>
      <c r="C1135" s="3">
        <v>25</v>
      </c>
      <c r="D1135" s="4" t="s">
        <v>37</v>
      </c>
      <c r="E1135" s="2" t="s">
        <v>16</v>
      </c>
      <c r="F1135" s="2" t="s">
        <v>17</v>
      </c>
      <c r="G1135" s="5">
        <v>1</v>
      </c>
      <c r="H1135" s="20">
        <v>19000000</v>
      </c>
      <c r="I1135" s="2">
        <v>3</v>
      </c>
      <c r="J1135" s="6">
        <v>6.4236111111111117E-3</v>
      </c>
      <c r="K1135" s="2" t="s">
        <v>46</v>
      </c>
      <c r="L1135" s="2" t="s">
        <v>24</v>
      </c>
      <c r="M1135" s="2" t="s">
        <v>30</v>
      </c>
      <c r="N1135" s="2" t="s">
        <v>76</v>
      </c>
      <c r="O1135" s="2" t="s">
        <v>26</v>
      </c>
    </row>
    <row r="1136" spans="1:15" ht="21" customHeight="1" x14ac:dyDescent="0.3">
      <c r="A1136" s="17"/>
      <c r="B1136" s="12" t="s">
        <v>14</v>
      </c>
      <c r="C1136" s="13">
        <v>10</v>
      </c>
      <c r="D1136" s="14" t="s">
        <v>37</v>
      </c>
      <c r="E1136" s="12" t="s">
        <v>16</v>
      </c>
      <c r="F1136" s="12" t="s">
        <v>17</v>
      </c>
      <c r="G1136" s="15">
        <v>4</v>
      </c>
      <c r="H1136" s="21">
        <v>11000000</v>
      </c>
      <c r="I1136" s="12">
        <v>5</v>
      </c>
      <c r="J1136" s="16">
        <v>6.4236111111111117E-3</v>
      </c>
      <c r="K1136" s="12" t="s">
        <v>61</v>
      </c>
      <c r="L1136" s="12" t="s">
        <v>29</v>
      </c>
      <c r="M1136" s="12" t="s">
        <v>48</v>
      </c>
      <c r="N1136" s="12" t="s">
        <v>76</v>
      </c>
      <c r="O1136" s="12" t="s">
        <v>26</v>
      </c>
    </row>
    <row r="1137" spans="1:15" ht="21" customHeight="1" x14ac:dyDescent="0.3">
      <c r="A1137" s="17"/>
      <c r="B1137" s="2" t="s">
        <v>14</v>
      </c>
      <c r="C1137" s="3">
        <v>28</v>
      </c>
      <c r="D1137" s="4" t="s">
        <v>37</v>
      </c>
      <c r="E1137" s="2" t="s">
        <v>49</v>
      </c>
      <c r="F1137" s="2" t="s">
        <v>42</v>
      </c>
      <c r="G1137" s="5">
        <v>1</v>
      </c>
      <c r="H1137" s="20">
        <v>7000000</v>
      </c>
      <c r="I1137" s="2">
        <v>1</v>
      </c>
      <c r="J1137" s="6">
        <v>6.4236111111111117E-3</v>
      </c>
      <c r="K1137" s="2" t="s">
        <v>18</v>
      </c>
      <c r="L1137" s="2" t="s">
        <v>56</v>
      </c>
      <c r="M1137" s="2" t="s">
        <v>40</v>
      </c>
      <c r="N1137" s="2" t="s">
        <v>78</v>
      </c>
      <c r="O1137" s="2" t="s">
        <v>66</v>
      </c>
    </row>
    <row r="1138" spans="1:15" ht="21" customHeight="1" x14ac:dyDescent="0.3">
      <c r="A1138" s="17"/>
      <c r="B1138" s="12" t="s">
        <v>14</v>
      </c>
      <c r="C1138" s="13">
        <v>13</v>
      </c>
      <c r="D1138" s="14" t="s">
        <v>44</v>
      </c>
      <c r="E1138" s="12" t="s">
        <v>38</v>
      </c>
      <c r="F1138" s="12" t="s">
        <v>23</v>
      </c>
      <c r="G1138" s="15">
        <v>4</v>
      </c>
      <c r="H1138" s="21">
        <v>20000000</v>
      </c>
      <c r="I1138" s="12">
        <v>5</v>
      </c>
      <c r="J1138" s="16">
        <v>6.4236111111111117E-3</v>
      </c>
      <c r="K1138" s="12" t="s">
        <v>18</v>
      </c>
      <c r="L1138" s="12" t="s">
        <v>24</v>
      </c>
      <c r="M1138" s="12" t="s">
        <v>30</v>
      </c>
      <c r="N1138" s="12" t="s">
        <v>76</v>
      </c>
      <c r="O1138" s="12" t="s">
        <v>31</v>
      </c>
    </row>
    <row r="1139" spans="1:15" ht="21" customHeight="1" x14ac:dyDescent="0.3">
      <c r="A1139" s="17"/>
      <c r="B1139" s="2" t="s">
        <v>14</v>
      </c>
      <c r="C1139" s="3">
        <v>3</v>
      </c>
      <c r="D1139" s="4" t="s">
        <v>44</v>
      </c>
      <c r="E1139" s="2" t="s">
        <v>16</v>
      </c>
      <c r="F1139" s="2" t="s">
        <v>42</v>
      </c>
      <c r="G1139" s="5">
        <v>3</v>
      </c>
      <c r="H1139" s="20">
        <v>15000000</v>
      </c>
      <c r="I1139" s="2">
        <v>2</v>
      </c>
      <c r="J1139" s="6">
        <v>6.4236111111111117E-3</v>
      </c>
      <c r="K1139" s="2" t="s">
        <v>18</v>
      </c>
      <c r="L1139" s="2" t="s">
        <v>56</v>
      </c>
      <c r="M1139" s="2" t="s">
        <v>25</v>
      </c>
      <c r="N1139" s="2" t="s">
        <v>77</v>
      </c>
      <c r="O1139" s="2" t="s">
        <v>54</v>
      </c>
    </row>
    <row r="1140" spans="1:15" ht="21" customHeight="1" x14ac:dyDescent="0.3">
      <c r="A1140" s="17"/>
      <c r="B1140" s="12" t="s">
        <v>14</v>
      </c>
      <c r="C1140" s="13">
        <v>11</v>
      </c>
      <c r="D1140" s="14" t="s">
        <v>55</v>
      </c>
      <c r="E1140" s="12" t="s">
        <v>32</v>
      </c>
      <c r="F1140" s="12" t="s">
        <v>23</v>
      </c>
      <c r="G1140" s="15">
        <v>2</v>
      </c>
      <c r="H1140" s="21">
        <v>38000000</v>
      </c>
      <c r="I1140" s="12">
        <v>1</v>
      </c>
      <c r="J1140" s="16">
        <v>6.4236111111111117E-3</v>
      </c>
      <c r="K1140" s="12" t="s">
        <v>46</v>
      </c>
      <c r="L1140" s="12" t="s">
        <v>29</v>
      </c>
      <c r="M1140" s="12" t="s">
        <v>51</v>
      </c>
      <c r="N1140" s="12" t="s">
        <v>66</v>
      </c>
      <c r="O1140" s="12" t="s">
        <v>67</v>
      </c>
    </row>
    <row r="1141" spans="1:15" ht="21" customHeight="1" x14ac:dyDescent="0.3">
      <c r="A1141" s="17"/>
      <c r="B1141" s="2" t="s">
        <v>14</v>
      </c>
      <c r="C1141" s="3">
        <v>11</v>
      </c>
      <c r="D1141" s="4" t="s">
        <v>57</v>
      </c>
      <c r="E1141" s="2" t="s">
        <v>16</v>
      </c>
      <c r="F1141" s="2" t="s">
        <v>42</v>
      </c>
      <c r="G1141" s="5">
        <v>5</v>
      </c>
      <c r="H1141" s="20">
        <v>25000000</v>
      </c>
      <c r="I1141" s="2">
        <v>1</v>
      </c>
      <c r="J1141" s="6">
        <v>6.4236111111111117E-3</v>
      </c>
      <c r="K1141" s="2" t="s">
        <v>18</v>
      </c>
      <c r="L1141" s="2" t="s">
        <v>29</v>
      </c>
      <c r="M1141" s="2" t="s">
        <v>51</v>
      </c>
      <c r="N1141" s="2" t="s">
        <v>78</v>
      </c>
      <c r="O1141" s="2" t="s">
        <v>41</v>
      </c>
    </row>
    <row r="1142" spans="1:15" ht="21" customHeight="1" x14ac:dyDescent="0.3">
      <c r="A1142" s="17"/>
      <c r="B1142" s="12" t="s">
        <v>14</v>
      </c>
      <c r="C1142" s="13">
        <v>1</v>
      </c>
      <c r="D1142" s="14" t="s">
        <v>60</v>
      </c>
      <c r="E1142" s="12" t="s">
        <v>49</v>
      </c>
      <c r="F1142" s="12" t="s">
        <v>23</v>
      </c>
      <c r="G1142" s="15">
        <v>2</v>
      </c>
      <c r="H1142" s="21">
        <v>12000000</v>
      </c>
      <c r="I1142" s="12">
        <v>1</v>
      </c>
      <c r="J1142" s="16">
        <v>6.4236111111111117E-3</v>
      </c>
      <c r="K1142" s="12" t="s">
        <v>18</v>
      </c>
      <c r="L1142" s="12" t="s">
        <v>29</v>
      </c>
      <c r="M1142" s="12" t="s">
        <v>43</v>
      </c>
      <c r="N1142" s="12" t="s">
        <v>76</v>
      </c>
      <c r="O1142" s="12" t="s">
        <v>52</v>
      </c>
    </row>
    <row r="1143" spans="1:15" ht="21" customHeight="1" x14ac:dyDescent="0.3">
      <c r="A1143" s="17"/>
      <c r="B1143" s="2" t="s">
        <v>14</v>
      </c>
      <c r="C1143" s="3">
        <v>29</v>
      </c>
      <c r="D1143" s="4" t="s">
        <v>22</v>
      </c>
      <c r="E1143" s="2" t="s">
        <v>28</v>
      </c>
      <c r="F1143" s="2" t="s">
        <v>17</v>
      </c>
      <c r="G1143" s="5">
        <v>5</v>
      </c>
      <c r="H1143" s="20">
        <v>21000000</v>
      </c>
      <c r="I1143" s="2">
        <v>5</v>
      </c>
      <c r="J1143" s="6">
        <v>6.4236111111111117E-3</v>
      </c>
      <c r="K1143" s="2" t="s">
        <v>18</v>
      </c>
      <c r="L1143" s="2" t="s">
        <v>19</v>
      </c>
      <c r="M1143" s="2" t="s">
        <v>30</v>
      </c>
      <c r="N1143" s="2" t="s">
        <v>77</v>
      </c>
      <c r="O1143" s="2" t="s">
        <v>54</v>
      </c>
    </row>
    <row r="1144" spans="1:15" ht="21" customHeight="1" x14ac:dyDescent="0.3">
      <c r="A1144" s="17"/>
      <c r="B1144" s="12" t="s">
        <v>70</v>
      </c>
      <c r="C1144" s="13">
        <v>13</v>
      </c>
      <c r="D1144" s="14" t="s">
        <v>55</v>
      </c>
      <c r="E1144" s="12" t="s">
        <v>16</v>
      </c>
      <c r="F1144" s="12" t="s">
        <v>45</v>
      </c>
      <c r="G1144" s="15">
        <v>0</v>
      </c>
      <c r="H1144" s="21">
        <v>0</v>
      </c>
      <c r="I1144" s="12">
        <v>2</v>
      </c>
      <c r="J1144" s="16">
        <v>6.4236111111111117E-3</v>
      </c>
      <c r="K1144" s="12"/>
      <c r="L1144" s="12"/>
      <c r="M1144" s="12" t="s">
        <v>43</v>
      </c>
      <c r="N1144" s="12" t="s">
        <v>66</v>
      </c>
      <c r="O1144" s="12" t="s">
        <v>67</v>
      </c>
    </row>
    <row r="1145" spans="1:15" ht="21" customHeight="1" x14ac:dyDescent="0.3">
      <c r="A1145" s="17"/>
      <c r="B1145" s="2" t="s">
        <v>70</v>
      </c>
      <c r="C1145" s="3">
        <v>29</v>
      </c>
      <c r="D1145" s="4" t="s">
        <v>27</v>
      </c>
      <c r="E1145" s="2" t="s">
        <v>28</v>
      </c>
      <c r="F1145" s="2" t="s">
        <v>23</v>
      </c>
      <c r="G1145" s="5">
        <v>0</v>
      </c>
      <c r="H1145" s="20">
        <v>0</v>
      </c>
      <c r="I1145" s="2">
        <v>2</v>
      </c>
      <c r="J1145" s="6">
        <v>6.4236111111111117E-3</v>
      </c>
      <c r="K1145" s="2"/>
      <c r="L1145" s="2"/>
      <c r="M1145" s="2" t="s">
        <v>43</v>
      </c>
      <c r="N1145" s="2" t="s">
        <v>76</v>
      </c>
      <c r="O1145" s="2" t="s">
        <v>26</v>
      </c>
    </row>
    <row r="1146" spans="1:15" ht="21" customHeight="1" x14ac:dyDescent="0.3">
      <c r="A1146" s="17"/>
      <c r="B1146" s="12" t="s">
        <v>70</v>
      </c>
      <c r="C1146" s="13">
        <v>30</v>
      </c>
      <c r="D1146" s="14" t="s">
        <v>69</v>
      </c>
      <c r="E1146" s="12" t="s">
        <v>28</v>
      </c>
      <c r="F1146" s="12" t="s">
        <v>42</v>
      </c>
      <c r="G1146" s="15">
        <v>0</v>
      </c>
      <c r="H1146" s="21">
        <v>0</v>
      </c>
      <c r="I1146" s="12">
        <v>4</v>
      </c>
      <c r="J1146" s="16">
        <v>6.4236111111111117E-3</v>
      </c>
      <c r="K1146" s="12"/>
      <c r="L1146" s="12"/>
      <c r="M1146" s="12" t="s">
        <v>30</v>
      </c>
      <c r="N1146" s="12" t="s">
        <v>77</v>
      </c>
      <c r="O1146" s="12" t="s">
        <v>65</v>
      </c>
    </row>
    <row r="1147" spans="1:15" ht="21" customHeight="1" x14ac:dyDescent="0.3">
      <c r="A1147" s="17"/>
      <c r="B1147" s="2" t="s">
        <v>70</v>
      </c>
      <c r="C1147" s="3">
        <v>13</v>
      </c>
      <c r="D1147" s="4" t="s">
        <v>55</v>
      </c>
      <c r="E1147" s="2" t="s">
        <v>16</v>
      </c>
      <c r="F1147" s="2" t="s">
        <v>45</v>
      </c>
      <c r="G1147" s="5">
        <v>0</v>
      </c>
      <c r="H1147" s="20">
        <v>0</v>
      </c>
      <c r="I1147" s="2">
        <v>2</v>
      </c>
      <c r="J1147" s="6">
        <v>6.4236111111111117E-3</v>
      </c>
      <c r="K1147" s="2"/>
      <c r="L1147" s="2"/>
      <c r="M1147" s="2" t="s">
        <v>43</v>
      </c>
      <c r="N1147" s="2" t="s">
        <v>66</v>
      </c>
      <c r="O1147" s="2" t="s">
        <v>67</v>
      </c>
    </row>
    <row r="1148" spans="1:15" ht="21" customHeight="1" x14ac:dyDescent="0.3">
      <c r="A1148" s="17"/>
      <c r="B1148" s="12" t="s">
        <v>14</v>
      </c>
      <c r="C1148" s="13">
        <v>12</v>
      </c>
      <c r="D1148" s="14" t="s">
        <v>55</v>
      </c>
      <c r="E1148" s="12" t="s">
        <v>32</v>
      </c>
      <c r="F1148" s="12" t="s">
        <v>42</v>
      </c>
      <c r="G1148" s="15">
        <v>2</v>
      </c>
      <c r="H1148" s="21">
        <v>12000000</v>
      </c>
      <c r="I1148" s="12">
        <v>3</v>
      </c>
      <c r="J1148" s="16">
        <v>6.6666666666666671E-3</v>
      </c>
      <c r="K1148" s="12" t="s">
        <v>18</v>
      </c>
      <c r="L1148" s="12" t="s">
        <v>19</v>
      </c>
      <c r="M1148" s="12" t="s">
        <v>30</v>
      </c>
      <c r="N1148" s="12" t="s">
        <v>77</v>
      </c>
      <c r="O1148" s="12" t="s">
        <v>54</v>
      </c>
    </row>
    <row r="1149" spans="1:15" ht="21" customHeight="1" x14ac:dyDescent="0.3">
      <c r="A1149" s="17"/>
      <c r="B1149" s="2" t="s">
        <v>14</v>
      </c>
      <c r="C1149" s="3">
        <v>1</v>
      </c>
      <c r="D1149" s="4" t="s">
        <v>72</v>
      </c>
      <c r="E1149" s="2" t="s">
        <v>28</v>
      </c>
      <c r="F1149" s="2" t="s">
        <v>42</v>
      </c>
      <c r="G1149" s="5">
        <v>5</v>
      </c>
      <c r="H1149" s="20">
        <v>25000000</v>
      </c>
      <c r="I1149" s="2">
        <v>1</v>
      </c>
      <c r="J1149" s="6">
        <v>6.6666666666666671E-3</v>
      </c>
      <c r="K1149" s="2" t="s">
        <v>18</v>
      </c>
      <c r="L1149" s="2" t="s">
        <v>29</v>
      </c>
      <c r="M1149" s="2" t="s">
        <v>43</v>
      </c>
      <c r="N1149" s="2" t="s">
        <v>76</v>
      </c>
      <c r="O1149" s="2" t="s">
        <v>31</v>
      </c>
    </row>
    <row r="1150" spans="1:15" ht="21" customHeight="1" x14ac:dyDescent="0.3">
      <c r="A1150" s="17"/>
      <c r="B1150" s="12" t="s">
        <v>14</v>
      </c>
      <c r="C1150" s="13">
        <v>11</v>
      </c>
      <c r="D1150" s="14" t="s">
        <v>27</v>
      </c>
      <c r="E1150" s="12" t="s">
        <v>49</v>
      </c>
      <c r="F1150" s="12" t="s">
        <v>68</v>
      </c>
      <c r="G1150" s="15">
        <v>1</v>
      </c>
      <c r="H1150" s="21">
        <v>7000000</v>
      </c>
      <c r="I1150" s="12">
        <v>2</v>
      </c>
      <c r="J1150" s="16">
        <v>6.6666666666666671E-3</v>
      </c>
      <c r="K1150" s="12" t="s">
        <v>18</v>
      </c>
      <c r="L1150" s="12" t="s">
        <v>56</v>
      </c>
      <c r="M1150" s="12" t="s">
        <v>51</v>
      </c>
      <c r="N1150" s="12" t="s">
        <v>66</v>
      </c>
      <c r="O1150" s="12" t="s">
        <v>67</v>
      </c>
    </row>
    <row r="1151" spans="1:15" ht="21" customHeight="1" x14ac:dyDescent="0.3">
      <c r="A1151" s="17"/>
      <c r="B1151" s="2" t="s">
        <v>14</v>
      </c>
      <c r="C1151" s="3">
        <v>12</v>
      </c>
      <c r="D1151" s="4" t="s">
        <v>37</v>
      </c>
      <c r="E1151" s="2" t="s">
        <v>16</v>
      </c>
      <c r="F1151" s="2" t="s">
        <v>42</v>
      </c>
      <c r="G1151" s="5">
        <v>2</v>
      </c>
      <c r="H1151" s="20">
        <v>38000000</v>
      </c>
      <c r="I1151" s="2">
        <v>3</v>
      </c>
      <c r="J1151" s="6">
        <v>6.6666666666666671E-3</v>
      </c>
      <c r="K1151" s="2" t="s">
        <v>46</v>
      </c>
      <c r="L1151" s="2" t="s">
        <v>56</v>
      </c>
      <c r="M1151" s="2" t="s">
        <v>48</v>
      </c>
      <c r="N1151" s="2" t="s">
        <v>76</v>
      </c>
      <c r="O1151" s="2" t="s">
        <v>52</v>
      </c>
    </row>
    <row r="1152" spans="1:15" ht="21" customHeight="1" x14ac:dyDescent="0.3">
      <c r="A1152" s="17"/>
      <c r="B1152" s="12" t="s">
        <v>14</v>
      </c>
      <c r="C1152" s="13">
        <v>28</v>
      </c>
      <c r="D1152" s="14" t="s">
        <v>37</v>
      </c>
      <c r="E1152" s="12" t="s">
        <v>49</v>
      </c>
      <c r="F1152" s="12" t="s">
        <v>17</v>
      </c>
      <c r="G1152" s="15">
        <v>3</v>
      </c>
      <c r="H1152" s="21">
        <v>15000000</v>
      </c>
      <c r="I1152" s="12">
        <v>1</v>
      </c>
      <c r="J1152" s="16">
        <v>6.6666666666666671E-3</v>
      </c>
      <c r="K1152" s="12" t="s">
        <v>18</v>
      </c>
      <c r="L1152" s="12" t="s">
        <v>24</v>
      </c>
      <c r="M1152" s="12" t="s">
        <v>33</v>
      </c>
      <c r="N1152" s="12" t="s">
        <v>78</v>
      </c>
      <c r="O1152" s="12" t="s">
        <v>41</v>
      </c>
    </row>
    <row r="1153" spans="1:15" ht="21" customHeight="1" x14ac:dyDescent="0.3">
      <c r="A1153" s="17"/>
      <c r="B1153" s="2" t="s">
        <v>14</v>
      </c>
      <c r="C1153" s="3">
        <v>8</v>
      </c>
      <c r="D1153" s="4" t="s">
        <v>37</v>
      </c>
      <c r="E1153" s="2" t="s">
        <v>32</v>
      </c>
      <c r="F1153" s="2" t="s">
        <v>45</v>
      </c>
      <c r="G1153" s="5">
        <v>2</v>
      </c>
      <c r="H1153" s="20">
        <v>12000000</v>
      </c>
      <c r="I1153" s="2">
        <v>4</v>
      </c>
      <c r="J1153" s="6">
        <v>6.6666666666666671E-3</v>
      </c>
      <c r="K1153" s="2" t="s">
        <v>18</v>
      </c>
      <c r="L1153" s="2" t="s">
        <v>29</v>
      </c>
      <c r="M1153" s="2" t="s">
        <v>51</v>
      </c>
      <c r="N1153" s="2" t="s">
        <v>76</v>
      </c>
      <c r="O1153" s="2" t="s">
        <v>31</v>
      </c>
    </row>
    <row r="1154" spans="1:15" ht="21" customHeight="1" x14ac:dyDescent="0.3">
      <c r="A1154" s="17"/>
      <c r="B1154" s="12" t="s">
        <v>14</v>
      </c>
      <c r="C1154" s="13">
        <v>11</v>
      </c>
      <c r="D1154" s="14" t="s">
        <v>44</v>
      </c>
      <c r="E1154" s="12" t="s">
        <v>28</v>
      </c>
      <c r="F1154" s="12" t="s">
        <v>17</v>
      </c>
      <c r="G1154" s="15">
        <v>2</v>
      </c>
      <c r="H1154" s="21">
        <v>12000000</v>
      </c>
      <c r="I1154" s="12">
        <v>1</v>
      </c>
      <c r="J1154" s="16">
        <v>6.6666666666666671E-3</v>
      </c>
      <c r="K1154" s="12" t="s">
        <v>18</v>
      </c>
      <c r="L1154" s="12" t="s">
        <v>39</v>
      </c>
      <c r="M1154" s="12" t="s">
        <v>43</v>
      </c>
      <c r="N1154" s="12" t="s">
        <v>76</v>
      </c>
      <c r="O1154" s="12" t="s">
        <v>26</v>
      </c>
    </row>
    <row r="1155" spans="1:15" ht="21" customHeight="1" x14ac:dyDescent="0.3">
      <c r="A1155" s="17"/>
      <c r="B1155" s="2" t="s">
        <v>14</v>
      </c>
      <c r="C1155" s="3">
        <v>22</v>
      </c>
      <c r="D1155" s="4" t="s">
        <v>44</v>
      </c>
      <c r="E1155" s="2" t="s">
        <v>32</v>
      </c>
      <c r="F1155" s="2" t="s">
        <v>17</v>
      </c>
      <c r="G1155" s="5">
        <v>4</v>
      </c>
      <c r="H1155" s="20">
        <v>20000000</v>
      </c>
      <c r="I1155" s="2">
        <v>4</v>
      </c>
      <c r="J1155" s="6">
        <v>6.6666666666666671E-3</v>
      </c>
      <c r="K1155" s="2" t="s">
        <v>18</v>
      </c>
      <c r="L1155" s="2" t="s">
        <v>19</v>
      </c>
      <c r="M1155" s="2" t="s">
        <v>40</v>
      </c>
      <c r="N1155" s="2" t="s">
        <v>78</v>
      </c>
      <c r="O1155" s="2" t="s">
        <v>41</v>
      </c>
    </row>
    <row r="1156" spans="1:15" ht="21" customHeight="1" x14ac:dyDescent="0.3">
      <c r="A1156" s="17"/>
      <c r="B1156" s="12" t="s">
        <v>14</v>
      </c>
      <c r="C1156" s="13">
        <v>12</v>
      </c>
      <c r="D1156" s="14" t="s">
        <v>55</v>
      </c>
      <c r="E1156" s="12" t="s">
        <v>32</v>
      </c>
      <c r="F1156" s="12" t="s">
        <v>42</v>
      </c>
      <c r="G1156" s="15">
        <v>2</v>
      </c>
      <c r="H1156" s="21">
        <v>12000000</v>
      </c>
      <c r="I1156" s="12">
        <v>3</v>
      </c>
      <c r="J1156" s="16">
        <v>6.6666666666666671E-3</v>
      </c>
      <c r="K1156" s="12" t="s">
        <v>18</v>
      </c>
      <c r="L1156" s="12" t="s">
        <v>19</v>
      </c>
      <c r="M1156" s="12" t="s">
        <v>30</v>
      </c>
      <c r="N1156" s="12" t="s">
        <v>77</v>
      </c>
      <c r="O1156" s="12" t="s">
        <v>54</v>
      </c>
    </row>
    <row r="1157" spans="1:15" ht="21" customHeight="1" x14ac:dyDescent="0.3">
      <c r="A1157" s="17"/>
      <c r="B1157" s="2" t="s">
        <v>14</v>
      </c>
      <c r="C1157" s="3">
        <v>1</v>
      </c>
      <c r="D1157" s="4" t="s">
        <v>72</v>
      </c>
      <c r="E1157" s="2" t="s">
        <v>28</v>
      </c>
      <c r="F1157" s="2" t="s">
        <v>42</v>
      </c>
      <c r="G1157" s="5">
        <v>5</v>
      </c>
      <c r="H1157" s="20">
        <v>25000000</v>
      </c>
      <c r="I1157" s="2">
        <v>1</v>
      </c>
      <c r="J1157" s="6">
        <v>6.6666666666666671E-3</v>
      </c>
      <c r="K1157" s="2" t="s">
        <v>18</v>
      </c>
      <c r="L1157" s="2" t="s">
        <v>29</v>
      </c>
      <c r="M1157" s="2" t="s">
        <v>43</v>
      </c>
      <c r="N1157" s="2" t="s">
        <v>76</v>
      </c>
      <c r="O1157" s="2" t="s">
        <v>31</v>
      </c>
    </row>
    <row r="1158" spans="1:15" ht="21" customHeight="1" x14ac:dyDescent="0.3">
      <c r="A1158" s="17"/>
      <c r="B1158" s="12" t="s">
        <v>70</v>
      </c>
      <c r="C1158" s="13">
        <v>27</v>
      </c>
      <c r="D1158" s="14" t="s">
        <v>27</v>
      </c>
      <c r="E1158" s="12" t="s">
        <v>16</v>
      </c>
      <c r="F1158" s="12" t="s">
        <v>17</v>
      </c>
      <c r="G1158" s="15">
        <v>0</v>
      </c>
      <c r="H1158" s="21">
        <v>0</v>
      </c>
      <c r="I1158" s="12">
        <v>1</v>
      </c>
      <c r="J1158" s="16">
        <v>6.6666666666666671E-3</v>
      </c>
      <c r="K1158" s="12"/>
      <c r="L1158" s="12"/>
      <c r="M1158" s="12" t="s">
        <v>33</v>
      </c>
      <c r="N1158" s="12" t="s">
        <v>77</v>
      </c>
      <c r="O1158" s="12" t="s">
        <v>65</v>
      </c>
    </row>
    <row r="1159" spans="1:15" ht="21" customHeight="1" x14ac:dyDescent="0.3">
      <c r="A1159" s="17"/>
      <c r="B1159" s="2" t="s">
        <v>70</v>
      </c>
      <c r="C1159" s="3">
        <v>3</v>
      </c>
      <c r="D1159" s="4" t="s">
        <v>37</v>
      </c>
      <c r="E1159" s="2" t="s">
        <v>16</v>
      </c>
      <c r="F1159" s="2" t="s">
        <v>42</v>
      </c>
      <c r="G1159" s="5">
        <v>0</v>
      </c>
      <c r="H1159" s="20">
        <v>0</v>
      </c>
      <c r="I1159" s="2">
        <v>1</v>
      </c>
      <c r="J1159" s="6">
        <v>6.6666666666666671E-3</v>
      </c>
      <c r="K1159" s="2"/>
      <c r="L1159" s="2"/>
      <c r="M1159" s="2" t="s">
        <v>30</v>
      </c>
      <c r="N1159" s="2" t="s">
        <v>78</v>
      </c>
      <c r="O1159" s="2" t="s">
        <v>62</v>
      </c>
    </row>
    <row r="1160" spans="1:15" ht="21" customHeight="1" x14ac:dyDescent="0.3">
      <c r="A1160" s="17"/>
      <c r="B1160" s="12" t="s">
        <v>70</v>
      </c>
      <c r="C1160" s="13">
        <v>11</v>
      </c>
      <c r="D1160" s="14" t="s">
        <v>44</v>
      </c>
      <c r="E1160" s="12" t="s">
        <v>16</v>
      </c>
      <c r="F1160" s="12" t="s">
        <v>17</v>
      </c>
      <c r="G1160" s="15">
        <v>0</v>
      </c>
      <c r="H1160" s="21">
        <v>0</v>
      </c>
      <c r="I1160" s="12">
        <v>3</v>
      </c>
      <c r="J1160" s="16">
        <v>6.6666666666666671E-3</v>
      </c>
      <c r="K1160" s="12"/>
      <c r="L1160" s="12"/>
      <c r="M1160" s="12" t="s">
        <v>40</v>
      </c>
      <c r="N1160" s="12" t="s">
        <v>78</v>
      </c>
      <c r="O1160" s="12" t="s">
        <v>41</v>
      </c>
    </row>
    <row r="1161" spans="1:15" ht="21" customHeight="1" x14ac:dyDescent="0.3">
      <c r="A1161" s="17"/>
      <c r="B1161" s="2" t="s">
        <v>70</v>
      </c>
      <c r="C1161" s="3">
        <v>10</v>
      </c>
      <c r="D1161" s="4" t="s">
        <v>44</v>
      </c>
      <c r="E1161" s="2" t="s">
        <v>32</v>
      </c>
      <c r="F1161" s="2" t="s">
        <v>23</v>
      </c>
      <c r="G1161" s="5">
        <v>0</v>
      </c>
      <c r="H1161" s="20">
        <v>0</v>
      </c>
      <c r="I1161" s="2">
        <v>5</v>
      </c>
      <c r="J1161" s="6">
        <v>6.6666666666666671E-3</v>
      </c>
      <c r="K1161" s="2"/>
      <c r="L1161" s="2"/>
      <c r="M1161" s="2" t="s">
        <v>51</v>
      </c>
      <c r="N1161" s="2" t="s">
        <v>78</v>
      </c>
      <c r="O1161" s="2" t="s">
        <v>63</v>
      </c>
    </row>
    <row r="1162" spans="1:15" ht="21" customHeight="1" x14ac:dyDescent="0.3">
      <c r="A1162" s="17"/>
      <c r="B1162" s="12" t="s">
        <v>14</v>
      </c>
      <c r="C1162" s="13">
        <v>12</v>
      </c>
      <c r="D1162" s="14" t="s">
        <v>60</v>
      </c>
      <c r="E1162" s="12" t="s">
        <v>28</v>
      </c>
      <c r="F1162" s="12" t="s">
        <v>42</v>
      </c>
      <c r="G1162" s="15">
        <v>3</v>
      </c>
      <c r="H1162" s="21">
        <v>15000000</v>
      </c>
      <c r="I1162" s="12">
        <v>3</v>
      </c>
      <c r="J1162" s="16">
        <v>7.0601851851851841E-3</v>
      </c>
      <c r="K1162" s="12" t="s">
        <v>18</v>
      </c>
      <c r="L1162" s="12" t="s">
        <v>64</v>
      </c>
      <c r="M1162" s="12" t="s">
        <v>48</v>
      </c>
      <c r="N1162" s="12" t="s">
        <v>77</v>
      </c>
      <c r="O1162" s="12" t="s">
        <v>65</v>
      </c>
    </row>
    <row r="1163" spans="1:15" ht="21" customHeight="1" x14ac:dyDescent="0.3">
      <c r="A1163" s="17"/>
      <c r="B1163" s="2" t="s">
        <v>14</v>
      </c>
      <c r="C1163" s="3">
        <v>13</v>
      </c>
      <c r="D1163" s="4" t="s">
        <v>22</v>
      </c>
      <c r="E1163" s="2" t="s">
        <v>16</v>
      </c>
      <c r="F1163" s="2" t="s">
        <v>42</v>
      </c>
      <c r="G1163" s="5">
        <v>3</v>
      </c>
      <c r="H1163" s="20">
        <v>15000000</v>
      </c>
      <c r="I1163" s="2">
        <v>1</v>
      </c>
      <c r="J1163" s="6">
        <v>7.0601851851851841E-3</v>
      </c>
      <c r="K1163" s="2" t="s">
        <v>18</v>
      </c>
      <c r="L1163" s="2" t="s">
        <v>47</v>
      </c>
      <c r="M1163" s="2" t="s">
        <v>33</v>
      </c>
      <c r="N1163" s="2" t="s">
        <v>76</v>
      </c>
      <c r="O1163" s="2" t="s">
        <v>31</v>
      </c>
    </row>
    <row r="1164" spans="1:15" ht="21" customHeight="1" x14ac:dyDescent="0.3">
      <c r="A1164" s="17"/>
      <c r="B1164" s="12" t="s">
        <v>14</v>
      </c>
      <c r="C1164" s="13">
        <v>11</v>
      </c>
      <c r="D1164" s="14" t="s">
        <v>22</v>
      </c>
      <c r="E1164" s="12" t="s">
        <v>49</v>
      </c>
      <c r="F1164" s="12" t="s">
        <v>17</v>
      </c>
      <c r="G1164" s="15">
        <v>1</v>
      </c>
      <c r="H1164" s="21">
        <v>7000000</v>
      </c>
      <c r="I1164" s="12">
        <v>3</v>
      </c>
      <c r="J1164" s="16">
        <v>7.0601851851851841E-3</v>
      </c>
      <c r="K1164" s="12" t="s">
        <v>18</v>
      </c>
      <c r="L1164" s="12" t="s">
        <v>56</v>
      </c>
      <c r="M1164" s="12" t="s">
        <v>20</v>
      </c>
      <c r="N1164" s="12" t="s">
        <v>78</v>
      </c>
      <c r="O1164" s="12" t="s">
        <v>41</v>
      </c>
    </row>
    <row r="1165" spans="1:15" ht="21" customHeight="1" x14ac:dyDescent="0.3">
      <c r="A1165" s="17"/>
      <c r="B1165" s="2" t="s">
        <v>14</v>
      </c>
      <c r="C1165" s="3">
        <v>7</v>
      </c>
      <c r="D1165" s="4" t="s">
        <v>27</v>
      </c>
      <c r="E1165" s="2" t="s">
        <v>32</v>
      </c>
      <c r="F1165" s="2" t="s">
        <v>42</v>
      </c>
      <c r="G1165" s="5">
        <v>2</v>
      </c>
      <c r="H1165" s="20">
        <v>12000000</v>
      </c>
      <c r="I1165" s="2">
        <v>4</v>
      </c>
      <c r="J1165" s="6">
        <v>7.0601851851851841E-3</v>
      </c>
      <c r="K1165" s="2" t="s">
        <v>18</v>
      </c>
      <c r="L1165" s="2" t="s">
        <v>39</v>
      </c>
      <c r="M1165" s="2" t="s">
        <v>40</v>
      </c>
      <c r="N1165" s="2" t="s">
        <v>78</v>
      </c>
      <c r="O1165" s="2" t="s">
        <v>62</v>
      </c>
    </row>
    <row r="1166" spans="1:15" ht="21" customHeight="1" x14ac:dyDescent="0.3">
      <c r="A1166" s="17"/>
      <c r="B1166" s="12" t="s">
        <v>14</v>
      </c>
      <c r="C1166" s="13">
        <v>9</v>
      </c>
      <c r="D1166" s="14" t="s">
        <v>27</v>
      </c>
      <c r="E1166" s="12" t="s">
        <v>28</v>
      </c>
      <c r="F1166" s="12" t="s">
        <v>23</v>
      </c>
      <c r="G1166" s="15">
        <v>3</v>
      </c>
      <c r="H1166" s="21">
        <v>15000000</v>
      </c>
      <c r="I1166" s="12">
        <v>4</v>
      </c>
      <c r="J1166" s="16">
        <v>7.0601851851851841E-3</v>
      </c>
      <c r="K1166" s="12" t="s">
        <v>18</v>
      </c>
      <c r="L1166" s="12" t="s">
        <v>19</v>
      </c>
      <c r="M1166" s="12" t="s">
        <v>33</v>
      </c>
      <c r="N1166" s="12" t="s">
        <v>77</v>
      </c>
      <c r="O1166" s="12" t="s">
        <v>54</v>
      </c>
    </row>
    <row r="1167" spans="1:15" ht="21" customHeight="1" x14ac:dyDescent="0.3">
      <c r="A1167" s="17"/>
      <c r="B1167" s="2" t="s">
        <v>14</v>
      </c>
      <c r="C1167" s="3">
        <v>24</v>
      </c>
      <c r="D1167" s="4" t="s">
        <v>27</v>
      </c>
      <c r="E1167" s="2" t="s">
        <v>28</v>
      </c>
      <c r="F1167" s="2" t="s">
        <v>45</v>
      </c>
      <c r="G1167" s="5">
        <v>2</v>
      </c>
      <c r="H1167" s="20">
        <v>12000000</v>
      </c>
      <c r="I1167" s="2">
        <v>2</v>
      </c>
      <c r="J1167" s="6">
        <v>7.0601851851851841E-3</v>
      </c>
      <c r="K1167" s="2" t="s">
        <v>18</v>
      </c>
      <c r="L1167" s="2" t="s">
        <v>39</v>
      </c>
      <c r="M1167" s="2" t="s">
        <v>51</v>
      </c>
      <c r="N1167" s="2" t="s">
        <v>76</v>
      </c>
      <c r="O1167" s="2" t="s">
        <v>52</v>
      </c>
    </row>
    <row r="1168" spans="1:15" ht="21" customHeight="1" x14ac:dyDescent="0.3">
      <c r="A1168" s="17"/>
      <c r="B1168" s="12" t="s">
        <v>14</v>
      </c>
      <c r="C1168" s="13">
        <v>28</v>
      </c>
      <c r="D1168" s="14" t="s">
        <v>37</v>
      </c>
      <c r="E1168" s="12" t="s">
        <v>38</v>
      </c>
      <c r="F1168" s="12" t="s">
        <v>42</v>
      </c>
      <c r="G1168" s="15">
        <v>4</v>
      </c>
      <c r="H1168" s="21">
        <v>20000000</v>
      </c>
      <c r="I1168" s="12">
        <v>1</v>
      </c>
      <c r="J1168" s="16">
        <v>7.0601851851851841E-3</v>
      </c>
      <c r="K1168" s="12" t="s">
        <v>18</v>
      </c>
      <c r="L1168" s="12" t="s">
        <v>19</v>
      </c>
      <c r="M1168" s="12" t="s">
        <v>30</v>
      </c>
      <c r="N1168" s="12" t="s">
        <v>78</v>
      </c>
      <c r="O1168" s="12" t="s">
        <v>62</v>
      </c>
    </row>
    <row r="1169" spans="1:15" ht="21" customHeight="1" x14ac:dyDescent="0.3">
      <c r="A1169" s="17"/>
      <c r="B1169" s="2" t="s">
        <v>14</v>
      </c>
      <c r="C1169" s="3">
        <v>25</v>
      </c>
      <c r="D1169" s="4" t="s">
        <v>37</v>
      </c>
      <c r="E1169" s="2" t="s">
        <v>28</v>
      </c>
      <c r="F1169" s="2" t="s">
        <v>68</v>
      </c>
      <c r="G1169" s="5">
        <v>5</v>
      </c>
      <c r="H1169" s="20">
        <v>20000000</v>
      </c>
      <c r="I1169" s="2">
        <v>5</v>
      </c>
      <c r="J1169" s="6">
        <v>7.0601851851851841E-3</v>
      </c>
      <c r="K1169" s="2" t="s">
        <v>18</v>
      </c>
      <c r="L1169" s="2" t="s">
        <v>35</v>
      </c>
      <c r="M1169" s="2" t="s">
        <v>43</v>
      </c>
      <c r="N1169" s="2" t="s">
        <v>76</v>
      </c>
      <c r="O1169" s="2" t="s">
        <v>31</v>
      </c>
    </row>
    <row r="1170" spans="1:15" ht="21" customHeight="1" x14ac:dyDescent="0.3">
      <c r="A1170" s="17"/>
      <c r="B1170" s="12" t="s">
        <v>14</v>
      </c>
      <c r="C1170" s="13">
        <v>29</v>
      </c>
      <c r="D1170" s="14" t="s">
        <v>37</v>
      </c>
      <c r="E1170" s="12" t="s">
        <v>28</v>
      </c>
      <c r="F1170" s="12" t="s">
        <v>23</v>
      </c>
      <c r="G1170" s="15">
        <v>2</v>
      </c>
      <c r="H1170" s="21">
        <v>12000000</v>
      </c>
      <c r="I1170" s="12">
        <v>2</v>
      </c>
      <c r="J1170" s="16">
        <v>7.0601851851851841E-3</v>
      </c>
      <c r="K1170" s="12" t="s">
        <v>18</v>
      </c>
      <c r="L1170" s="12" t="s">
        <v>47</v>
      </c>
      <c r="M1170" s="12" t="s">
        <v>51</v>
      </c>
      <c r="N1170" s="12" t="s">
        <v>76</v>
      </c>
      <c r="O1170" s="12" t="s">
        <v>26</v>
      </c>
    </row>
    <row r="1171" spans="1:15" ht="21" customHeight="1" x14ac:dyDescent="0.3">
      <c r="A1171" s="17"/>
      <c r="B1171" s="2" t="s">
        <v>14</v>
      </c>
      <c r="C1171" s="3">
        <v>25</v>
      </c>
      <c r="D1171" s="4" t="s">
        <v>69</v>
      </c>
      <c r="E1171" s="2" t="s">
        <v>16</v>
      </c>
      <c r="F1171" s="2" t="s">
        <v>23</v>
      </c>
      <c r="G1171" s="5">
        <v>4</v>
      </c>
      <c r="H1171" s="20">
        <v>20000000</v>
      </c>
      <c r="I1171" s="2">
        <v>1</v>
      </c>
      <c r="J1171" s="6">
        <v>7.0601851851851841E-3</v>
      </c>
      <c r="K1171" s="2" t="s">
        <v>61</v>
      </c>
      <c r="L1171" s="2" t="s">
        <v>50</v>
      </c>
      <c r="M1171" s="2" t="s">
        <v>43</v>
      </c>
      <c r="N1171" s="2" t="s">
        <v>66</v>
      </c>
      <c r="O1171" s="2" t="s">
        <v>67</v>
      </c>
    </row>
    <row r="1172" spans="1:15" ht="21" customHeight="1" x14ac:dyDescent="0.3">
      <c r="A1172" s="17"/>
      <c r="B1172" s="12" t="s">
        <v>14</v>
      </c>
      <c r="C1172" s="13">
        <v>12</v>
      </c>
      <c r="D1172" s="14" t="s">
        <v>60</v>
      </c>
      <c r="E1172" s="12" t="s">
        <v>28</v>
      </c>
      <c r="F1172" s="12" t="s">
        <v>42</v>
      </c>
      <c r="G1172" s="15">
        <v>3</v>
      </c>
      <c r="H1172" s="21">
        <v>15000000</v>
      </c>
      <c r="I1172" s="12">
        <v>3</v>
      </c>
      <c r="J1172" s="16">
        <v>7.0601851851851841E-3</v>
      </c>
      <c r="K1172" s="12" t="s">
        <v>18</v>
      </c>
      <c r="L1172" s="12" t="s">
        <v>64</v>
      </c>
      <c r="M1172" s="12" t="s">
        <v>48</v>
      </c>
      <c r="N1172" s="12" t="s">
        <v>77</v>
      </c>
      <c r="O1172" s="12" t="s">
        <v>65</v>
      </c>
    </row>
    <row r="1173" spans="1:15" ht="21" customHeight="1" x14ac:dyDescent="0.3">
      <c r="A1173" s="17"/>
      <c r="B1173" s="2" t="s">
        <v>14</v>
      </c>
      <c r="C1173" s="3">
        <v>13</v>
      </c>
      <c r="D1173" s="4" t="s">
        <v>22</v>
      </c>
      <c r="E1173" s="2" t="s">
        <v>16</v>
      </c>
      <c r="F1173" s="2" t="s">
        <v>42</v>
      </c>
      <c r="G1173" s="5">
        <v>3</v>
      </c>
      <c r="H1173" s="20">
        <v>15000000</v>
      </c>
      <c r="I1173" s="2">
        <v>1</v>
      </c>
      <c r="J1173" s="6">
        <v>7.0601851851851841E-3</v>
      </c>
      <c r="K1173" s="2" t="s">
        <v>18</v>
      </c>
      <c r="L1173" s="2" t="s">
        <v>47</v>
      </c>
      <c r="M1173" s="2" t="s">
        <v>33</v>
      </c>
      <c r="N1173" s="2" t="s">
        <v>76</v>
      </c>
      <c r="O1173" s="2" t="s">
        <v>31</v>
      </c>
    </row>
    <row r="1174" spans="1:15" ht="21" customHeight="1" x14ac:dyDescent="0.3">
      <c r="A1174" s="17"/>
      <c r="B1174" s="12" t="s">
        <v>70</v>
      </c>
      <c r="C1174" s="13">
        <v>21</v>
      </c>
      <c r="D1174" s="14" t="s">
        <v>27</v>
      </c>
      <c r="E1174" s="12" t="s">
        <v>16</v>
      </c>
      <c r="F1174" s="12" t="s">
        <v>42</v>
      </c>
      <c r="G1174" s="15">
        <v>0</v>
      </c>
      <c r="H1174" s="21">
        <v>0</v>
      </c>
      <c r="I1174" s="12">
        <v>2</v>
      </c>
      <c r="J1174" s="16">
        <v>7.0601851851851841E-3</v>
      </c>
      <c r="K1174" s="12"/>
      <c r="L1174" s="12"/>
      <c r="M1174" s="12" t="s">
        <v>33</v>
      </c>
      <c r="N1174" s="12" t="s">
        <v>78</v>
      </c>
      <c r="O1174" s="12" t="s">
        <v>66</v>
      </c>
    </row>
    <row r="1175" spans="1:15" ht="21" customHeight="1" x14ac:dyDescent="0.3">
      <c r="A1175" s="17"/>
      <c r="B1175" s="2" t="s">
        <v>70</v>
      </c>
      <c r="C1175" s="3">
        <v>25</v>
      </c>
      <c r="D1175" s="4" t="s">
        <v>44</v>
      </c>
      <c r="E1175" s="2" t="s">
        <v>28</v>
      </c>
      <c r="F1175" s="2" t="s">
        <v>42</v>
      </c>
      <c r="G1175" s="5">
        <v>0</v>
      </c>
      <c r="H1175" s="20">
        <v>0</v>
      </c>
      <c r="I1175" s="2">
        <v>2</v>
      </c>
      <c r="J1175" s="6">
        <v>7.0601851851851841E-3</v>
      </c>
      <c r="K1175" s="2"/>
      <c r="L1175" s="2"/>
      <c r="M1175" s="2" t="s">
        <v>25</v>
      </c>
      <c r="N1175" s="2" t="s">
        <v>76</v>
      </c>
      <c r="O1175" s="2" t="s">
        <v>52</v>
      </c>
    </row>
    <row r="1176" spans="1:15" ht="21" customHeight="1" x14ac:dyDescent="0.3">
      <c r="A1176" s="17"/>
      <c r="B1176" s="12" t="s">
        <v>70</v>
      </c>
      <c r="C1176" s="13">
        <v>11</v>
      </c>
      <c r="D1176" s="14" t="s">
        <v>44</v>
      </c>
      <c r="E1176" s="12" t="s">
        <v>32</v>
      </c>
      <c r="F1176" s="12" t="s">
        <v>68</v>
      </c>
      <c r="G1176" s="15">
        <v>0</v>
      </c>
      <c r="H1176" s="21">
        <v>0</v>
      </c>
      <c r="I1176" s="12">
        <v>2</v>
      </c>
      <c r="J1176" s="16">
        <v>7.0601851851851841E-3</v>
      </c>
      <c r="K1176" s="12"/>
      <c r="L1176" s="12"/>
      <c r="M1176" s="12" t="s">
        <v>48</v>
      </c>
      <c r="N1176" s="12" t="s">
        <v>78</v>
      </c>
      <c r="O1176" s="12" t="s">
        <v>41</v>
      </c>
    </row>
    <row r="1177" spans="1:15" ht="21" customHeight="1" x14ac:dyDescent="0.3">
      <c r="A1177" s="17"/>
      <c r="B1177" s="2" t="s">
        <v>14</v>
      </c>
      <c r="C1177" s="3">
        <v>1</v>
      </c>
      <c r="D1177" s="4" t="s">
        <v>15</v>
      </c>
      <c r="E1177" s="2" t="s">
        <v>28</v>
      </c>
      <c r="F1177" s="2" t="s">
        <v>23</v>
      </c>
      <c r="G1177" s="5">
        <v>5</v>
      </c>
      <c r="H1177" s="20">
        <v>25000000</v>
      </c>
      <c r="I1177" s="2">
        <v>1</v>
      </c>
      <c r="J1177" s="6">
        <v>7.8703703703703713E-3</v>
      </c>
      <c r="K1177" s="2" t="s">
        <v>18</v>
      </c>
      <c r="L1177" s="2" t="s">
        <v>19</v>
      </c>
      <c r="M1177" s="2" t="s">
        <v>43</v>
      </c>
      <c r="N1177" s="2" t="s">
        <v>66</v>
      </c>
      <c r="O1177" s="2" t="s">
        <v>36</v>
      </c>
    </row>
    <row r="1178" spans="1:15" ht="21" customHeight="1" x14ac:dyDescent="0.3">
      <c r="A1178" s="17"/>
      <c r="B1178" s="12" t="s">
        <v>14</v>
      </c>
      <c r="C1178" s="13">
        <v>11</v>
      </c>
      <c r="D1178" s="14" t="s">
        <v>15</v>
      </c>
      <c r="E1178" s="12" t="s">
        <v>49</v>
      </c>
      <c r="F1178" s="12" t="s">
        <v>23</v>
      </c>
      <c r="G1178" s="15">
        <v>3</v>
      </c>
      <c r="H1178" s="21">
        <v>15000000</v>
      </c>
      <c r="I1178" s="12">
        <v>2</v>
      </c>
      <c r="J1178" s="16">
        <v>7.8703703703703713E-3</v>
      </c>
      <c r="K1178" s="12" t="s">
        <v>18</v>
      </c>
      <c r="L1178" s="12" t="s">
        <v>35</v>
      </c>
      <c r="M1178" s="12" t="s">
        <v>48</v>
      </c>
      <c r="N1178" s="12" t="s">
        <v>77</v>
      </c>
      <c r="O1178" s="12" t="s">
        <v>65</v>
      </c>
    </row>
    <row r="1179" spans="1:15" ht="21" customHeight="1" x14ac:dyDescent="0.3">
      <c r="A1179" s="17"/>
      <c r="B1179" s="2" t="s">
        <v>14</v>
      </c>
      <c r="C1179" s="3">
        <v>4</v>
      </c>
      <c r="D1179" s="4" t="s">
        <v>59</v>
      </c>
      <c r="E1179" s="2" t="s">
        <v>28</v>
      </c>
      <c r="F1179" s="2" t="s">
        <v>42</v>
      </c>
      <c r="G1179" s="5">
        <v>4</v>
      </c>
      <c r="H1179" s="20">
        <v>20000000</v>
      </c>
      <c r="I1179" s="2">
        <v>1</v>
      </c>
      <c r="J1179" s="6">
        <v>7.8703703703703713E-3</v>
      </c>
      <c r="K1179" s="2" t="s">
        <v>61</v>
      </c>
      <c r="L1179" s="2" t="s">
        <v>56</v>
      </c>
      <c r="M1179" s="2" t="s">
        <v>30</v>
      </c>
      <c r="N1179" s="2" t="s">
        <v>76</v>
      </c>
      <c r="O1179" s="2" t="s">
        <v>71</v>
      </c>
    </row>
    <row r="1180" spans="1:15" ht="21" customHeight="1" x14ac:dyDescent="0.3">
      <c r="A1180" s="17"/>
      <c r="B1180" s="12" t="s">
        <v>14</v>
      </c>
      <c r="C1180" s="13">
        <v>30</v>
      </c>
      <c r="D1180" s="14" t="s">
        <v>27</v>
      </c>
      <c r="E1180" s="12" t="s">
        <v>28</v>
      </c>
      <c r="F1180" s="12" t="s">
        <v>42</v>
      </c>
      <c r="G1180" s="15">
        <v>2</v>
      </c>
      <c r="H1180" s="21">
        <v>10000000</v>
      </c>
      <c r="I1180" s="12">
        <v>1</v>
      </c>
      <c r="J1180" s="16">
        <v>7.8703703703703713E-3</v>
      </c>
      <c r="K1180" s="12" t="s">
        <v>18</v>
      </c>
      <c r="L1180" s="12" t="s">
        <v>56</v>
      </c>
      <c r="M1180" s="12" t="s">
        <v>20</v>
      </c>
      <c r="N1180" s="12" t="s">
        <v>78</v>
      </c>
      <c r="O1180" s="12" t="s">
        <v>21</v>
      </c>
    </row>
    <row r="1181" spans="1:15" ht="21" customHeight="1" x14ac:dyDescent="0.3">
      <c r="A1181" s="17"/>
      <c r="B1181" s="2" t="s">
        <v>14</v>
      </c>
      <c r="C1181" s="3">
        <v>14</v>
      </c>
      <c r="D1181" s="4" t="s">
        <v>37</v>
      </c>
      <c r="E1181" s="2" t="s">
        <v>16</v>
      </c>
      <c r="F1181" s="2" t="s">
        <v>23</v>
      </c>
      <c r="G1181" s="5">
        <v>1</v>
      </c>
      <c r="H1181" s="20">
        <v>19000000</v>
      </c>
      <c r="I1181" s="2">
        <v>2</v>
      </c>
      <c r="J1181" s="6">
        <v>7.8703703703703713E-3</v>
      </c>
      <c r="K1181" s="2" t="s">
        <v>46</v>
      </c>
      <c r="L1181" s="2" t="s">
        <v>29</v>
      </c>
      <c r="M1181" s="2" t="s">
        <v>48</v>
      </c>
      <c r="N1181" s="2" t="s">
        <v>66</v>
      </c>
      <c r="O1181" s="2" t="s">
        <v>36</v>
      </c>
    </row>
    <row r="1182" spans="1:15" ht="21" customHeight="1" x14ac:dyDescent="0.3">
      <c r="A1182" s="17"/>
      <c r="B1182" s="12" t="s">
        <v>14</v>
      </c>
      <c r="C1182" s="13">
        <v>19</v>
      </c>
      <c r="D1182" s="14" t="s">
        <v>37</v>
      </c>
      <c r="E1182" s="12" t="s">
        <v>28</v>
      </c>
      <c r="F1182" s="12" t="s">
        <v>23</v>
      </c>
      <c r="G1182" s="15">
        <v>1</v>
      </c>
      <c r="H1182" s="21">
        <v>7000000</v>
      </c>
      <c r="I1182" s="12">
        <v>4</v>
      </c>
      <c r="J1182" s="16">
        <v>7.8703703703703713E-3</v>
      </c>
      <c r="K1182" s="12" t="s">
        <v>18</v>
      </c>
      <c r="L1182" s="12" t="s">
        <v>24</v>
      </c>
      <c r="M1182" s="12" t="s">
        <v>33</v>
      </c>
      <c r="N1182" s="12" t="s">
        <v>76</v>
      </c>
      <c r="O1182" s="12" t="s">
        <v>71</v>
      </c>
    </row>
    <row r="1183" spans="1:15" ht="21" customHeight="1" x14ac:dyDescent="0.3">
      <c r="A1183" s="17"/>
      <c r="B1183" s="2" t="s">
        <v>14</v>
      </c>
      <c r="C1183" s="3">
        <v>3</v>
      </c>
      <c r="D1183" s="4" t="s">
        <v>37</v>
      </c>
      <c r="E1183" s="2" t="s">
        <v>16</v>
      </c>
      <c r="F1183" s="2" t="s">
        <v>45</v>
      </c>
      <c r="G1183" s="5">
        <v>3</v>
      </c>
      <c r="H1183" s="20">
        <v>12000000</v>
      </c>
      <c r="I1183" s="2">
        <v>2</v>
      </c>
      <c r="J1183" s="6">
        <v>7.8703703703703713E-3</v>
      </c>
      <c r="K1183" s="2" t="s">
        <v>18</v>
      </c>
      <c r="L1183" s="2" t="s">
        <v>39</v>
      </c>
      <c r="M1183" s="2" t="s">
        <v>51</v>
      </c>
      <c r="N1183" s="2" t="s">
        <v>76</v>
      </c>
      <c r="O1183" s="2" t="s">
        <v>26</v>
      </c>
    </row>
    <row r="1184" spans="1:15" ht="21" customHeight="1" x14ac:dyDescent="0.3">
      <c r="A1184" s="17"/>
      <c r="B1184" s="12" t="s">
        <v>14</v>
      </c>
      <c r="C1184" s="13">
        <v>3</v>
      </c>
      <c r="D1184" s="14" t="s">
        <v>44</v>
      </c>
      <c r="E1184" s="12" t="s">
        <v>32</v>
      </c>
      <c r="F1184" s="12" t="s">
        <v>23</v>
      </c>
      <c r="G1184" s="15">
        <v>2</v>
      </c>
      <c r="H1184" s="21">
        <v>38000000</v>
      </c>
      <c r="I1184" s="12">
        <v>2</v>
      </c>
      <c r="J1184" s="16">
        <v>7.8703703703703713E-3</v>
      </c>
      <c r="K1184" s="12" t="s">
        <v>46</v>
      </c>
      <c r="L1184" s="12" t="s">
        <v>64</v>
      </c>
      <c r="M1184" s="12" t="s">
        <v>33</v>
      </c>
      <c r="N1184" s="12" t="s">
        <v>76</v>
      </c>
      <c r="O1184" s="12" t="s">
        <v>31</v>
      </c>
    </row>
    <row r="1185" spans="1:15" ht="21" customHeight="1" x14ac:dyDescent="0.3">
      <c r="A1185" s="17"/>
      <c r="B1185" s="2" t="s">
        <v>14</v>
      </c>
      <c r="C1185" s="3">
        <v>12</v>
      </c>
      <c r="D1185" s="4" t="s">
        <v>44</v>
      </c>
      <c r="E1185" s="2" t="s">
        <v>49</v>
      </c>
      <c r="F1185" s="2" t="s">
        <v>42</v>
      </c>
      <c r="G1185" s="5">
        <v>3</v>
      </c>
      <c r="H1185" s="20">
        <v>15000000</v>
      </c>
      <c r="I1185" s="2">
        <v>1</v>
      </c>
      <c r="J1185" s="6">
        <v>7.8703703703703713E-3</v>
      </c>
      <c r="K1185" s="2" t="s">
        <v>18</v>
      </c>
      <c r="L1185" s="2" t="s">
        <v>29</v>
      </c>
      <c r="M1185" s="2" t="s">
        <v>51</v>
      </c>
      <c r="N1185" s="2" t="s">
        <v>78</v>
      </c>
      <c r="O1185" s="2" t="s">
        <v>53</v>
      </c>
    </row>
    <row r="1186" spans="1:15" ht="21" customHeight="1" x14ac:dyDescent="0.3">
      <c r="A1186" s="17"/>
      <c r="B1186" s="12" t="s">
        <v>14</v>
      </c>
      <c r="C1186" s="13">
        <v>22</v>
      </c>
      <c r="D1186" s="14" t="s">
        <v>44</v>
      </c>
      <c r="E1186" s="12" t="s">
        <v>16</v>
      </c>
      <c r="F1186" s="12" t="s">
        <v>68</v>
      </c>
      <c r="G1186" s="15">
        <v>2</v>
      </c>
      <c r="H1186" s="21">
        <v>12000000</v>
      </c>
      <c r="I1186" s="12">
        <v>3</v>
      </c>
      <c r="J1186" s="16">
        <v>7.8703703703703713E-3</v>
      </c>
      <c r="K1186" s="12" t="s">
        <v>18</v>
      </c>
      <c r="L1186" s="12" t="s">
        <v>19</v>
      </c>
      <c r="M1186" s="12" t="s">
        <v>40</v>
      </c>
      <c r="N1186" s="12" t="s">
        <v>78</v>
      </c>
      <c r="O1186" s="12" t="s">
        <v>63</v>
      </c>
    </row>
    <row r="1187" spans="1:15" ht="21" customHeight="1" x14ac:dyDescent="0.3">
      <c r="A1187" s="17"/>
      <c r="B1187" s="2" t="s">
        <v>14</v>
      </c>
      <c r="C1187" s="3">
        <v>1</v>
      </c>
      <c r="D1187" s="4" t="s">
        <v>15</v>
      </c>
      <c r="E1187" s="2" t="s">
        <v>28</v>
      </c>
      <c r="F1187" s="2" t="s">
        <v>23</v>
      </c>
      <c r="G1187" s="5">
        <v>5</v>
      </c>
      <c r="H1187" s="20">
        <v>25000000</v>
      </c>
      <c r="I1187" s="2">
        <v>1</v>
      </c>
      <c r="J1187" s="6">
        <v>7.8703703703703713E-3</v>
      </c>
      <c r="K1187" s="2" t="s">
        <v>18</v>
      </c>
      <c r="L1187" s="2" t="s">
        <v>19</v>
      </c>
      <c r="M1187" s="2" t="s">
        <v>43</v>
      </c>
      <c r="N1187" s="2" t="s">
        <v>66</v>
      </c>
      <c r="O1187" s="2" t="s">
        <v>36</v>
      </c>
    </row>
    <row r="1188" spans="1:15" ht="21" customHeight="1" x14ac:dyDescent="0.3">
      <c r="A1188" s="17"/>
      <c r="B1188" s="12" t="s">
        <v>14</v>
      </c>
      <c r="C1188" s="13">
        <v>11</v>
      </c>
      <c r="D1188" s="14" t="s">
        <v>15</v>
      </c>
      <c r="E1188" s="12" t="s">
        <v>49</v>
      </c>
      <c r="F1188" s="12" t="s">
        <v>23</v>
      </c>
      <c r="G1188" s="15">
        <v>3</v>
      </c>
      <c r="H1188" s="21">
        <v>15000000</v>
      </c>
      <c r="I1188" s="12">
        <v>2</v>
      </c>
      <c r="J1188" s="16">
        <v>7.8703703703703713E-3</v>
      </c>
      <c r="K1188" s="12" t="s">
        <v>18</v>
      </c>
      <c r="L1188" s="12" t="s">
        <v>35</v>
      </c>
      <c r="M1188" s="12" t="s">
        <v>48</v>
      </c>
      <c r="N1188" s="12" t="s">
        <v>77</v>
      </c>
      <c r="O1188" s="12" t="s">
        <v>65</v>
      </c>
    </row>
    <row r="1189" spans="1:15" ht="21" customHeight="1" x14ac:dyDescent="0.3">
      <c r="A1189" s="17"/>
      <c r="B1189" s="2" t="s">
        <v>14</v>
      </c>
      <c r="C1189" s="3">
        <v>4</v>
      </c>
      <c r="D1189" s="4" t="s">
        <v>59</v>
      </c>
      <c r="E1189" s="2" t="s">
        <v>28</v>
      </c>
      <c r="F1189" s="2" t="s">
        <v>42</v>
      </c>
      <c r="G1189" s="5">
        <v>4</v>
      </c>
      <c r="H1189" s="20">
        <v>20000000</v>
      </c>
      <c r="I1189" s="2">
        <v>1</v>
      </c>
      <c r="J1189" s="6">
        <v>7.8703703703703713E-3</v>
      </c>
      <c r="K1189" s="2" t="s">
        <v>61</v>
      </c>
      <c r="L1189" s="2" t="s">
        <v>56</v>
      </c>
      <c r="M1189" s="2" t="s">
        <v>30</v>
      </c>
      <c r="N1189" s="2" t="s">
        <v>76</v>
      </c>
      <c r="O1189" s="2" t="s">
        <v>71</v>
      </c>
    </row>
    <row r="1190" spans="1:15" ht="21" customHeight="1" x14ac:dyDescent="0.3">
      <c r="A1190" s="17"/>
      <c r="B1190" s="12" t="s">
        <v>70</v>
      </c>
      <c r="C1190" s="13">
        <v>5</v>
      </c>
      <c r="D1190" s="14" t="s">
        <v>37</v>
      </c>
      <c r="E1190" s="12" t="s">
        <v>16</v>
      </c>
      <c r="F1190" s="12" t="s">
        <v>42</v>
      </c>
      <c r="G1190" s="15">
        <v>0</v>
      </c>
      <c r="H1190" s="21">
        <v>0</v>
      </c>
      <c r="I1190" s="12">
        <v>3</v>
      </c>
      <c r="J1190" s="16">
        <v>7.8703703703703713E-3</v>
      </c>
      <c r="K1190" s="12"/>
      <c r="L1190" s="12"/>
      <c r="M1190" s="12" t="s">
        <v>30</v>
      </c>
      <c r="N1190" s="12" t="s">
        <v>76</v>
      </c>
      <c r="O1190" s="12" t="s">
        <v>31</v>
      </c>
    </row>
    <row r="1191" spans="1:15" ht="21" customHeight="1" x14ac:dyDescent="0.3">
      <c r="A1191" s="17"/>
      <c r="B1191" s="2" t="s">
        <v>70</v>
      </c>
      <c r="C1191" s="3">
        <v>10</v>
      </c>
      <c r="D1191" s="4" t="s">
        <v>69</v>
      </c>
      <c r="E1191" s="2" t="s">
        <v>16</v>
      </c>
      <c r="F1191" s="2" t="s">
        <v>23</v>
      </c>
      <c r="G1191" s="5">
        <v>0</v>
      </c>
      <c r="H1191" s="20">
        <v>0</v>
      </c>
      <c r="I1191" s="2">
        <v>2</v>
      </c>
      <c r="J1191" s="6">
        <v>7.8703703703703713E-3</v>
      </c>
      <c r="K1191" s="2"/>
      <c r="L1191" s="2"/>
      <c r="M1191" s="2" t="s">
        <v>40</v>
      </c>
      <c r="N1191" s="2" t="s">
        <v>66</v>
      </c>
      <c r="O1191" s="2" t="s">
        <v>36</v>
      </c>
    </row>
    <row r="1192" spans="1:15" ht="21" customHeight="1" x14ac:dyDescent="0.3">
      <c r="A1192" s="17"/>
      <c r="B1192" s="12" t="s">
        <v>70</v>
      </c>
      <c r="C1192" s="13">
        <v>10</v>
      </c>
      <c r="D1192" s="14" t="s">
        <v>69</v>
      </c>
      <c r="E1192" s="12" t="s">
        <v>49</v>
      </c>
      <c r="F1192" s="12" t="s">
        <v>42</v>
      </c>
      <c r="G1192" s="15">
        <v>0</v>
      </c>
      <c r="H1192" s="21">
        <v>0</v>
      </c>
      <c r="I1192" s="12">
        <v>2</v>
      </c>
      <c r="J1192" s="16">
        <v>7.8703703703703713E-3</v>
      </c>
      <c r="K1192" s="12"/>
      <c r="L1192" s="12"/>
      <c r="M1192" s="12" t="s">
        <v>20</v>
      </c>
      <c r="N1192" s="12" t="s">
        <v>78</v>
      </c>
      <c r="O1192" s="12" t="s">
        <v>53</v>
      </c>
    </row>
    <row r="1193" spans="1:15" ht="21" customHeight="1" x14ac:dyDescent="0.3">
      <c r="A1193" s="17"/>
      <c r="B1193" s="2" t="s">
        <v>14</v>
      </c>
      <c r="C1193" s="3">
        <v>17</v>
      </c>
      <c r="D1193" s="4" t="s">
        <v>55</v>
      </c>
      <c r="E1193" s="2" t="s">
        <v>28</v>
      </c>
      <c r="F1193" s="2" t="s">
        <v>42</v>
      </c>
      <c r="G1193" s="5">
        <v>2</v>
      </c>
      <c r="H1193" s="20">
        <v>38000000</v>
      </c>
      <c r="I1193" s="2">
        <v>4</v>
      </c>
      <c r="J1193" s="6">
        <v>8.8541666666666664E-3</v>
      </c>
      <c r="K1193" s="2" t="s">
        <v>46</v>
      </c>
      <c r="L1193" s="2" t="s">
        <v>29</v>
      </c>
      <c r="M1193" s="2" t="s">
        <v>33</v>
      </c>
      <c r="N1193" s="2" t="s">
        <v>76</v>
      </c>
      <c r="O1193" s="2" t="s">
        <v>31</v>
      </c>
    </row>
    <row r="1194" spans="1:15" ht="21" customHeight="1" x14ac:dyDescent="0.3">
      <c r="A1194" s="17"/>
      <c r="B1194" s="12" t="s">
        <v>14</v>
      </c>
      <c r="C1194" s="13">
        <v>2</v>
      </c>
      <c r="D1194" s="14" t="s">
        <v>59</v>
      </c>
      <c r="E1194" s="12" t="s">
        <v>16</v>
      </c>
      <c r="F1194" s="12" t="s">
        <v>42</v>
      </c>
      <c r="G1194" s="15">
        <v>5</v>
      </c>
      <c r="H1194" s="21">
        <v>25000000</v>
      </c>
      <c r="I1194" s="12">
        <v>1</v>
      </c>
      <c r="J1194" s="16">
        <v>8.8541666666666664E-3</v>
      </c>
      <c r="K1194" s="12" t="s">
        <v>18</v>
      </c>
      <c r="L1194" s="12" t="s">
        <v>19</v>
      </c>
      <c r="M1194" s="12" t="s">
        <v>51</v>
      </c>
      <c r="N1194" s="12" t="s">
        <v>78</v>
      </c>
      <c r="O1194" s="12" t="s">
        <v>21</v>
      </c>
    </row>
    <row r="1195" spans="1:15" ht="21" customHeight="1" x14ac:dyDescent="0.3">
      <c r="A1195" s="17"/>
      <c r="B1195" s="2" t="s">
        <v>14</v>
      </c>
      <c r="C1195" s="3">
        <v>5</v>
      </c>
      <c r="D1195" s="4" t="s">
        <v>22</v>
      </c>
      <c r="E1195" s="2" t="s">
        <v>16</v>
      </c>
      <c r="F1195" s="2" t="s">
        <v>17</v>
      </c>
      <c r="G1195" s="5">
        <v>4</v>
      </c>
      <c r="H1195" s="20">
        <v>20000000</v>
      </c>
      <c r="I1195" s="2">
        <v>3</v>
      </c>
      <c r="J1195" s="6">
        <v>8.8541666666666664E-3</v>
      </c>
      <c r="K1195" s="2" t="s">
        <v>61</v>
      </c>
      <c r="L1195" s="2" t="s">
        <v>47</v>
      </c>
      <c r="M1195" s="2" t="s">
        <v>33</v>
      </c>
      <c r="N1195" s="2" t="s">
        <v>78</v>
      </c>
      <c r="O1195" s="2" t="s">
        <v>66</v>
      </c>
    </row>
    <row r="1196" spans="1:15" ht="21" customHeight="1" x14ac:dyDescent="0.3">
      <c r="A1196" s="17"/>
      <c r="B1196" s="12" t="s">
        <v>14</v>
      </c>
      <c r="C1196" s="13">
        <v>11</v>
      </c>
      <c r="D1196" s="14" t="s">
        <v>22</v>
      </c>
      <c r="E1196" s="12" t="s">
        <v>28</v>
      </c>
      <c r="F1196" s="12" t="s">
        <v>23</v>
      </c>
      <c r="G1196" s="15">
        <v>1</v>
      </c>
      <c r="H1196" s="21">
        <v>7000000</v>
      </c>
      <c r="I1196" s="12">
        <v>6</v>
      </c>
      <c r="J1196" s="16">
        <v>8.8541666666666664E-3</v>
      </c>
      <c r="K1196" s="12" t="s">
        <v>18</v>
      </c>
      <c r="L1196" s="12" t="s">
        <v>29</v>
      </c>
      <c r="M1196" s="12" t="s">
        <v>25</v>
      </c>
      <c r="N1196" s="12" t="s">
        <v>76</v>
      </c>
      <c r="O1196" s="12" t="s">
        <v>71</v>
      </c>
    </row>
    <row r="1197" spans="1:15" ht="21" customHeight="1" x14ac:dyDescent="0.3">
      <c r="A1197" s="17"/>
      <c r="B1197" s="2" t="s">
        <v>14</v>
      </c>
      <c r="C1197" s="3">
        <v>28</v>
      </c>
      <c r="D1197" s="4" t="s">
        <v>27</v>
      </c>
      <c r="E1197" s="2" t="s">
        <v>32</v>
      </c>
      <c r="F1197" s="2" t="s">
        <v>42</v>
      </c>
      <c r="G1197" s="5">
        <v>3</v>
      </c>
      <c r="H1197" s="20">
        <v>11000000</v>
      </c>
      <c r="I1197" s="2">
        <v>2</v>
      </c>
      <c r="J1197" s="6">
        <v>8.8541666666666664E-3</v>
      </c>
      <c r="K1197" s="2" t="s">
        <v>18</v>
      </c>
      <c r="L1197" s="2" t="s">
        <v>29</v>
      </c>
      <c r="M1197" s="2" t="s">
        <v>25</v>
      </c>
      <c r="N1197" s="2" t="s">
        <v>78</v>
      </c>
      <c r="O1197" s="2" t="s">
        <v>21</v>
      </c>
    </row>
    <row r="1198" spans="1:15" ht="21" customHeight="1" x14ac:dyDescent="0.3">
      <c r="A1198" s="17"/>
      <c r="B1198" s="12" t="s">
        <v>14</v>
      </c>
      <c r="C1198" s="13">
        <v>16</v>
      </c>
      <c r="D1198" s="14" t="s">
        <v>27</v>
      </c>
      <c r="E1198" s="12" t="s">
        <v>28</v>
      </c>
      <c r="F1198" s="12" t="s">
        <v>23</v>
      </c>
      <c r="G1198" s="15">
        <v>5</v>
      </c>
      <c r="H1198" s="21">
        <v>20000000</v>
      </c>
      <c r="I1198" s="12">
        <v>5</v>
      </c>
      <c r="J1198" s="16">
        <v>8.8541666666666664E-3</v>
      </c>
      <c r="K1198" s="12" t="s">
        <v>18</v>
      </c>
      <c r="L1198" s="12" t="s">
        <v>19</v>
      </c>
      <c r="M1198" s="12" t="s">
        <v>40</v>
      </c>
      <c r="N1198" s="12" t="s">
        <v>77</v>
      </c>
      <c r="O1198" s="12" t="s">
        <v>65</v>
      </c>
    </row>
    <row r="1199" spans="1:15" ht="21" customHeight="1" x14ac:dyDescent="0.3">
      <c r="A1199" s="17"/>
      <c r="B1199" s="2" t="s">
        <v>14</v>
      </c>
      <c r="C1199" s="3">
        <v>30</v>
      </c>
      <c r="D1199" s="4" t="s">
        <v>27</v>
      </c>
      <c r="E1199" s="2" t="s">
        <v>49</v>
      </c>
      <c r="F1199" s="2" t="s">
        <v>17</v>
      </c>
      <c r="G1199" s="5">
        <v>2</v>
      </c>
      <c r="H1199" s="20">
        <v>10000000</v>
      </c>
      <c r="I1199" s="2">
        <v>1</v>
      </c>
      <c r="J1199" s="6">
        <v>8.8541666666666664E-3</v>
      </c>
      <c r="K1199" s="2" t="s">
        <v>18</v>
      </c>
      <c r="L1199" s="2" t="s">
        <v>19</v>
      </c>
      <c r="M1199" s="2" t="s">
        <v>48</v>
      </c>
      <c r="N1199" s="2" t="s">
        <v>66</v>
      </c>
      <c r="O1199" s="2" t="s">
        <v>67</v>
      </c>
    </row>
    <row r="1200" spans="1:15" ht="21" customHeight="1" x14ac:dyDescent="0.3">
      <c r="A1200" s="17"/>
      <c r="B1200" s="12" t="s">
        <v>14</v>
      </c>
      <c r="C1200" s="13">
        <v>8</v>
      </c>
      <c r="D1200" s="14" t="s">
        <v>37</v>
      </c>
      <c r="E1200" s="12" t="s">
        <v>28</v>
      </c>
      <c r="F1200" s="12" t="s">
        <v>42</v>
      </c>
      <c r="G1200" s="15">
        <v>1</v>
      </c>
      <c r="H1200" s="21">
        <v>19000000</v>
      </c>
      <c r="I1200" s="12">
        <v>4</v>
      </c>
      <c r="J1200" s="16">
        <v>8.8541666666666664E-3</v>
      </c>
      <c r="K1200" s="12" t="s">
        <v>46</v>
      </c>
      <c r="L1200" s="12" t="s">
        <v>19</v>
      </c>
      <c r="M1200" s="12" t="s">
        <v>43</v>
      </c>
      <c r="N1200" s="12" t="s">
        <v>66</v>
      </c>
      <c r="O1200" s="12" t="s">
        <v>67</v>
      </c>
    </row>
    <row r="1201" spans="1:15" ht="21" customHeight="1" x14ac:dyDescent="0.3">
      <c r="A1201" s="17"/>
      <c r="B1201" s="2" t="s">
        <v>14</v>
      </c>
      <c r="C1201" s="3">
        <v>17</v>
      </c>
      <c r="D1201" s="4" t="s">
        <v>55</v>
      </c>
      <c r="E1201" s="2" t="s">
        <v>28</v>
      </c>
      <c r="F1201" s="2" t="s">
        <v>42</v>
      </c>
      <c r="G1201" s="5">
        <v>2</v>
      </c>
      <c r="H1201" s="20">
        <v>38000000</v>
      </c>
      <c r="I1201" s="2">
        <v>4</v>
      </c>
      <c r="J1201" s="6">
        <v>8.8541666666666664E-3</v>
      </c>
      <c r="K1201" s="2" t="s">
        <v>46</v>
      </c>
      <c r="L1201" s="2" t="s">
        <v>29</v>
      </c>
      <c r="M1201" s="2" t="s">
        <v>33</v>
      </c>
      <c r="N1201" s="2" t="s">
        <v>76</v>
      </c>
      <c r="O1201" s="2" t="s">
        <v>31</v>
      </c>
    </row>
    <row r="1202" spans="1:15" ht="21" customHeight="1" x14ac:dyDescent="0.3">
      <c r="A1202" s="17"/>
      <c r="B1202" s="12" t="s">
        <v>14</v>
      </c>
      <c r="C1202" s="13">
        <v>2</v>
      </c>
      <c r="D1202" s="14" t="s">
        <v>59</v>
      </c>
      <c r="E1202" s="12" t="s">
        <v>16</v>
      </c>
      <c r="F1202" s="12" t="s">
        <v>42</v>
      </c>
      <c r="G1202" s="15">
        <v>5</v>
      </c>
      <c r="H1202" s="21">
        <v>25000000</v>
      </c>
      <c r="I1202" s="12">
        <v>1</v>
      </c>
      <c r="J1202" s="16">
        <v>8.8541666666666664E-3</v>
      </c>
      <c r="K1202" s="12" t="s">
        <v>18</v>
      </c>
      <c r="L1202" s="12" t="s">
        <v>19</v>
      </c>
      <c r="M1202" s="12" t="s">
        <v>51</v>
      </c>
      <c r="N1202" s="12" t="s">
        <v>78</v>
      </c>
      <c r="O1202" s="12" t="s">
        <v>21</v>
      </c>
    </row>
    <row r="1203" spans="1:15" ht="21" customHeight="1" x14ac:dyDescent="0.3">
      <c r="A1203" s="17"/>
      <c r="B1203" s="2" t="s">
        <v>14</v>
      </c>
      <c r="C1203" s="3">
        <v>5</v>
      </c>
      <c r="D1203" s="4" t="s">
        <v>22</v>
      </c>
      <c r="E1203" s="2" t="s">
        <v>16</v>
      </c>
      <c r="F1203" s="2" t="s">
        <v>17</v>
      </c>
      <c r="G1203" s="5">
        <v>4</v>
      </c>
      <c r="H1203" s="20">
        <v>20000000</v>
      </c>
      <c r="I1203" s="2">
        <v>3</v>
      </c>
      <c r="J1203" s="6">
        <v>8.8541666666666664E-3</v>
      </c>
      <c r="K1203" s="2" t="s">
        <v>61</v>
      </c>
      <c r="L1203" s="2" t="s">
        <v>47</v>
      </c>
      <c r="M1203" s="2" t="s">
        <v>33</v>
      </c>
      <c r="N1203" s="2" t="s">
        <v>78</v>
      </c>
      <c r="O1203" s="2" t="s">
        <v>66</v>
      </c>
    </row>
    <row r="1204" spans="1:15" ht="21" customHeight="1" x14ac:dyDescent="0.3">
      <c r="A1204" s="17"/>
      <c r="B1204" s="12" t="s">
        <v>70</v>
      </c>
      <c r="C1204" s="13">
        <v>22</v>
      </c>
      <c r="D1204" s="14" t="s">
        <v>27</v>
      </c>
      <c r="E1204" s="12" t="s">
        <v>38</v>
      </c>
      <c r="F1204" s="12" t="s">
        <v>23</v>
      </c>
      <c r="G1204" s="15">
        <v>0</v>
      </c>
      <c r="H1204" s="21">
        <v>0</v>
      </c>
      <c r="I1204" s="12">
        <v>3</v>
      </c>
      <c r="J1204" s="16">
        <v>8.8541666666666664E-3</v>
      </c>
      <c r="K1204" s="12"/>
      <c r="L1204" s="12"/>
      <c r="M1204" s="12" t="s">
        <v>30</v>
      </c>
      <c r="N1204" s="12" t="s">
        <v>76</v>
      </c>
      <c r="O1204" s="12" t="s">
        <v>31</v>
      </c>
    </row>
    <row r="1205" spans="1:15" ht="21" customHeight="1" x14ac:dyDescent="0.3">
      <c r="A1205" s="17"/>
      <c r="B1205" s="2" t="s">
        <v>70</v>
      </c>
      <c r="C1205" s="3">
        <v>25</v>
      </c>
      <c r="D1205" s="4" t="s">
        <v>37</v>
      </c>
      <c r="E1205" s="2" t="s">
        <v>38</v>
      </c>
      <c r="F1205" s="2" t="s">
        <v>23</v>
      </c>
      <c r="G1205" s="5">
        <v>0</v>
      </c>
      <c r="H1205" s="20">
        <v>0</v>
      </c>
      <c r="I1205" s="2">
        <v>5</v>
      </c>
      <c r="J1205" s="6">
        <v>8.8541666666666664E-3</v>
      </c>
      <c r="K1205" s="2"/>
      <c r="L1205" s="2"/>
      <c r="M1205" s="2" t="s">
        <v>43</v>
      </c>
      <c r="N1205" s="2" t="s">
        <v>78</v>
      </c>
      <c r="O1205" s="2" t="s">
        <v>21</v>
      </c>
    </row>
    <row r="1206" spans="1:15" ht="21" customHeight="1" x14ac:dyDescent="0.3">
      <c r="A1206" s="17"/>
      <c r="B1206" s="12" t="s">
        <v>70</v>
      </c>
      <c r="C1206" s="13">
        <v>16</v>
      </c>
      <c r="D1206" s="14" t="s">
        <v>44</v>
      </c>
      <c r="E1206" s="12" t="s">
        <v>16</v>
      </c>
      <c r="F1206" s="12" t="s">
        <v>42</v>
      </c>
      <c r="G1206" s="15">
        <v>0</v>
      </c>
      <c r="H1206" s="21">
        <v>0</v>
      </c>
      <c r="I1206" s="12">
        <v>3</v>
      </c>
      <c r="J1206" s="16">
        <v>8.8541666666666664E-3</v>
      </c>
      <c r="K1206" s="12"/>
      <c r="L1206" s="12"/>
      <c r="M1206" s="12" t="s">
        <v>33</v>
      </c>
      <c r="N1206" s="12" t="s">
        <v>66</v>
      </c>
      <c r="O1206" s="12" t="s">
        <v>67</v>
      </c>
    </row>
    <row r="1207" spans="1:15" ht="21" customHeight="1" x14ac:dyDescent="0.3">
      <c r="A1207" s="17"/>
      <c r="B1207" s="2" t="s">
        <v>70</v>
      </c>
      <c r="C1207" s="3">
        <v>30</v>
      </c>
      <c r="D1207" s="4" t="s">
        <v>44</v>
      </c>
      <c r="E1207" s="2" t="s">
        <v>32</v>
      </c>
      <c r="F1207" s="2" t="s">
        <v>42</v>
      </c>
      <c r="G1207" s="5">
        <v>0</v>
      </c>
      <c r="H1207" s="20">
        <v>0</v>
      </c>
      <c r="I1207" s="2">
        <v>5</v>
      </c>
      <c r="J1207" s="6">
        <v>8.8541666666666664E-3</v>
      </c>
      <c r="K1207" s="2"/>
      <c r="L1207" s="2"/>
      <c r="M1207" s="2" t="s">
        <v>48</v>
      </c>
      <c r="N1207" s="2" t="s">
        <v>76</v>
      </c>
      <c r="O1207" s="2" t="s">
        <v>52</v>
      </c>
    </row>
    <row r="1208" spans="1:15" ht="21" customHeight="1" x14ac:dyDescent="0.3">
      <c r="A1208" s="17"/>
      <c r="B1208" s="12" t="s">
        <v>70</v>
      </c>
      <c r="C1208" s="13">
        <v>1</v>
      </c>
      <c r="D1208" s="14" t="s">
        <v>69</v>
      </c>
      <c r="E1208" s="12" t="s">
        <v>28</v>
      </c>
      <c r="F1208" s="12" t="s">
        <v>17</v>
      </c>
      <c r="G1208" s="15">
        <v>0</v>
      </c>
      <c r="H1208" s="21">
        <v>0</v>
      </c>
      <c r="I1208" s="12">
        <v>2</v>
      </c>
      <c r="J1208" s="16">
        <v>8.8541666666666664E-3</v>
      </c>
      <c r="K1208" s="12"/>
      <c r="L1208" s="12"/>
      <c r="M1208" s="12" t="s">
        <v>25</v>
      </c>
      <c r="N1208" s="12" t="s">
        <v>76</v>
      </c>
      <c r="O1208" s="12" t="s">
        <v>26</v>
      </c>
    </row>
    <row r="1209" spans="1:15" ht="21" customHeight="1" x14ac:dyDescent="0.3">
      <c r="A1209" s="17"/>
      <c r="B1209" s="2" t="s">
        <v>14</v>
      </c>
      <c r="C1209" s="3">
        <v>13</v>
      </c>
      <c r="D1209" s="4" t="s">
        <v>57</v>
      </c>
      <c r="E1209" s="2" t="s">
        <v>32</v>
      </c>
      <c r="F1209" s="2" t="s">
        <v>17</v>
      </c>
      <c r="G1209" s="5">
        <v>1</v>
      </c>
      <c r="H1209" s="20">
        <v>7000000</v>
      </c>
      <c r="I1209" s="2">
        <v>6</v>
      </c>
      <c r="J1209" s="6">
        <v>8.9699074074074073E-3</v>
      </c>
      <c r="K1209" s="2" t="s">
        <v>18</v>
      </c>
      <c r="L1209" s="2" t="s">
        <v>47</v>
      </c>
      <c r="M1209" s="2" t="s">
        <v>33</v>
      </c>
      <c r="N1209" s="2" t="s">
        <v>66</v>
      </c>
      <c r="O1209" s="2" t="s">
        <v>36</v>
      </c>
    </row>
    <row r="1210" spans="1:15" ht="21" customHeight="1" x14ac:dyDescent="0.3">
      <c r="A1210" s="17"/>
      <c r="B1210" s="12" t="s">
        <v>14</v>
      </c>
      <c r="C1210" s="13">
        <v>10</v>
      </c>
      <c r="D1210" s="14" t="s">
        <v>15</v>
      </c>
      <c r="E1210" s="12" t="s">
        <v>49</v>
      </c>
      <c r="F1210" s="12" t="s">
        <v>17</v>
      </c>
      <c r="G1210" s="15">
        <v>3</v>
      </c>
      <c r="H1210" s="21">
        <v>15000000</v>
      </c>
      <c r="I1210" s="12">
        <v>1</v>
      </c>
      <c r="J1210" s="16">
        <v>8.9699074074074073E-3</v>
      </c>
      <c r="K1210" s="12" t="s">
        <v>18</v>
      </c>
      <c r="L1210" s="12" t="s">
        <v>56</v>
      </c>
      <c r="M1210" s="12" t="s">
        <v>30</v>
      </c>
      <c r="N1210" s="12" t="s">
        <v>78</v>
      </c>
      <c r="O1210" s="12" t="s">
        <v>62</v>
      </c>
    </row>
    <row r="1211" spans="1:15" ht="21" customHeight="1" x14ac:dyDescent="0.3">
      <c r="A1211" s="17"/>
      <c r="B1211" s="2" t="s">
        <v>14</v>
      </c>
      <c r="C1211" s="3">
        <v>9</v>
      </c>
      <c r="D1211" s="4" t="s">
        <v>72</v>
      </c>
      <c r="E1211" s="2" t="s">
        <v>16</v>
      </c>
      <c r="F1211" s="2" t="s">
        <v>42</v>
      </c>
      <c r="G1211" s="5">
        <v>4</v>
      </c>
      <c r="H1211" s="20">
        <v>11000000</v>
      </c>
      <c r="I1211" s="2">
        <v>1</v>
      </c>
      <c r="J1211" s="6">
        <v>8.9699074074074073E-3</v>
      </c>
      <c r="K1211" s="2" t="s">
        <v>61</v>
      </c>
      <c r="L1211" s="2" t="s">
        <v>19</v>
      </c>
      <c r="M1211" s="2" t="s">
        <v>33</v>
      </c>
      <c r="N1211" s="2" t="s">
        <v>78</v>
      </c>
      <c r="O1211" s="2" t="s">
        <v>63</v>
      </c>
    </row>
    <row r="1212" spans="1:15" ht="21" customHeight="1" x14ac:dyDescent="0.3">
      <c r="A1212" s="17"/>
      <c r="B1212" s="12" t="s">
        <v>14</v>
      </c>
      <c r="C1212" s="13">
        <v>21</v>
      </c>
      <c r="D1212" s="14" t="s">
        <v>27</v>
      </c>
      <c r="E1212" s="12" t="s">
        <v>16</v>
      </c>
      <c r="F1212" s="12" t="s">
        <v>23</v>
      </c>
      <c r="G1212" s="15">
        <v>2</v>
      </c>
      <c r="H1212" s="21">
        <v>38000000</v>
      </c>
      <c r="I1212" s="12">
        <v>3</v>
      </c>
      <c r="J1212" s="16">
        <v>8.9699074074074073E-3</v>
      </c>
      <c r="K1212" s="12" t="s">
        <v>46</v>
      </c>
      <c r="L1212" s="12" t="s">
        <v>39</v>
      </c>
      <c r="M1212" s="12" t="s">
        <v>25</v>
      </c>
      <c r="N1212" s="12" t="s">
        <v>76</v>
      </c>
      <c r="O1212" s="12" t="s">
        <v>52</v>
      </c>
    </row>
    <row r="1213" spans="1:15" ht="21" customHeight="1" x14ac:dyDescent="0.3">
      <c r="A1213" s="17"/>
      <c r="B1213" s="2" t="s">
        <v>14</v>
      </c>
      <c r="C1213" s="3">
        <v>30</v>
      </c>
      <c r="D1213" s="4" t="s">
        <v>27</v>
      </c>
      <c r="E1213" s="2" t="s">
        <v>38</v>
      </c>
      <c r="F1213" s="2" t="s">
        <v>42</v>
      </c>
      <c r="G1213" s="5">
        <v>3</v>
      </c>
      <c r="H1213" s="20">
        <v>15000000</v>
      </c>
      <c r="I1213" s="2">
        <v>5</v>
      </c>
      <c r="J1213" s="6">
        <v>8.9699074074074073E-3</v>
      </c>
      <c r="K1213" s="2" t="s">
        <v>18</v>
      </c>
      <c r="L1213" s="2" t="s">
        <v>19</v>
      </c>
      <c r="M1213" s="2" t="s">
        <v>51</v>
      </c>
      <c r="N1213" s="2" t="s">
        <v>76</v>
      </c>
      <c r="O1213" s="2" t="s">
        <v>75</v>
      </c>
    </row>
    <row r="1214" spans="1:15" ht="21" customHeight="1" x14ac:dyDescent="0.3">
      <c r="A1214" s="17"/>
      <c r="B1214" s="12" t="s">
        <v>14</v>
      </c>
      <c r="C1214" s="13">
        <v>13</v>
      </c>
      <c r="D1214" s="14" t="s">
        <v>37</v>
      </c>
      <c r="E1214" s="12" t="s">
        <v>16</v>
      </c>
      <c r="F1214" s="12" t="s">
        <v>42</v>
      </c>
      <c r="G1214" s="15">
        <v>2</v>
      </c>
      <c r="H1214" s="21">
        <v>38000000</v>
      </c>
      <c r="I1214" s="12">
        <v>1</v>
      </c>
      <c r="J1214" s="16">
        <v>8.9699074074074073E-3</v>
      </c>
      <c r="K1214" s="12" t="s">
        <v>46</v>
      </c>
      <c r="L1214" s="12" t="s">
        <v>50</v>
      </c>
      <c r="M1214" s="12" t="s">
        <v>51</v>
      </c>
      <c r="N1214" s="12" t="s">
        <v>66</v>
      </c>
      <c r="O1214" s="12" t="s">
        <v>67</v>
      </c>
    </row>
    <row r="1215" spans="1:15" ht="21" customHeight="1" x14ac:dyDescent="0.3">
      <c r="A1215" s="17"/>
      <c r="B1215" s="2" t="s">
        <v>14</v>
      </c>
      <c r="C1215" s="3">
        <v>2</v>
      </c>
      <c r="D1215" s="4" t="s">
        <v>37</v>
      </c>
      <c r="E1215" s="2" t="s">
        <v>16</v>
      </c>
      <c r="F1215" s="2" t="s">
        <v>23</v>
      </c>
      <c r="G1215" s="5">
        <v>2</v>
      </c>
      <c r="H1215" s="20">
        <v>10000000</v>
      </c>
      <c r="I1215" s="2">
        <v>5</v>
      </c>
      <c r="J1215" s="6">
        <v>8.9699074074074073E-3</v>
      </c>
      <c r="K1215" s="2" t="s">
        <v>18</v>
      </c>
      <c r="L1215" s="2" t="s">
        <v>19</v>
      </c>
      <c r="M1215" s="2" t="s">
        <v>30</v>
      </c>
      <c r="N1215" s="2" t="s">
        <v>78</v>
      </c>
      <c r="O1215" s="2" t="s">
        <v>53</v>
      </c>
    </row>
    <row r="1216" spans="1:15" ht="21" customHeight="1" x14ac:dyDescent="0.3">
      <c r="A1216" s="17"/>
      <c r="B1216" s="12" t="s">
        <v>14</v>
      </c>
      <c r="C1216" s="13">
        <v>4</v>
      </c>
      <c r="D1216" s="14" t="s">
        <v>37</v>
      </c>
      <c r="E1216" s="12" t="s">
        <v>28</v>
      </c>
      <c r="F1216" s="12" t="s">
        <v>23</v>
      </c>
      <c r="G1216" s="15">
        <v>4</v>
      </c>
      <c r="H1216" s="21">
        <v>20000000</v>
      </c>
      <c r="I1216" s="12">
        <v>2</v>
      </c>
      <c r="J1216" s="16">
        <v>8.9699074074074073E-3</v>
      </c>
      <c r="K1216" s="12" t="s">
        <v>18</v>
      </c>
      <c r="L1216" s="12" t="s">
        <v>29</v>
      </c>
      <c r="M1216" s="12" t="s">
        <v>30</v>
      </c>
      <c r="N1216" s="12" t="s">
        <v>77</v>
      </c>
      <c r="O1216" s="12" t="s">
        <v>54</v>
      </c>
    </row>
    <row r="1217" spans="1:15" ht="21" customHeight="1" x14ac:dyDescent="0.3">
      <c r="A1217" s="17"/>
      <c r="B1217" s="2" t="s">
        <v>14</v>
      </c>
      <c r="C1217" s="3">
        <v>6</v>
      </c>
      <c r="D1217" s="4" t="s">
        <v>37</v>
      </c>
      <c r="E1217" s="2" t="s">
        <v>38</v>
      </c>
      <c r="F1217" s="2" t="s">
        <v>45</v>
      </c>
      <c r="G1217" s="5">
        <v>2</v>
      </c>
      <c r="H1217" s="20">
        <v>12000000</v>
      </c>
      <c r="I1217" s="2">
        <v>2</v>
      </c>
      <c r="J1217" s="6">
        <v>8.9699074074074073E-3</v>
      </c>
      <c r="K1217" s="2" t="s">
        <v>18</v>
      </c>
      <c r="L1217" s="2" t="s">
        <v>56</v>
      </c>
      <c r="M1217" s="2" t="s">
        <v>30</v>
      </c>
      <c r="N1217" s="2" t="s">
        <v>76</v>
      </c>
      <c r="O1217" s="2" t="s">
        <v>26</v>
      </c>
    </row>
    <row r="1218" spans="1:15" ht="21" customHeight="1" x14ac:dyDescent="0.3">
      <c r="A1218" s="17"/>
      <c r="B1218" s="12" t="s">
        <v>14</v>
      </c>
      <c r="C1218" s="13">
        <v>23</v>
      </c>
      <c r="D1218" s="14" t="s">
        <v>37</v>
      </c>
      <c r="E1218" s="12" t="s">
        <v>73</v>
      </c>
      <c r="F1218" s="12" t="s">
        <v>17</v>
      </c>
      <c r="G1218" s="15">
        <v>3</v>
      </c>
      <c r="H1218" s="21">
        <v>15000000</v>
      </c>
      <c r="I1218" s="12">
        <v>1</v>
      </c>
      <c r="J1218" s="16">
        <v>8.9699074074074073E-3</v>
      </c>
      <c r="K1218" s="12" t="s">
        <v>18</v>
      </c>
      <c r="L1218" s="12" t="s">
        <v>35</v>
      </c>
      <c r="M1218" s="12" t="s">
        <v>51</v>
      </c>
      <c r="N1218" s="12" t="s">
        <v>78</v>
      </c>
      <c r="O1218" s="12" t="s">
        <v>66</v>
      </c>
    </row>
    <row r="1219" spans="1:15" ht="21" customHeight="1" x14ac:dyDescent="0.3">
      <c r="A1219" s="17"/>
      <c r="B1219" s="2" t="s">
        <v>14</v>
      </c>
      <c r="C1219" s="3">
        <v>8</v>
      </c>
      <c r="D1219" s="4" t="s">
        <v>37</v>
      </c>
      <c r="E1219" s="2" t="s">
        <v>38</v>
      </c>
      <c r="F1219" s="2" t="s">
        <v>42</v>
      </c>
      <c r="G1219" s="5">
        <v>2</v>
      </c>
      <c r="H1219" s="20">
        <v>12000000</v>
      </c>
      <c r="I1219" s="2">
        <v>2</v>
      </c>
      <c r="J1219" s="6">
        <v>8.9699074074074073E-3</v>
      </c>
      <c r="K1219" s="2" t="s">
        <v>18</v>
      </c>
      <c r="L1219" s="2" t="s">
        <v>39</v>
      </c>
      <c r="M1219" s="2" t="s">
        <v>40</v>
      </c>
      <c r="N1219" s="2" t="s">
        <v>78</v>
      </c>
      <c r="O1219" s="2" t="s">
        <v>21</v>
      </c>
    </row>
    <row r="1220" spans="1:15" ht="21" customHeight="1" x14ac:dyDescent="0.3">
      <c r="A1220" s="17"/>
      <c r="B1220" s="12" t="s">
        <v>14</v>
      </c>
      <c r="C1220" s="13">
        <v>1</v>
      </c>
      <c r="D1220" s="14" t="s">
        <v>37</v>
      </c>
      <c r="E1220" s="12" t="s">
        <v>28</v>
      </c>
      <c r="F1220" s="12" t="s">
        <v>23</v>
      </c>
      <c r="G1220" s="15">
        <v>2</v>
      </c>
      <c r="H1220" s="21">
        <v>12000000</v>
      </c>
      <c r="I1220" s="12">
        <v>2</v>
      </c>
      <c r="J1220" s="16">
        <v>8.9699074074074073E-3</v>
      </c>
      <c r="K1220" s="12" t="s">
        <v>18</v>
      </c>
      <c r="L1220" s="12" t="s">
        <v>19</v>
      </c>
      <c r="M1220" s="12" t="s">
        <v>43</v>
      </c>
      <c r="N1220" s="12" t="s">
        <v>76</v>
      </c>
      <c r="O1220" s="12" t="s">
        <v>26</v>
      </c>
    </row>
    <row r="1221" spans="1:15" ht="21" customHeight="1" x14ac:dyDescent="0.3">
      <c r="A1221" s="17"/>
      <c r="B1221" s="2" t="s">
        <v>14</v>
      </c>
      <c r="C1221" s="3">
        <v>20</v>
      </c>
      <c r="D1221" s="4" t="s">
        <v>37</v>
      </c>
      <c r="E1221" s="2" t="s">
        <v>38</v>
      </c>
      <c r="F1221" s="2" t="s">
        <v>23</v>
      </c>
      <c r="G1221" s="5">
        <v>5</v>
      </c>
      <c r="H1221" s="20">
        <v>21000000</v>
      </c>
      <c r="I1221" s="2">
        <v>2</v>
      </c>
      <c r="J1221" s="6">
        <v>8.9699074074074073E-3</v>
      </c>
      <c r="K1221" s="2" t="s">
        <v>18</v>
      </c>
      <c r="L1221" s="2" t="s">
        <v>56</v>
      </c>
      <c r="M1221" s="2" t="s">
        <v>43</v>
      </c>
      <c r="N1221" s="2" t="s">
        <v>78</v>
      </c>
      <c r="O1221" s="2" t="s">
        <v>53</v>
      </c>
    </row>
    <row r="1222" spans="1:15" ht="21" customHeight="1" x14ac:dyDescent="0.3">
      <c r="A1222" s="17"/>
      <c r="B1222" s="12" t="s">
        <v>14</v>
      </c>
      <c r="C1222" s="13">
        <v>11</v>
      </c>
      <c r="D1222" s="14" t="s">
        <v>44</v>
      </c>
      <c r="E1222" s="12" t="s">
        <v>32</v>
      </c>
      <c r="F1222" s="12" t="s">
        <v>42</v>
      </c>
      <c r="G1222" s="15">
        <v>2</v>
      </c>
      <c r="H1222" s="21">
        <v>12000000</v>
      </c>
      <c r="I1222" s="12">
        <v>1</v>
      </c>
      <c r="J1222" s="16">
        <v>8.9699074074074073E-3</v>
      </c>
      <c r="K1222" s="12" t="s">
        <v>18</v>
      </c>
      <c r="L1222" s="12" t="s">
        <v>29</v>
      </c>
      <c r="M1222" s="12" t="s">
        <v>20</v>
      </c>
      <c r="N1222" s="12" t="s">
        <v>78</v>
      </c>
      <c r="O1222" s="12" t="s">
        <v>21</v>
      </c>
    </row>
    <row r="1223" spans="1:15" ht="21" customHeight="1" x14ac:dyDescent="0.3">
      <c r="A1223" s="17"/>
      <c r="B1223" s="2" t="s">
        <v>14</v>
      </c>
      <c r="C1223" s="3">
        <v>3</v>
      </c>
      <c r="D1223" s="4" t="s">
        <v>44</v>
      </c>
      <c r="E1223" s="2" t="s">
        <v>73</v>
      </c>
      <c r="F1223" s="2" t="s">
        <v>42</v>
      </c>
      <c r="G1223" s="5">
        <v>5</v>
      </c>
      <c r="H1223" s="20">
        <v>25000000</v>
      </c>
      <c r="I1223" s="2">
        <v>1</v>
      </c>
      <c r="J1223" s="6">
        <v>8.9699074074074073E-3</v>
      </c>
      <c r="K1223" s="2" t="s">
        <v>18</v>
      </c>
      <c r="L1223" s="2" t="s">
        <v>24</v>
      </c>
      <c r="M1223" s="2" t="s">
        <v>43</v>
      </c>
      <c r="N1223" s="2" t="s">
        <v>76</v>
      </c>
      <c r="O1223" s="2" t="s">
        <v>52</v>
      </c>
    </row>
    <row r="1224" spans="1:15" ht="21" customHeight="1" x14ac:dyDescent="0.3">
      <c r="A1224" s="17"/>
      <c r="B1224" s="12" t="s">
        <v>14</v>
      </c>
      <c r="C1224" s="13">
        <v>30</v>
      </c>
      <c r="D1224" s="14" t="s">
        <v>69</v>
      </c>
      <c r="E1224" s="12" t="s">
        <v>38</v>
      </c>
      <c r="F1224" s="12" t="s">
        <v>23</v>
      </c>
      <c r="G1224" s="15">
        <v>1</v>
      </c>
      <c r="H1224" s="21">
        <v>19000000</v>
      </c>
      <c r="I1224" s="12">
        <v>2</v>
      </c>
      <c r="J1224" s="16">
        <v>8.9699074074074073E-3</v>
      </c>
      <c r="K1224" s="12" t="s">
        <v>46</v>
      </c>
      <c r="L1224" s="12" t="s">
        <v>29</v>
      </c>
      <c r="M1224" s="12" t="s">
        <v>48</v>
      </c>
      <c r="N1224" s="12" t="s">
        <v>76</v>
      </c>
      <c r="O1224" s="12" t="s">
        <v>75</v>
      </c>
    </row>
    <row r="1225" spans="1:15" ht="21" customHeight="1" x14ac:dyDescent="0.3">
      <c r="A1225" s="17"/>
      <c r="B1225" s="2" t="s">
        <v>14</v>
      </c>
      <c r="C1225" s="3">
        <v>28</v>
      </c>
      <c r="D1225" s="4" t="s">
        <v>69</v>
      </c>
      <c r="E1225" s="2" t="s">
        <v>38</v>
      </c>
      <c r="F1225" s="2" t="s">
        <v>17</v>
      </c>
      <c r="G1225" s="5">
        <v>4</v>
      </c>
      <c r="H1225" s="20">
        <v>20000000</v>
      </c>
      <c r="I1225" s="2">
        <v>1</v>
      </c>
      <c r="J1225" s="6">
        <v>8.9699074074074073E-3</v>
      </c>
      <c r="K1225" s="2" t="s">
        <v>61</v>
      </c>
      <c r="L1225" s="2" t="s">
        <v>29</v>
      </c>
      <c r="M1225" s="2" t="s">
        <v>33</v>
      </c>
      <c r="N1225" s="2" t="s">
        <v>66</v>
      </c>
      <c r="O1225" s="2" t="s">
        <v>36</v>
      </c>
    </row>
    <row r="1226" spans="1:15" ht="21" customHeight="1" x14ac:dyDescent="0.3">
      <c r="A1226" s="17"/>
      <c r="B1226" s="12" t="s">
        <v>14</v>
      </c>
      <c r="C1226" s="13">
        <v>1</v>
      </c>
      <c r="D1226" s="14" t="s">
        <v>69</v>
      </c>
      <c r="E1226" s="12" t="s">
        <v>16</v>
      </c>
      <c r="F1226" s="12" t="s">
        <v>42</v>
      </c>
      <c r="G1226" s="15">
        <v>5</v>
      </c>
      <c r="H1226" s="21">
        <v>25000000</v>
      </c>
      <c r="I1226" s="12">
        <v>3</v>
      </c>
      <c r="J1226" s="16">
        <v>8.9699074074074073E-3</v>
      </c>
      <c r="K1226" s="12" t="s">
        <v>18</v>
      </c>
      <c r="L1226" s="12" t="s">
        <v>24</v>
      </c>
      <c r="M1226" s="12" t="s">
        <v>30</v>
      </c>
      <c r="N1226" s="12" t="s">
        <v>66</v>
      </c>
      <c r="O1226" s="12" t="s">
        <v>36</v>
      </c>
    </row>
    <row r="1227" spans="1:15" ht="21" customHeight="1" x14ac:dyDescent="0.3">
      <c r="A1227" s="17"/>
      <c r="B1227" s="2" t="s">
        <v>14</v>
      </c>
      <c r="C1227" s="3">
        <v>30</v>
      </c>
      <c r="D1227" s="4" t="s">
        <v>69</v>
      </c>
      <c r="E1227" s="2" t="s">
        <v>28</v>
      </c>
      <c r="F1227" s="2" t="s">
        <v>42</v>
      </c>
      <c r="G1227" s="5">
        <v>1</v>
      </c>
      <c r="H1227" s="20">
        <v>7000000</v>
      </c>
      <c r="I1227" s="2">
        <v>1</v>
      </c>
      <c r="J1227" s="6">
        <v>8.9699074074074073E-3</v>
      </c>
      <c r="K1227" s="2" t="s">
        <v>18</v>
      </c>
      <c r="L1227" s="2" t="s">
        <v>56</v>
      </c>
      <c r="M1227" s="2" t="s">
        <v>30</v>
      </c>
      <c r="N1227" s="2" t="s">
        <v>78</v>
      </c>
      <c r="O1227" s="2" t="s">
        <v>62</v>
      </c>
    </row>
    <row r="1228" spans="1:15" ht="21" customHeight="1" x14ac:dyDescent="0.3">
      <c r="A1228" s="17"/>
      <c r="B1228" s="12" t="s">
        <v>14</v>
      </c>
      <c r="C1228" s="13">
        <v>13</v>
      </c>
      <c r="D1228" s="14" t="s">
        <v>57</v>
      </c>
      <c r="E1228" s="12" t="s">
        <v>32</v>
      </c>
      <c r="F1228" s="12" t="s">
        <v>17</v>
      </c>
      <c r="G1228" s="15">
        <v>1</v>
      </c>
      <c r="H1228" s="21">
        <v>7000000</v>
      </c>
      <c r="I1228" s="12">
        <v>6</v>
      </c>
      <c r="J1228" s="16">
        <v>8.9699074074074073E-3</v>
      </c>
      <c r="K1228" s="12" t="s">
        <v>18</v>
      </c>
      <c r="L1228" s="12" t="s">
        <v>47</v>
      </c>
      <c r="M1228" s="12" t="s">
        <v>33</v>
      </c>
      <c r="N1228" s="12" t="s">
        <v>66</v>
      </c>
      <c r="O1228" s="12" t="s">
        <v>36</v>
      </c>
    </row>
    <row r="1229" spans="1:15" ht="21" customHeight="1" x14ac:dyDescent="0.3">
      <c r="A1229" s="17"/>
      <c r="B1229" s="2" t="s">
        <v>14</v>
      </c>
      <c r="C1229" s="3">
        <v>10</v>
      </c>
      <c r="D1229" s="4" t="s">
        <v>15</v>
      </c>
      <c r="E1229" s="2" t="s">
        <v>49</v>
      </c>
      <c r="F1229" s="2" t="s">
        <v>17</v>
      </c>
      <c r="G1229" s="5">
        <v>3</v>
      </c>
      <c r="H1229" s="20">
        <v>15000000</v>
      </c>
      <c r="I1229" s="2">
        <v>1</v>
      </c>
      <c r="J1229" s="6">
        <v>8.9699074074074073E-3</v>
      </c>
      <c r="K1229" s="2" t="s">
        <v>18</v>
      </c>
      <c r="L1229" s="2" t="s">
        <v>56</v>
      </c>
      <c r="M1229" s="2" t="s">
        <v>30</v>
      </c>
      <c r="N1229" s="2" t="s">
        <v>78</v>
      </c>
      <c r="O1229" s="2" t="s">
        <v>62</v>
      </c>
    </row>
    <row r="1230" spans="1:15" ht="21" customHeight="1" x14ac:dyDescent="0.3">
      <c r="A1230" s="17"/>
      <c r="B1230" s="12" t="s">
        <v>14</v>
      </c>
      <c r="C1230" s="13">
        <v>9</v>
      </c>
      <c r="D1230" s="14" t="s">
        <v>72</v>
      </c>
      <c r="E1230" s="12" t="s">
        <v>16</v>
      </c>
      <c r="F1230" s="12" t="s">
        <v>42</v>
      </c>
      <c r="G1230" s="15">
        <v>4</v>
      </c>
      <c r="H1230" s="21">
        <v>11000000</v>
      </c>
      <c r="I1230" s="12">
        <v>1</v>
      </c>
      <c r="J1230" s="16">
        <v>8.9699074074074073E-3</v>
      </c>
      <c r="K1230" s="12" t="s">
        <v>61</v>
      </c>
      <c r="L1230" s="12" t="s">
        <v>19</v>
      </c>
      <c r="M1230" s="12" t="s">
        <v>33</v>
      </c>
      <c r="N1230" s="12" t="s">
        <v>78</v>
      </c>
      <c r="O1230" s="12" t="s">
        <v>63</v>
      </c>
    </row>
    <row r="1231" spans="1:15" ht="21" customHeight="1" x14ac:dyDescent="0.3">
      <c r="A1231" s="17"/>
      <c r="B1231" s="2" t="s">
        <v>70</v>
      </c>
      <c r="C1231" s="3">
        <v>11</v>
      </c>
      <c r="D1231" s="4" t="s">
        <v>57</v>
      </c>
      <c r="E1231" s="2" t="s">
        <v>32</v>
      </c>
      <c r="F1231" s="2" t="s">
        <v>23</v>
      </c>
      <c r="G1231" s="5">
        <v>0</v>
      </c>
      <c r="H1231" s="20">
        <v>0</v>
      </c>
      <c r="I1231" s="2">
        <v>2</v>
      </c>
      <c r="J1231" s="6">
        <v>8.9699074074074073E-3</v>
      </c>
      <c r="K1231" s="2"/>
      <c r="L1231" s="2"/>
      <c r="M1231" s="2" t="s">
        <v>48</v>
      </c>
      <c r="N1231" s="2" t="s">
        <v>76</v>
      </c>
      <c r="O1231" s="2" t="s">
        <v>52</v>
      </c>
    </row>
    <row r="1232" spans="1:15" ht="21" customHeight="1" x14ac:dyDescent="0.3">
      <c r="A1232" s="17"/>
      <c r="B1232" s="12" t="s">
        <v>70</v>
      </c>
      <c r="C1232" s="13">
        <v>12</v>
      </c>
      <c r="D1232" s="14" t="s">
        <v>58</v>
      </c>
      <c r="E1232" s="12" t="s">
        <v>16</v>
      </c>
      <c r="F1232" s="12" t="s">
        <v>23</v>
      </c>
      <c r="G1232" s="15">
        <v>0</v>
      </c>
      <c r="H1232" s="21">
        <v>0</v>
      </c>
      <c r="I1232" s="12">
        <v>2</v>
      </c>
      <c r="J1232" s="16">
        <v>8.9699074074074073E-3</v>
      </c>
      <c r="K1232" s="12"/>
      <c r="L1232" s="12"/>
      <c r="M1232" s="12" t="s">
        <v>48</v>
      </c>
      <c r="N1232" s="12" t="s">
        <v>77</v>
      </c>
      <c r="O1232" s="12" t="s">
        <v>54</v>
      </c>
    </row>
    <row r="1233" spans="1:15" ht="21" customHeight="1" x14ac:dyDescent="0.3">
      <c r="A1233" s="17"/>
      <c r="B1233" s="2" t="s">
        <v>70</v>
      </c>
      <c r="C1233" s="3">
        <v>30</v>
      </c>
      <c r="D1233" s="4" t="s">
        <v>27</v>
      </c>
      <c r="E1233" s="2" t="s">
        <v>32</v>
      </c>
      <c r="F1233" s="2" t="s">
        <v>68</v>
      </c>
      <c r="G1233" s="5">
        <v>0</v>
      </c>
      <c r="H1233" s="20">
        <v>0</v>
      </c>
      <c r="I1233" s="2">
        <v>2</v>
      </c>
      <c r="J1233" s="6">
        <v>8.9699074074074073E-3</v>
      </c>
      <c r="K1233" s="2"/>
      <c r="L1233" s="2"/>
      <c r="M1233" s="2" t="s">
        <v>51</v>
      </c>
      <c r="N1233" s="2" t="s">
        <v>78</v>
      </c>
      <c r="O1233" s="2" t="s">
        <v>21</v>
      </c>
    </row>
    <row r="1234" spans="1:15" ht="21" customHeight="1" x14ac:dyDescent="0.3">
      <c r="A1234" s="17"/>
      <c r="B1234" s="12" t="s">
        <v>70</v>
      </c>
      <c r="C1234" s="13">
        <v>14</v>
      </c>
      <c r="D1234" s="14" t="s">
        <v>37</v>
      </c>
      <c r="E1234" s="12" t="s">
        <v>73</v>
      </c>
      <c r="F1234" s="12" t="s">
        <v>45</v>
      </c>
      <c r="G1234" s="15">
        <v>0</v>
      </c>
      <c r="H1234" s="21">
        <v>0</v>
      </c>
      <c r="I1234" s="12">
        <v>2</v>
      </c>
      <c r="J1234" s="16">
        <v>8.9699074074074073E-3</v>
      </c>
      <c r="K1234" s="12"/>
      <c r="L1234" s="12"/>
      <c r="M1234" s="12" t="s">
        <v>20</v>
      </c>
      <c r="N1234" s="12" t="s">
        <v>77</v>
      </c>
      <c r="O1234" s="12" t="s">
        <v>54</v>
      </c>
    </row>
    <row r="1235" spans="1:15" ht="21" customHeight="1" x14ac:dyDescent="0.3">
      <c r="A1235" s="17"/>
      <c r="B1235" s="2" t="s">
        <v>70</v>
      </c>
      <c r="C1235" s="3">
        <v>18</v>
      </c>
      <c r="D1235" s="4" t="s">
        <v>44</v>
      </c>
      <c r="E1235" s="2" t="s">
        <v>32</v>
      </c>
      <c r="F1235" s="2" t="s">
        <v>23</v>
      </c>
      <c r="G1235" s="5">
        <v>0</v>
      </c>
      <c r="H1235" s="20">
        <v>0</v>
      </c>
      <c r="I1235" s="2">
        <v>2</v>
      </c>
      <c r="J1235" s="6">
        <v>8.9699074074074073E-3</v>
      </c>
      <c r="K1235" s="2"/>
      <c r="L1235" s="2"/>
      <c r="M1235" s="2" t="s">
        <v>30</v>
      </c>
      <c r="N1235" s="2" t="s">
        <v>66</v>
      </c>
      <c r="O1235" s="2" t="s">
        <v>36</v>
      </c>
    </row>
    <row r="1236" spans="1:15" ht="21" customHeight="1" x14ac:dyDescent="0.3">
      <c r="A1236" s="17"/>
      <c r="B1236" s="12" t="s">
        <v>70</v>
      </c>
      <c r="C1236" s="13">
        <v>24</v>
      </c>
      <c r="D1236" s="14" t="s">
        <v>44</v>
      </c>
      <c r="E1236" s="12" t="s">
        <v>38</v>
      </c>
      <c r="F1236" s="12" t="s">
        <v>42</v>
      </c>
      <c r="G1236" s="15">
        <v>0</v>
      </c>
      <c r="H1236" s="21">
        <v>0</v>
      </c>
      <c r="I1236" s="12">
        <v>2</v>
      </c>
      <c r="J1236" s="16">
        <v>8.9699074074074073E-3</v>
      </c>
      <c r="K1236" s="12"/>
      <c r="L1236" s="12"/>
      <c r="M1236" s="12" t="s">
        <v>20</v>
      </c>
      <c r="N1236" s="12" t="s">
        <v>76</v>
      </c>
      <c r="O1236" s="12" t="s">
        <v>26</v>
      </c>
    </row>
    <row r="1237" spans="1:15" ht="21" customHeight="1" x14ac:dyDescent="0.3">
      <c r="A1237" s="17"/>
      <c r="B1237" s="2" t="s">
        <v>70</v>
      </c>
      <c r="C1237" s="3">
        <v>9</v>
      </c>
      <c r="D1237" s="4" t="s">
        <v>69</v>
      </c>
      <c r="E1237" s="2" t="s">
        <v>16</v>
      </c>
      <c r="F1237" s="2" t="s">
        <v>23</v>
      </c>
      <c r="G1237" s="5">
        <v>0</v>
      </c>
      <c r="H1237" s="20">
        <v>0</v>
      </c>
      <c r="I1237" s="2">
        <v>1</v>
      </c>
      <c r="J1237" s="6">
        <v>8.9699074074074073E-3</v>
      </c>
      <c r="K1237" s="2"/>
      <c r="L1237" s="2"/>
      <c r="M1237" s="2" t="s">
        <v>40</v>
      </c>
      <c r="N1237" s="2" t="s">
        <v>76</v>
      </c>
      <c r="O1237" s="2" t="s">
        <v>52</v>
      </c>
    </row>
    <row r="1238" spans="1:15" ht="21" customHeight="1" x14ac:dyDescent="0.3">
      <c r="A1238" s="17"/>
      <c r="B1238" s="12" t="s">
        <v>70</v>
      </c>
      <c r="C1238" s="13">
        <v>11</v>
      </c>
      <c r="D1238" s="14" t="s">
        <v>57</v>
      </c>
      <c r="E1238" s="12" t="s">
        <v>32</v>
      </c>
      <c r="F1238" s="12" t="s">
        <v>23</v>
      </c>
      <c r="G1238" s="15">
        <v>0</v>
      </c>
      <c r="H1238" s="21">
        <v>0</v>
      </c>
      <c r="I1238" s="12">
        <v>2</v>
      </c>
      <c r="J1238" s="16">
        <v>8.9699074074074073E-3</v>
      </c>
      <c r="K1238" s="12"/>
      <c r="L1238" s="12"/>
      <c r="M1238" s="12" t="s">
        <v>48</v>
      </c>
      <c r="N1238" s="12" t="s">
        <v>76</v>
      </c>
      <c r="O1238" s="12" t="s">
        <v>52</v>
      </c>
    </row>
    <row r="1239" spans="1:15" ht="21" customHeight="1" x14ac:dyDescent="0.3">
      <c r="A1239" s="17"/>
      <c r="B1239" s="2" t="s">
        <v>70</v>
      </c>
      <c r="C1239" s="3">
        <v>12</v>
      </c>
      <c r="D1239" s="4" t="s">
        <v>58</v>
      </c>
      <c r="E1239" s="2" t="s">
        <v>16</v>
      </c>
      <c r="F1239" s="2" t="s">
        <v>23</v>
      </c>
      <c r="G1239" s="5">
        <v>0</v>
      </c>
      <c r="H1239" s="20">
        <v>0</v>
      </c>
      <c r="I1239" s="2">
        <v>2</v>
      </c>
      <c r="J1239" s="6">
        <v>8.9699074074074073E-3</v>
      </c>
      <c r="K1239" s="2"/>
      <c r="L1239" s="2"/>
      <c r="M1239" s="2" t="s">
        <v>48</v>
      </c>
      <c r="N1239" s="2" t="s">
        <v>77</v>
      </c>
      <c r="O1239" s="2" t="s">
        <v>54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FC4E9-35DF-46C8-A9CB-5643FECD0C91}">
  <sheetPr>
    <tabColor theme="4" tint="0.39997558519241921"/>
  </sheetPr>
  <dimension ref="B1:DW92"/>
  <sheetViews>
    <sheetView showGridLines="0" topLeftCell="F1" workbookViewId="0">
      <selection activeCell="B41" sqref="A1:XFD1048576"/>
    </sheetView>
  </sheetViews>
  <sheetFormatPr defaultColWidth="9" defaultRowHeight="13.8" x14ac:dyDescent="0.25"/>
  <cols>
    <col min="1" max="1" width="9" style="23"/>
    <col min="2" max="2" width="16.3984375" style="23" bestFit="1" customWidth="1"/>
    <col min="3" max="3" width="9" style="23"/>
    <col min="4" max="4" width="9" style="24"/>
    <col min="5" max="5" width="13.09765625" style="23" bestFit="1" customWidth="1"/>
    <col min="6" max="7" width="19.69921875" style="23" bestFit="1" customWidth="1"/>
    <col min="8" max="11" width="9" style="23"/>
    <col min="12" max="12" width="9" style="24"/>
    <col min="13" max="13" width="13.09765625" style="23" bestFit="1" customWidth="1"/>
    <col min="14" max="14" width="16.3984375" style="23" bestFit="1" customWidth="1"/>
    <col min="15" max="16" width="9" style="23"/>
    <col min="17" max="17" width="16.19921875" style="23" bestFit="1" customWidth="1"/>
    <col min="18" max="18" width="9" style="23"/>
    <col min="19" max="19" width="9" style="24"/>
    <col min="20" max="20" width="13.09765625" style="23" bestFit="1" customWidth="1"/>
    <col min="21" max="21" width="16.3984375" style="23" bestFit="1" customWidth="1"/>
    <col min="22" max="22" width="17.5" style="23" bestFit="1" customWidth="1"/>
    <col min="23" max="25" width="9" style="23"/>
    <col min="26" max="26" width="16.19921875" style="23" bestFit="1" customWidth="1"/>
    <col min="27" max="27" width="9" style="23"/>
    <col min="28" max="28" width="9" style="24"/>
    <col min="29" max="29" width="13.09765625" style="23" bestFit="1" customWidth="1"/>
    <col min="30" max="30" width="19.69921875" style="23" bestFit="1" customWidth="1"/>
    <col min="31" max="31" width="4.5" style="23" bestFit="1" customWidth="1"/>
    <col min="32" max="32" width="9" style="23"/>
    <col min="33" max="33" width="9" style="24"/>
    <col min="34" max="35" width="23.3984375" style="23" bestFit="1" customWidth="1"/>
    <col min="36" max="36" width="9" style="23"/>
    <col min="37" max="37" width="9" style="24"/>
    <col min="38" max="38" width="13.09765625" style="23" bestFit="1" customWidth="1"/>
    <col min="39" max="39" width="18.5" style="23" bestFit="1" customWidth="1"/>
    <col min="40" max="40" width="9" style="23"/>
    <col min="41" max="41" width="9" style="24"/>
    <col min="42" max="42" width="13.09765625" style="23" bestFit="1" customWidth="1"/>
    <col min="43" max="44" width="16.3984375" style="23" bestFit="1" customWidth="1"/>
    <col min="45" max="45" width="9" style="24"/>
    <col min="46" max="46" width="13.09765625" style="23" bestFit="1" customWidth="1"/>
    <col min="47" max="47" width="16.3984375" style="23" bestFit="1" customWidth="1"/>
    <col min="48" max="48" width="9" style="23"/>
    <col min="49" max="49" width="9" style="24"/>
    <col min="50" max="50" width="13.09765625" style="23" bestFit="1" customWidth="1"/>
    <col min="51" max="51" width="23.3984375" style="23" bestFit="1" customWidth="1"/>
    <col min="52" max="52" width="9" style="23"/>
    <col min="53" max="53" width="9" style="24"/>
    <col min="54" max="54" width="13.09765625" style="23" bestFit="1" customWidth="1"/>
    <col min="55" max="55" width="16.3984375" style="23" bestFit="1" customWidth="1"/>
    <col min="56" max="58" width="9" style="23"/>
    <col min="59" max="59" width="16.19921875" style="23" bestFit="1" customWidth="1"/>
    <col min="60" max="60" width="9" style="23"/>
    <col min="61" max="61" width="9" style="24"/>
    <col min="62" max="62" width="13.09765625" style="23" bestFit="1" customWidth="1"/>
    <col min="63" max="63" width="30.3984375" style="23" bestFit="1" customWidth="1"/>
    <col min="64" max="70" width="9" style="23"/>
    <col min="71" max="71" width="9" style="24"/>
    <col min="72" max="72" width="13.09765625" style="23" bestFit="1" customWidth="1"/>
    <col min="73" max="73" width="16.3984375" style="23" bestFit="1" customWidth="1"/>
    <col min="74" max="74" width="17.5" style="23" bestFit="1" customWidth="1"/>
    <col min="75" max="76" width="9" style="23"/>
    <col min="77" max="77" width="11.3984375" style="23" bestFit="1" customWidth="1"/>
    <col min="78" max="78" width="16.3984375" style="23" bestFit="1" customWidth="1"/>
    <col min="79" max="79" width="9" style="23"/>
    <col min="80" max="80" width="10.5" style="23" bestFit="1" customWidth="1"/>
    <col min="81" max="82" width="9" style="23"/>
    <col min="83" max="83" width="9" style="24"/>
    <col min="84" max="84" width="13.09765625" style="23" bestFit="1" customWidth="1"/>
    <col min="85" max="85" width="16.3984375" style="23" bestFit="1" customWidth="1"/>
    <col min="86" max="86" width="17.5" style="23" bestFit="1" customWidth="1"/>
    <col min="87" max="87" width="9" style="24"/>
    <col min="88" max="88" width="16.09765625" style="23" bestFit="1" customWidth="1"/>
    <col min="89" max="89" width="16.3984375" style="23" bestFit="1" customWidth="1"/>
    <col min="90" max="91" width="9" style="23"/>
    <col min="92" max="92" width="16.09765625" style="23" bestFit="1" customWidth="1"/>
    <col min="93" max="94" width="9" style="23"/>
    <col min="95" max="95" width="20.8984375" style="23" bestFit="1" customWidth="1"/>
    <col min="96" max="96" width="11.8984375" style="23" customWidth="1"/>
    <col min="97" max="97" width="12" style="23" customWidth="1"/>
    <col min="98" max="99" width="11.19921875" style="23" bestFit="1" customWidth="1"/>
    <col min="100" max="100" width="12.19921875" style="23" customWidth="1"/>
    <col min="101" max="101" width="10.19921875" style="23" bestFit="1" customWidth="1"/>
    <col min="102" max="102" width="9" style="23"/>
    <col min="103" max="103" width="9" style="24"/>
    <col min="104" max="104" width="13.09765625" style="23" bestFit="1" customWidth="1"/>
    <col min="105" max="105" width="14.69921875" style="23" bestFit="1" customWidth="1"/>
    <col min="106" max="106" width="15.69921875" style="23" bestFit="1" customWidth="1"/>
    <col min="107" max="109" width="9" style="23"/>
    <col min="110" max="110" width="9" style="24"/>
    <col min="111" max="111" width="13.09765625" style="23" bestFit="1" customWidth="1"/>
    <col min="112" max="112" width="16.09765625" style="23" bestFit="1" customWidth="1"/>
    <col min="113" max="116" width="10" style="23" bestFit="1" customWidth="1"/>
    <col min="117" max="117" width="9" style="23"/>
    <col min="118" max="118" width="9" style="24"/>
    <col min="119" max="119" width="13.09765625" style="23" bestFit="1" customWidth="1"/>
    <col min="120" max="120" width="16.3984375" style="23" bestFit="1" customWidth="1"/>
    <col min="121" max="121" width="10" style="23" bestFit="1" customWidth="1"/>
    <col min="122" max="122" width="9" style="24"/>
    <col min="123" max="123" width="16.3984375" style="23" bestFit="1" customWidth="1"/>
    <col min="124" max="124" width="16.09765625" style="23" bestFit="1" customWidth="1"/>
    <col min="125" max="125" width="6.69921875" style="23" bestFit="1" customWidth="1"/>
    <col min="126" max="126" width="7" style="23" bestFit="1" customWidth="1"/>
    <col min="127" max="127" width="6.69921875" style="23" bestFit="1" customWidth="1"/>
    <col min="128" max="16384" width="9" style="23"/>
  </cols>
  <sheetData>
    <row r="1" spans="2:127" x14ac:dyDescent="0.25">
      <c r="AT1" s="30" t="s">
        <v>95</v>
      </c>
      <c r="AX1" s="30" t="s">
        <v>96</v>
      </c>
      <c r="BB1" s="30" t="s">
        <v>97</v>
      </c>
      <c r="BJ1" s="30" t="s">
        <v>103</v>
      </c>
      <c r="BT1" s="30" t="s">
        <v>102</v>
      </c>
      <c r="CF1" s="30" t="s">
        <v>101</v>
      </c>
      <c r="CJ1" s="30" t="s">
        <v>3</v>
      </c>
      <c r="CZ1" s="30" t="s">
        <v>110</v>
      </c>
      <c r="DG1" s="30" t="s">
        <v>112</v>
      </c>
      <c r="DO1" s="30" t="s">
        <v>115</v>
      </c>
      <c r="DS1" s="30" t="s">
        <v>116</v>
      </c>
    </row>
    <row r="2" spans="2:127" s="30" customFormat="1" ht="15.6" x14ac:dyDescent="0.3">
      <c r="B2" s="30" t="s">
        <v>82</v>
      </c>
      <c r="D2" s="31"/>
      <c r="E2" s="30" t="s">
        <v>83</v>
      </c>
      <c r="L2" s="31"/>
      <c r="M2" s="30" t="s">
        <v>84</v>
      </c>
      <c r="S2" s="31"/>
      <c r="T2" s="30" t="s">
        <v>85</v>
      </c>
      <c r="AB2" s="31"/>
      <c r="AC2" s="30" t="s">
        <v>90</v>
      </c>
      <c r="AG2" s="31"/>
      <c r="AH2" s="30" t="s">
        <v>5</v>
      </c>
      <c r="AK2" s="31"/>
      <c r="AL2" s="30" t="s">
        <v>11</v>
      </c>
      <c r="AO2" s="31"/>
      <c r="AP2" s="30" t="s">
        <v>9</v>
      </c>
      <c r="AS2" s="31"/>
      <c r="AT2" s="67" t="s">
        <v>0</v>
      </c>
      <c r="AU2" s="67" t="s">
        <v>14</v>
      </c>
      <c r="AW2" s="31"/>
      <c r="AX2" s="67" t="s">
        <v>0</v>
      </c>
      <c r="AY2" s="67" t="s">
        <v>14</v>
      </c>
      <c r="BA2" s="31"/>
      <c r="BB2" s="67" t="s">
        <v>0</v>
      </c>
      <c r="BC2" s="67" t="s">
        <v>14</v>
      </c>
      <c r="BI2" s="31"/>
      <c r="BJ2" s="22" t="s">
        <v>0</v>
      </c>
      <c r="BK2" s="22" t="s">
        <v>14</v>
      </c>
      <c r="BS2" s="31"/>
      <c r="BT2" s="67" t="s">
        <v>0</v>
      </c>
      <c r="BU2" s="67" t="s">
        <v>14</v>
      </c>
      <c r="CE2" s="31"/>
      <c r="CF2" s="67" t="s">
        <v>0</v>
      </c>
      <c r="CG2" s="67" t="s">
        <v>14</v>
      </c>
      <c r="CI2" s="31"/>
      <c r="CJ2" s="67" t="s">
        <v>0</v>
      </c>
      <c r="CK2" s="67" t="s">
        <v>14</v>
      </c>
      <c r="CQ2" s="30" t="s">
        <v>106</v>
      </c>
      <c r="CR2" s="57">
        <f>MAX(CR4:CW4)</f>
        <v>4572000000</v>
      </c>
      <c r="CY2" s="31"/>
      <c r="CZ2"/>
      <c r="DA2"/>
      <c r="DF2" s="31"/>
      <c r="DG2"/>
      <c r="DH2"/>
      <c r="DN2" s="31"/>
      <c r="DO2" s="67" t="s">
        <v>0</v>
      </c>
      <c r="DP2" s="67" t="s">
        <v>14</v>
      </c>
      <c r="DR2" s="31"/>
      <c r="DS2" s="67" t="s">
        <v>0</v>
      </c>
      <c r="DT2" s="67" t="s">
        <v>14</v>
      </c>
    </row>
    <row r="3" spans="2:127" ht="27.6" x14ac:dyDescent="0.25">
      <c r="CR3" s="58" t="s">
        <v>73</v>
      </c>
      <c r="CS3" s="58" t="s">
        <v>49</v>
      </c>
      <c r="CT3" s="58" t="s">
        <v>38</v>
      </c>
      <c r="CU3" s="58" t="s">
        <v>28</v>
      </c>
      <c r="CV3" s="58" t="s">
        <v>32</v>
      </c>
      <c r="CW3" s="58" t="s">
        <v>16</v>
      </c>
    </row>
    <row r="4" spans="2:127" ht="15.6" x14ac:dyDescent="0.3">
      <c r="B4" s="67" t="s">
        <v>79</v>
      </c>
      <c r="E4" s="67" t="s">
        <v>80</v>
      </c>
      <c r="F4" s="67" t="s">
        <v>81</v>
      </c>
      <c r="G4"/>
      <c r="M4" s="67" t="s">
        <v>80</v>
      </c>
      <c r="N4" s="67" t="s">
        <v>79</v>
      </c>
      <c r="O4"/>
      <c r="T4" s="42" t="s">
        <v>80</v>
      </c>
      <c r="U4" s="42" t="s">
        <v>79</v>
      </c>
      <c r="V4" s="42" t="s">
        <v>86</v>
      </c>
      <c r="AC4" s="69" t="s">
        <v>80</v>
      </c>
      <c r="AD4" s="67" t="s">
        <v>81</v>
      </c>
      <c r="AE4"/>
      <c r="AH4" s="22" t="s">
        <v>80</v>
      </c>
      <c r="AI4" s="22" t="s">
        <v>92</v>
      </c>
      <c r="AL4" s="67" t="s">
        <v>80</v>
      </c>
      <c r="AM4" s="67" t="s">
        <v>94</v>
      </c>
      <c r="AP4" s="67" t="s">
        <v>80</v>
      </c>
      <c r="AQ4" s="67" t="s">
        <v>79</v>
      </c>
      <c r="AR4"/>
      <c r="AT4" s="67" t="s">
        <v>80</v>
      </c>
      <c r="AU4" s="67" t="s">
        <v>79</v>
      </c>
      <c r="AX4" s="67" t="s">
        <v>80</v>
      </c>
      <c r="AY4" s="67" t="s">
        <v>92</v>
      </c>
      <c r="BB4" s="67" t="s">
        <v>80</v>
      </c>
      <c r="BC4" s="67" t="s">
        <v>79</v>
      </c>
      <c r="BJ4" s="22" t="s">
        <v>80</v>
      </c>
      <c r="BK4" s="22" t="s">
        <v>98</v>
      </c>
      <c r="BM4" s="49" t="s">
        <v>2</v>
      </c>
      <c r="BN4" s="49" t="s">
        <v>99</v>
      </c>
      <c r="BO4" s="23" t="s">
        <v>87</v>
      </c>
      <c r="BP4" s="23" t="s">
        <v>89</v>
      </c>
      <c r="BT4" s="67" t="s">
        <v>80</v>
      </c>
      <c r="BU4" s="67" t="s">
        <v>79</v>
      </c>
      <c r="BV4" s="67" t="s">
        <v>86</v>
      </c>
      <c r="BY4" s="51" t="s">
        <v>80</v>
      </c>
      <c r="BZ4" s="51" t="s">
        <v>79</v>
      </c>
      <c r="CF4" s="67" t="s">
        <v>80</v>
      </c>
      <c r="CG4" s="67" t="s">
        <v>79</v>
      </c>
      <c r="CH4"/>
      <c r="CJ4" s="67" t="s">
        <v>80</v>
      </c>
      <c r="CK4" s="67" t="s">
        <v>79</v>
      </c>
      <c r="CN4" s="33" t="s">
        <v>28</v>
      </c>
      <c r="CO4" s="52">
        <f>IFERROR(CK5,"")</f>
        <v>2749000000</v>
      </c>
      <c r="CQ4" s="59" t="s">
        <v>104</v>
      </c>
      <c r="CR4" s="60">
        <f>IFERROR(VLOOKUP(CR3,$CJ$5:$CK$10,2,0)," ")</f>
        <v>806000000</v>
      </c>
      <c r="CS4" s="60">
        <f t="shared" ref="CS4:CW4" si="0">IFERROR(VLOOKUP(CS3,$CJ$5:$CK$10,2,0)," ")</f>
        <v>1823000000</v>
      </c>
      <c r="CT4" s="60">
        <f t="shared" si="0"/>
        <v>2494000000</v>
      </c>
      <c r="CU4" s="60">
        <f t="shared" si="0"/>
        <v>2749000000</v>
      </c>
      <c r="CV4" s="60">
        <f t="shared" si="0"/>
        <v>3546000000</v>
      </c>
      <c r="CW4" s="60">
        <f t="shared" si="0"/>
        <v>4572000000</v>
      </c>
      <c r="CZ4" s="22" t="s">
        <v>80</v>
      </c>
      <c r="DA4" s="22" t="s">
        <v>108</v>
      </c>
      <c r="DB4" s="22" t="s">
        <v>111</v>
      </c>
      <c r="DG4" s="22" t="s">
        <v>79</v>
      </c>
      <c r="DH4" s="22" t="s">
        <v>113</v>
      </c>
      <c r="DI4" s="22"/>
      <c r="DJ4" s="42"/>
      <c r="DK4" s="42"/>
      <c r="DL4" s="42"/>
      <c r="DO4" s="67" t="s">
        <v>80</v>
      </c>
      <c r="DP4" s="67" t="s">
        <v>79</v>
      </c>
      <c r="DQ4"/>
      <c r="DS4" s="67" t="s">
        <v>79</v>
      </c>
      <c r="DT4" s="67" t="s">
        <v>113</v>
      </c>
      <c r="DU4" s="67"/>
      <c r="DV4" s="69"/>
      <c r="DW4" s="69"/>
    </row>
    <row r="5" spans="2:127" ht="15.6" x14ac:dyDescent="0.3">
      <c r="B5" s="75">
        <v>15990000000</v>
      </c>
      <c r="E5" s="46" t="s">
        <v>70</v>
      </c>
      <c r="F5" s="68">
        <v>311</v>
      </c>
      <c r="G5"/>
      <c r="H5" s="26" t="s">
        <v>70</v>
      </c>
      <c r="I5" s="27">
        <f>IFERROR(VLOOKUP(H5,E5:F6,2,0),"-")</f>
        <v>311</v>
      </c>
      <c r="M5" s="46" t="s">
        <v>52</v>
      </c>
      <c r="N5" s="75">
        <v>1727000000</v>
      </c>
      <c r="O5"/>
      <c r="P5" s="23" t="str">
        <f>IFERROR(M5,"-")</f>
        <v>Mohmed</v>
      </c>
      <c r="Q5" s="32">
        <f>IFERROR(N5,"-")</f>
        <v>1727000000</v>
      </c>
      <c r="T5" s="25" t="s">
        <v>55</v>
      </c>
      <c r="U5" s="43">
        <v>984000000</v>
      </c>
      <c r="V5" s="23">
        <v>984000000</v>
      </c>
      <c r="Y5" s="33" t="s">
        <v>87</v>
      </c>
      <c r="Z5" s="34">
        <f>MAX(V:V)</f>
        <v>3809000000</v>
      </c>
      <c r="AC5" s="46" t="s">
        <v>14</v>
      </c>
      <c r="AD5" s="68">
        <v>926</v>
      </c>
      <c r="AE5"/>
      <c r="AH5" s="25" t="s">
        <v>55</v>
      </c>
      <c r="AI5" s="23">
        <v>170</v>
      </c>
      <c r="AL5" s="46" t="s">
        <v>30</v>
      </c>
      <c r="AM5" s="68">
        <v>219</v>
      </c>
      <c r="AP5" s="46" t="s">
        <v>46</v>
      </c>
      <c r="AQ5" s="50">
        <v>3895000000</v>
      </c>
      <c r="AR5"/>
      <c r="AT5" s="46" t="s">
        <v>39</v>
      </c>
      <c r="AU5" s="50">
        <v>2320000000</v>
      </c>
      <c r="AX5" s="46" t="s">
        <v>39</v>
      </c>
      <c r="AY5" s="68">
        <v>374</v>
      </c>
      <c r="BB5" s="46" t="s">
        <v>19</v>
      </c>
      <c r="BC5" s="50">
        <v>3337000000</v>
      </c>
      <c r="BF5" s="33" t="str">
        <f>IFERROR(BB5,"-")</f>
        <v>KJI. L4</v>
      </c>
      <c r="BG5" s="34">
        <f>IFERROR(VLOOKUP(BF5,BB5:BC13,2,0),"-")</f>
        <v>3337000000</v>
      </c>
      <c r="BJ5" s="25" t="s">
        <v>55</v>
      </c>
      <c r="BK5" s="47">
        <v>3.0161179698216726E-3</v>
      </c>
      <c r="BM5" s="23" t="str">
        <f>IFERROR(BJ5,0)</f>
        <v>Jan</v>
      </c>
      <c r="BN5" s="47">
        <f>IFERROR(BK5,0)</f>
        <v>3.0161179698216726E-3</v>
      </c>
      <c r="BO5" s="47" t="str">
        <f>IF(BN5=MAX($BN$5:$BN$16),BN5,"")</f>
        <v/>
      </c>
      <c r="BP5" s="47" t="str">
        <f>IF(BN5=MIN($BN$5:$BN$16),BN5,"")</f>
        <v/>
      </c>
      <c r="BQ5" s="23" t="s">
        <v>88</v>
      </c>
      <c r="BR5" s="47">
        <f>AVERAGE(BK5:BK16)</f>
        <v>2.9635914626953198E-3</v>
      </c>
      <c r="BT5" s="46" t="s">
        <v>77</v>
      </c>
      <c r="BU5" s="50">
        <v>2579000000</v>
      </c>
      <c r="BV5" s="50">
        <v>2579000000</v>
      </c>
      <c r="BY5" s="46" t="s">
        <v>76</v>
      </c>
      <c r="BZ5" s="50">
        <v>5372000000</v>
      </c>
      <c r="CB5" s="33" t="str">
        <f>IFERROR(BY5,"")</f>
        <v>Mohammed</v>
      </c>
      <c r="CC5" s="52">
        <f>IFERROR(BZ5,"")</f>
        <v>5372000000</v>
      </c>
      <c r="CF5" s="46" t="s">
        <v>34</v>
      </c>
      <c r="CG5" s="50">
        <v>379000000</v>
      </c>
      <c r="CH5"/>
      <c r="CJ5" s="46" t="s">
        <v>28</v>
      </c>
      <c r="CK5" s="68">
        <v>2749000000</v>
      </c>
      <c r="CN5" s="35" t="s">
        <v>32</v>
      </c>
      <c r="CO5" s="53">
        <f t="shared" ref="CO5:CO9" si="1">IFERROR(CK6,"")</f>
        <v>3546000000</v>
      </c>
      <c r="CQ5" s="59" t="s">
        <v>105</v>
      </c>
      <c r="CR5" s="60">
        <f>$CR$2-CR4+1000000000</f>
        <v>4766000000</v>
      </c>
      <c r="CS5" s="60">
        <f t="shared" ref="CS5:CW5" si="2">$CR$2-CS4+1000000000</f>
        <v>3749000000</v>
      </c>
      <c r="CT5" s="60">
        <f t="shared" si="2"/>
        <v>3078000000</v>
      </c>
      <c r="CU5" s="60">
        <f t="shared" si="2"/>
        <v>2823000000</v>
      </c>
      <c r="CV5" s="60">
        <f t="shared" si="2"/>
        <v>2026000000</v>
      </c>
      <c r="CW5" s="60">
        <f t="shared" si="2"/>
        <v>1000000000</v>
      </c>
      <c r="CZ5" s="25" t="s">
        <v>55</v>
      </c>
      <c r="DA5" s="23">
        <v>68</v>
      </c>
      <c r="DB5" s="23">
        <v>68</v>
      </c>
      <c r="DG5" s="22" t="s">
        <v>80</v>
      </c>
      <c r="DH5" s="22" t="s">
        <v>23</v>
      </c>
      <c r="DI5" s="22" t="s">
        <v>42</v>
      </c>
      <c r="DJ5" s="22" t="s">
        <v>45</v>
      </c>
      <c r="DK5" s="22" t="s">
        <v>17</v>
      </c>
      <c r="DL5" s="22" t="s">
        <v>68</v>
      </c>
      <c r="DO5" s="46" t="s">
        <v>77</v>
      </c>
      <c r="DP5" s="50">
        <v>2579000000</v>
      </c>
      <c r="DQ5"/>
      <c r="DS5" s="67" t="s">
        <v>80</v>
      </c>
      <c r="DT5" s="67" t="s">
        <v>46</v>
      </c>
      <c r="DU5" s="67" t="s">
        <v>61</v>
      </c>
      <c r="DV5" s="67" t="s">
        <v>74</v>
      </c>
      <c r="DW5" s="67" t="s">
        <v>18</v>
      </c>
    </row>
    <row r="6" spans="2:127" ht="15.6" x14ac:dyDescent="0.3">
      <c r="E6" s="46" t="s">
        <v>14</v>
      </c>
      <c r="F6" s="68">
        <v>926</v>
      </c>
      <c r="G6"/>
      <c r="H6" s="28" t="s">
        <v>14</v>
      </c>
      <c r="I6" s="29">
        <f>IFERROR(VLOOKUP(H6,E6:F7,2,0),"-")</f>
        <v>926</v>
      </c>
      <c r="M6" s="46" t="s">
        <v>31</v>
      </c>
      <c r="N6" s="75">
        <v>1638000000</v>
      </c>
      <c r="O6"/>
      <c r="P6" s="23" t="str">
        <f t="shared" ref="P6:P9" si="3">IFERROR(M6,"-")</f>
        <v>Rony</v>
      </c>
      <c r="Q6" s="32">
        <f t="shared" ref="Q6:Q9" si="4">IFERROR(N6,"-")</f>
        <v>1638000000</v>
      </c>
      <c r="T6" s="25" t="s">
        <v>57</v>
      </c>
      <c r="U6" s="43">
        <v>1040000000</v>
      </c>
      <c r="V6" s="23">
        <v>1040000000</v>
      </c>
      <c r="Y6" s="35" t="s">
        <v>88</v>
      </c>
      <c r="Z6" s="36">
        <f>AVERAGE(V:V)</f>
        <v>1332500000</v>
      </c>
      <c r="AC6" s="46" t="s">
        <v>70</v>
      </c>
      <c r="AD6" s="68">
        <v>311</v>
      </c>
      <c r="AE6"/>
      <c r="AH6" s="25" t="s">
        <v>57</v>
      </c>
      <c r="AI6" s="23">
        <v>162</v>
      </c>
      <c r="AL6" s="46" t="s">
        <v>33</v>
      </c>
      <c r="AM6" s="68">
        <v>185</v>
      </c>
      <c r="AP6" s="46" t="s">
        <v>61</v>
      </c>
      <c r="AQ6" s="50">
        <v>1257000000</v>
      </c>
      <c r="AR6"/>
      <c r="AT6" s="46" t="s">
        <v>35</v>
      </c>
      <c r="AU6" s="50">
        <v>1159000000</v>
      </c>
      <c r="AX6" s="46" t="s">
        <v>35</v>
      </c>
      <c r="AY6" s="68">
        <v>189</v>
      </c>
      <c r="BB6" s="46" t="s">
        <v>29</v>
      </c>
      <c r="BC6" s="50">
        <v>2892000000</v>
      </c>
      <c r="BF6" s="33" t="str">
        <f t="shared" ref="BF6:BF9" si="5">IFERROR(BB6,"-")</f>
        <v>Fndn. L5</v>
      </c>
      <c r="BG6" s="36">
        <f t="shared" ref="BG6:BG9" si="6">IFERROR(VLOOKUP(BF6,BB6:BC14,2,0),"-")</f>
        <v>2892000000</v>
      </c>
      <c r="BJ6" s="25" t="s">
        <v>57</v>
      </c>
      <c r="BK6" s="47">
        <v>2.8763440860215049E-3</v>
      </c>
      <c r="BM6" s="23" t="str">
        <f t="shared" ref="BM6:BM16" si="7">IFERROR(BJ6,0)</f>
        <v>Feb</v>
      </c>
      <c r="BN6" s="47">
        <f t="shared" ref="BN6:BN16" si="8">IFERROR(BK6,0)</f>
        <v>2.8763440860215049E-3</v>
      </c>
      <c r="BO6" s="47" t="str">
        <f t="shared" ref="BO6:BO16" si="9">IF(BN6=MAX($BN$5:$BN$16),BN6,"")</f>
        <v/>
      </c>
      <c r="BP6" s="47" t="str">
        <f t="shared" ref="BP6:BP16" si="10">IF(BN6=MIN($BN$5:$BN$16),BN6,"")</f>
        <v/>
      </c>
      <c r="BQ6" s="23" t="s">
        <v>87</v>
      </c>
      <c r="BR6" s="47">
        <f>MAX(BK5:BK16)</f>
        <v>3.497540509259258E-3</v>
      </c>
      <c r="BT6" s="46" t="s">
        <v>66</v>
      </c>
      <c r="BU6" s="50">
        <v>2751000000</v>
      </c>
      <c r="BV6" s="50">
        <v>2751000000</v>
      </c>
      <c r="BY6" s="46" t="s">
        <v>78</v>
      </c>
      <c r="BZ6" s="50">
        <v>5288000000</v>
      </c>
      <c r="CB6" s="35" t="str">
        <f t="shared" ref="CB6:CB8" si="11">IFERROR(BY6,"")</f>
        <v>Salah</v>
      </c>
      <c r="CC6" s="53">
        <f t="shared" ref="CC6:CC8" si="12">IFERROR(BZ6,"")</f>
        <v>5288000000</v>
      </c>
      <c r="CF6" s="46" t="s">
        <v>66</v>
      </c>
      <c r="CG6" s="50">
        <v>650000000</v>
      </c>
      <c r="CH6"/>
      <c r="CJ6" s="46" t="s">
        <v>32</v>
      </c>
      <c r="CK6" s="68">
        <v>3546000000</v>
      </c>
      <c r="CN6" s="35" t="s">
        <v>49</v>
      </c>
      <c r="CO6" s="53">
        <f t="shared" si="1"/>
        <v>1823000000</v>
      </c>
      <c r="CZ6" s="25" t="s">
        <v>57</v>
      </c>
      <c r="DA6" s="23">
        <v>66</v>
      </c>
      <c r="DB6" s="23">
        <v>66</v>
      </c>
      <c r="DC6" s="63" t="s">
        <v>109</v>
      </c>
      <c r="DD6" s="64">
        <f>IFERROR(AVERAGE(DA5:DA16),"-")</f>
        <v>103.08333333333333</v>
      </c>
      <c r="DG6" s="25" t="s">
        <v>55</v>
      </c>
      <c r="DH6" s="43">
        <v>262000000</v>
      </c>
      <c r="DI6" s="43">
        <v>472000000</v>
      </c>
      <c r="DJ6" s="43">
        <v>0</v>
      </c>
      <c r="DK6" s="43">
        <v>190000000</v>
      </c>
      <c r="DL6" s="43">
        <v>60000000</v>
      </c>
      <c r="DO6" s="74" t="s">
        <v>46</v>
      </c>
      <c r="DP6" s="50">
        <v>513000000</v>
      </c>
      <c r="DQ6"/>
      <c r="DS6" s="46" t="s">
        <v>34</v>
      </c>
      <c r="DT6" s="50">
        <v>152000000</v>
      </c>
      <c r="DU6" s="50">
        <v>11000000</v>
      </c>
      <c r="DV6" s="50"/>
      <c r="DW6" s="50">
        <v>216000000</v>
      </c>
    </row>
    <row r="7" spans="2:127" ht="15.6" x14ac:dyDescent="0.3">
      <c r="E7"/>
      <c r="F7"/>
      <c r="G7"/>
      <c r="M7" s="46" t="s">
        <v>67</v>
      </c>
      <c r="N7" s="75">
        <v>1534000000</v>
      </c>
      <c r="O7"/>
      <c r="P7" s="23" t="str">
        <f t="shared" si="3"/>
        <v>Hany</v>
      </c>
      <c r="Q7" s="32">
        <f t="shared" si="4"/>
        <v>1534000000</v>
      </c>
      <c r="T7" s="25" t="s">
        <v>58</v>
      </c>
      <c r="U7" s="43">
        <v>116000000</v>
      </c>
      <c r="V7" s="23">
        <v>116000000</v>
      </c>
      <c r="Y7" s="37" t="s">
        <v>89</v>
      </c>
      <c r="Z7" s="38">
        <f>MIN(V:V)</f>
        <v>116000000</v>
      </c>
      <c r="AC7" s="67" t="s">
        <v>91</v>
      </c>
      <c r="AD7" s="67">
        <v>1237</v>
      </c>
      <c r="AE7"/>
      <c r="AH7" s="25" t="s">
        <v>58</v>
      </c>
      <c r="AI7" s="23">
        <v>12</v>
      </c>
      <c r="AL7" s="46" t="s">
        <v>40</v>
      </c>
      <c r="AM7" s="68">
        <v>97</v>
      </c>
      <c r="AP7" s="46" t="s">
        <v>74</v>
      </c>
      <c r="AQ7" s="50">
        <v>247000000</v>
      </c>
      <c r="AR7"/>
      <c r="AT7" s="46" t="s">
        <v>29</v>
      </c>
      <c r="AU7" s="50">
        <v>2892000000</v>
      </c>
      <c r="AX7" s="46" t="s">
        <v>29</v>
      </c>
      <c r="AY7" s="68">
        <v>472</v>
      </c>
      <c r="BB7" s="46" t="s">
        <v>56</v>
      </c>
      <c r="BC7" s="50">
        <v>2324000000</v>
      </c>
      <c r="BF7" s="33" t="str">
        <f t="shared" si="5"/>
        <v>Pre. L3</v>
      </c>
      <c r="BG7" s="36">
        <f t="shared" si="6"/>
        <v>2324000000</v>
      </c>
      <c r="BJ7" s="25" t="s">
        <v>58</v>
      </c>
      <c r="BK7" s="47">
        <v>1.3888888888888889E-3</v>
      </c>
      <c r="BM7" s="23" t="str">
        <f t="shared" si="7"/>
        <v>Mar</v>
      </c>
      <c r="BN7" s="47">
        <f t="shared" si="8"/>
        <v>1.3888888888888889E-3</v>
      </c>
      <c r="BO7" s="47" t="str">
        <f t="shared" si="9"/>
        <v/>
      </c>
      <c r="BP7" s="47">
        <f t="shared" si="10"/>
        <v>1.3888888888888889E-3</v>
      </c>
      <c r="BQ7" s="23" t="s">
        <v>100</v>
      </c>
      <c r="BR7" s="47">
        <f>MIN(BK5:BK16)</f>
        <v>1.3888888888888889E-3</v>
      </c>
      <c r="BT7" s="46" t="s">
        <v>76</v>
      </c>
      <c r="BU7" s="50">
        <v>5372000000</v>
      </c>
      <c r="BV7" s="50">
        <v>5372000000</v>
      </c>
      <c r="BY7" s="46" t="s">
        <v>66</v>
      </c>
      <c r="BZ7" s="50">
        <v>2751000000</v>
      </c>
      <c r="CB7" s="35" t="str">
        <f t="shared" si="11"/>
        <v>Ahmed</v>
      </c>
      <c r="CC7" s="53">
        <f t="shared" si="12"/>
        <v>2751000000</v>
      </c>
      <c r="CF7" s="46" t="s">
        <v>53</v>
      </c>
      <c r="CG7" s="50">
        <v>1360000000</v>
      </c>
      <c r="CH7"/>
      <c r="CJ7" s="46" t="s">
        <v>49</v>
      </c>
      <c r="CK7" s="68">
        <v>1823000000</v>
      </c>
      <c r="CN7" s="35" t="s">
        <v>16</v>
      </c>
      <c r="CO7" s="53">
        <f t="shared" si="1"/>
        <v>4572000000</v>
      </c>
      <c r="CR7"/>
      <c r="CS7"/>
      <c r="CT7"/>
      <c r="CU7"/>
      <c r="CV7"/>
      <c r="CW7"/>
      <c r="CZ7" s="25" t="s">
        <v>58</v>
      </c>
      <c r="DA7" s="23">
        <v>30</v>
      </c>
      <c r="DB7" s="23">
        <v>30</v>
      </c>
      <c r="DG7" s="25" t="s">
        <v>57</v>
      </c>
      <c r="DH7" s="43">
        <v>306000000</v>
      </c>
      <c r="DI7" s="43">
        <v>408000000</v>
      </c>
      <c r="DJ7" s="43">
        <v>48000000</v>
      </c>
      <c r="DK7" s="43">
        <v>248000000</v>
      </c>
      <c r="DL7" s="43">
        <v>30000000</v>
      </c>
      <c r="DO7" s="74" t="s">
        <v>61</v>
      </c>
      <c r="DP7" s="50">
        <v>146000000</v>
      </c>
      <c r="DQ7"/>
      <c r="DS7" s="46" t="s">
        <v>66</v>
      </c>
      <c r="DT7" s="50">
        <v>114000000</v>
      </c>
      <c r="DU7" s="50">
        <v>100000000</v>
      </c>
      <c r="DV7" s="50"/>
      <c r="DW7" s="50">
        <v>436000000</v>
      </c>
    </row>
    <row r="8" spans="2:127" ht="15.6" x14ac:dyDescent="0.3">
      <c r="M8" s="46" t="s">
        <v>53</v>
      </c>
      <c r="N8" s="75">
        <v>1360000000</v>
      </c>
      <c r="O8"/>
      <c r="P8" s="23" t="str">
        <f t="shared" si="3"/>
        <v>Dary</v>
      </c>
      <c r="Q8" s="32">
        <f t="shared" si="4"/>
        <v>1360000000</v>
      </c>
      <c r="T8" s="25" t="s">
        <v>15</v>
      </c>
      <c r="U8" s="43">
        <v>538000000</v>
      </c>
      <c r="V8" s="23">
        <v>538000000</v>
      </c>
      <c r="AC8"/>
      <c r="AD8"/>
      <c r="AE8"/>
      <c r="AH8" s="25" t="s">
        <v>15</v>
      </c>
      <c r="AI8" s="23">
        <v>102</v>
      </c>
      <c r="AL8" s="46" t="s">
        <v>20</v>
      </c>
      <c r="AM8" s="68">
        <v>100</v>
      </c>
      <c r="AP8" s="46" t="s">
        <v>18</v>
      </c>
      <c r="AQ8" s="50">
        <v>10591000000</v>
      </c>
      <c r="AR8"/>
      <c r="AT8" s="46" t="s">
        <v>50</v>
      </c>
      <c r="AU8" s="50">
        <v>574000000</v>
      </c>
      <c r="AX8" s="46" t="s">
        <v>50</v>
      </c>
      <c r="AY8" s="68">
        <v>90</v>
      </c>
      <c r="BB8" s="46" t="s">
        <v>39</v>
      </c>
      <c r="BC8" s="50">
        <v>2320000000</v>
      </c>
      <c r="BF8" s="33" t="str">
        <f t="shared" si="5"/>
        <v>Fndn. L1</v>
      </c>
      <c r="BG8" s="36">
        <f t="shared" si="6"/>
        <v>2320000000</v>
      </c>
      <c r="BJ8" s="25" t="s">
        <v>15</v>
      </c>
      <c r="BK8" s="47">
        <v>3.497540509259258E-3</v>
      </c>
      <c r="BM8" s="23" t="str">
        <f t="shared" si="7"/>
        <v>Apr</v>
      </c>
      <c r="BN8" s="47">
        <f t="shared" si="8"/>
        <v>3.497540509259258E-3</v>
      </c>
      <c r="BO8" s="47">
        <f t="shared" si="9"/>
        <v>3.497540509259258E-3</v>
      </c>
      <c r="BP8" s="47" t="str">
        <f t="shared" si="10"/>
        <v/>
      </c>
      <c r="BT8" s="46" t="s">
        <v>78</v>
      </c>
      <c r="BU8" s="50">
        <v>5288000000</v>
      </c>
      <c r="BV8" s="50">
        <v>5288000000</v>
      </c>
      <c r="BY8" s="46" t="s">
        <v>77</v>
      </c>
      <c r="BZ8" s="50">
        <v>2579000000</v>
      </c>
      <c r="CB8" s="37" t="str">
        <f t="shared" si="11"/>
        <v>Abdullah</v>
      </c>
      <c r="CC8" s="54">
        <f t="shared" si="12"/>
        <v>2579000000</v>
      </c>
      <c r="CF8" s="46" t="s">
        <v>62</v>
      </c>
      <c r="CG8" s="50">
        <v>832000000</v>
      </c>
      <c r="CH8"/>
      <c r="CJ8" s="46" t="s">
        <v>16</v>
      </c>
      <c r="CK8" s="68">
        <v>4572000000</v>
      </c>
      <c r="CN8" s="35" t="s">
        <v>38</v>
      </c>
      <c r="CO8" s="53">
        <f t="shared" si="1"/>
        <v>2494000000</v>
      </c>
      <c r="CZ8" s="25" t="s">
        <v>15</v>
      </c>
      <c r="DA8" s="23">
        <v>38</v>
      </c>
      <c r="DB8" s="23">
        <v>38</v>
      </c>
      <c r="DG8" s="25" t="s">
        <v>58</v>
      </c>
      <c r="DH8" s="43">
        <v>0</v>
      </c>
      <c r="DI8" s="43">
        <v>116000000</v>
      </c>
      <c r="DJ8" s="43"/>
      <c r="DK8" s="43">
        <v>0</v>
      </c>
      <c r="DL8" s="43">
        <v>0</v>
      </c>
      <c r="DO8" s="74" t="s">
        <v>18</v>
      </c>
      <c r="DP8" s="50">
        <v>1920000000</v>
      </c>
      <c r="DQ8"/>
      <c r="DS8" s="46" t="s">
        <v>53</v>
      </c>
      <c r="DT8" s="50">
        <v>475000000</v>
      </c>
      <c r="DU8" s="50">
        <v>82000000</v>
      </c>
      <c r="DV8" s="50"/>
      <c r="DW8" s="50">
        <v>803000000</v>
      </c>
    </row>
    <row r="9" spans="2:127" ht="15.6" x14ac:dyDescent="0.3">
      <c r="M9" s="46" t="s">
        <v>26</v>
      </c>
      <c r="N9" s="75">
        <v>1288000000</v>
      </c>
      <c r="O9"/>
      <c r="P9" s="23" t="str">
        <f t="shared" si="3"/>
        <v>Kisho</v>
      </c>
      <c r="Q9" s="32">
        <f t="shared" si="4"/>
        <v>1288000000</v>
      </c>
      <c r="T9" s="25" t="s">
        <v>59</v>
      </c>
      <c r="U9" s="43">
        <v>1158000000</v>
      </c>
      <c r="V9" s="23">
        <v>1158000000</v>
      </c>
      <c r="AC9"/>
      <c r="AD9"/>
      <c r="AE9"/>
      <c r="AH9" s="25" t="s">
        <v>59</v>
      </c>
      <c r="AI9" s="23">
        <v>174</v>
      </c>
      <c r="AL9" s="46" t="s">
        <v>43</v>
      </c>
      <c r="AM9" s="68">
        <v>178</v>
      </c>
      <c r="AP9" s="67" t="s">
        <v>91</v>
      </c>
      <c r="AQ9" s="72">
        <v>15990000000</v>
      </c>
      <c r="AR9"/>
      <c r="AT9" s="46" t="s">
        <v>19</v>
      </c>
      <c r="AU9" s="50">
        <v>3337000000</v>
      </c>
      <c r="AX9" s="46" t="s">
        <v>19</v>
      </c>
      <c r="AY9" s="68">
        <v>562</v>
      </c>
      <c r="BB9" s="46" t="s">
        <v>47</v>
      </c>
      <c r="BC9" s="50">
        <v>1309000000</v>
      </c>
      <c r="BF9" s="33" t="str">
        <f t="shared" si="5"/>
        <v>Pre. L2</v>
      </c>
      <c r="BG9" s="38">
        <f t="shared" si="6"/>
        <v>1309000000</v>
      </c>
      <c r="BJ9" s="25" t="s">
        <v>59</v>
      </c>
      <c r="BK9" s="47">
        <v>3.0488351254480289E-3</v>
      </c>
      <c r="BM9" s="23" t="str">
        <f t="shared" si="7"/>
        <v>May</v>
      </c>
      <c r="BN9" s="47">
        <f t="shared" si="8"/>
        <v>3.0488351254480289E-3</v>
      </c>
      <c r="BO9" s="47" t="str">
        <f t="shared" si="9"/>
        <v/>
      </c>
      <c r="BP9" s="47" t="str">
        <f t="shared" si="10"/>
        <v/>
      </c>
      <c r="BT9" s="67" t="s">
        <v>91</v>
      </c>
      <c r="BU9" s="72">
        <v>15990000000</v>
      </c>
      <c r="BV9" s="72">
        <v>15990000000</v>
      </c>
      <c r="BY9"/>
      <c r="BZ9"/>
      <c r="CF9" s="46" t="s">
        <v>75</v>
      </c>
      <c r="CG9" s="50">
        <v>332000000</v>
      </c>
      <c r="CH9"/>
      <c r="CJ9" s="46" t="s">
        <v>38</v>
      </c>
      <c r="CK9" s="68">
        <v>2494000000</v>
      </c>
      <c r="CN9" s="37" t="s">
        <v>73</v>
      </c>
      <c r="CO9" s="54">
        <f t="shared" si="1"/>
        <v>806000000</v>
      </c>
      <c r="CZ9" s="25" t="s">
        <v>59</v>
      </c>
      <c r="DA9" s="23">
        <v>86</v>
      </c>
      <c r="DB9" s="23">
        <v>86</v>
      </c>
      <c r="DG9" s="25" t="s">
        <v>15</v>
      </c>
      <c r="DH9" s="43">
        <v>144000000</v>
      </c>
      <c r="DI9" s="43">
        <v>264000000</v>
      </c>
      <c r="DJ9" s="43">
        <v>24000000</v>
      </c>
      <c r="DK9" s="43">
        <v>82000000</v>
      </c>
      <c r="DL9" s="43">
        <v>24000000</v>
      </c>
      <c r="DO9" s="46" t="s">
        <v>66</v>
      </c>
      <c r="DP9" s="50">
        <v>2751000000</v>
      </c>
      <c r="DQ9"/>
      <c r="DS9" s="46" t="s">
        <v>62</v>
      </c>
      <c r="DT9" s="50">
        <v>247000000</v>
      </c>
      <c r="DU9" s="50">
        <v>60000000</v>
      </c>
      <c r="DV9" s="50"/>
      <c r="DW9" s="50">
        <v>525000000</v>
      </c>
    </row>
    <row r="10" spans="2:127" ht="15.6" x14ac:dyDescent="0.3">
      <c r="M10" s="46" t="s">
        <v>54</v>
      </c>
      <c r="N10" s="75">
        <v>1243000000</v>
      </c>
      <c r="O10"/>
      <c r="T10" s="25" t="s">
        <v>60</v>
      </c>
      <c r="U10" s="43">
        <v>512000000</v>
      </c>
      <c r="V10" s="23">
        <v>512000000</v>
      </c>
      <c r="AC10" s="33" t="s">
        <v>70</v>
      </c>
      <c r="AD10" s="39">
        <f>IFERROR(VLOOKUP(AC10,AC5:AD6,2,0),"-")</f>
        <v>311</v>
      </c>
      <c r="AE10" s="40">
        <f>AD10/GETPIVOTDATA("Fees Status",$AC$4)</f>
        <v>0.25141471301535973</v>
      </c>
      <c r="AH10" s="25" t="s">
        <v>60</v>
      </c>
      <c r="AI10" s="23">
        <v>96</v>
      </c>
      <c r="AL10" s="46" t="s">
        <v>25</v>
      </c>
      <c r="AM10" s="68">
        <v>104</v>
      </c>
      <c r="AP10"/>
      <c r="AQ10"/>
      <c r="AR10"/>
      <c r="AT10" s="46" t="s">
        <v>47</v>
      </c>
      <c r="AU10" s="50">
        <v>1309000000</v>
      </c>
      <c r="AX10" s="46" t="s">
        <v>47</v>
      </c>
      <c r="AY10" s="68">
        <v>211</v>
      </c>
      <c r="BB10" s="46" t="s">
        <v>35</v>
      </c>
      <c r="BC10" s="50">
        <v>1159000000</v>
      </c>
      <c r="BJ10" s="25" t="s">
        <v>60</v>
      </c>
      <c r="BK10" s="47">
        <v>2.9208002645502639E-3</v>
      </c>
      <c r="BM10" s="23" t="str">
        <f t="shared" si="7"/>
        <v>Jun</v>
      </c>
      <c r="BN10" s="47">
        <f t="shared" si="8"/>
        <v>2.9208002645502639E-3</v>
      </c>
      <c r="BO10" s="47" t="str">
        <f t="shared" si="9"/>
        <v/>
      </c>
      <c r="BP10" s="47" t="str">
        <f t="shared" si="10"/>
        <v/>
      </c>
      <c r="BT10"/>
      <c r="BU10"/>
      <c r="CF10" s="46" t="s">
        <v>67</v>
      </c>
      <c r="CG10" s="50">
        <v>1534000000</v>
      </c>
      <c r="CJ10" s="46" t="s">
        <v>73</v>
      </c>
      <c r="CK10" s="68">
        <v>806000000</v>
      </c>
      <c r="CZ10" s="25" t="s">
        <v>60</v>
      </c>
      <c r="DA10" s="23">
        <v>42</v>
      </c>
      <c r="DB10" s="23">
        <v>42</v>
      </c>
      <c r="DG10" s="25" t="s">
        <v>59</v>
      </c>
      <c r="DH10" s="43">
        <v>294000000</v>
      </c>
      <c r="DI10" s="43">
        <v>546000000</v>
      </c>
      <c r="DJ10" s="43">
        <v>68000000</v>
      </c>
      <c r="DK10" s="43">
        <v>226000000</v>
      </c>
      <c r="DL10" s="43">
        <v>24000000</v>
      </c>
      <c r="DO10" s="74" t="s">
        <v>46</v>
      </c>
      <c r="DP10" s="50">
        <v>703000000</v>
      </c>
      <c r="DQ10"/>
      <c r="DS10" s="46" t="s">
        <v>75</v>
      </c>
      <c r="DT10" s="50">
        <v>38000000</v>
      </c>
      <c r="DU10" s="50">
        <v>11000000</v>
      </c>
      <c r="DV10" s="50">
        <v>38000000</v>
      </c>
      <c r="DW10" s="50">
        <v>245000000</v>
      </c>
    </row>
    <row r="11" spans="2:127" ht="15.6" x14ac:dyDescent="0.3">
      <c r="M11" s="46" t="s">
        <v>36</v>
      </c>
      <c r="N11" s="75">
        <v>1177000000</v>
      </c>
      <c r="O11"/>
      <c r="T11" s="25" t="s">
        <v>72</v>
      </c>
      <c r="U11" s="43">
        <v>442000000</v>
      </c>
      <c r="V11" s="23">
        <v>442000000</v>
      </c>
      <c r="AC11" s="37" t="s">
        <v>14</v>
      </c>
      <c r="AD11" s="44">
        <f>IFERROR(VLOOKUP(AC11,AC5:AD6,2,0),"-")</f>
        <v>926</v>
      </c>
      <c r="AE11" s="41">
        <f>AD11/GETPIVOTDATA("Fees Status",$AC$4)</f>
        <v>0.74858528698464022</v>
      </c>
      <c r="AH11" s="25" t="s">
        <v>72</v>
      </c>
      <c r="AI11" s="23">
        <v>60</v>
      </c>
      <c r="AL11" s="46" t="s">
        <v>48</v>
      </c>
      <c r="AM11" s="68">
        <v>178</v>
      </c>
      <c r="AP11"/>
      <c r="AQ11"/>
      <c r="AT11" s="46" t="s">
        <v>56</v>
      </c>
      <c r="AU11" s="50">
        <v>2324000000</v>
      </c>
      <c r="AX11" s="46" t="s">
        <v>56</v>
      </c>
      <c r="AY11" s="68">
        <v>376</v>
      </c>
      <c r="BB11" s="46" t="s">
        <v>24</v>
      </c>
      <c r="BC11" s="50">
        <v>1043000000</v>
      </c>
      <c r="BJ11" s="25" t="s">
        <v>72</v>
      </c>
      <c r="BK11" s="47">
        <v>2.9407051282051289E-3</v>
      </c>
      <c r="BM11" s="23" t="str">
        <f t="shared" si="7"/>
        <v>Jul</v>
      </c>
      <c r="BN11" s="47">
        <f t="shared" si="8"/>
        <v>2.9407051282051289E-3</v>
      </c>
      <c r="BO11" s="47" t="str">
        <f t="shared" si="9"/>
        <v/>
      </c>
      <c r="BP11" s="47" t="str">
        <f t="shared" si="10"/>
        <v/>
      </c>
      <c r="BT11"/>
      <c r="BU11"/>
      <c r="CF11" s="46" t="s">
        <v>65</v>
      </c>
      <c r="CG11" s="50">
        <v>995000000</v>
      </c>
      <c r="CJ11" s="67" t="s">
        <v>91</v>
      </c>
      <c r="CK11" s="72">
        <v>15990000000</v>
      </c>
      <c r="CZ11" s="25" t="s">
        <v>72</v>
      </c>
      <c r="DA11" s="23">
        <v>38</v>
      </c>
      <c r="DB11" s="23">
        <v>38</v>
      </c>
      <c r="DG11" s="25" t="s">
        <v>60</v>
      </c>
      <c r="DH11" s="43">
        <v>212000000</v>
      </c>
      <c r="DI11" s="43">
        <v>146000000</v>
      </c>
      <c r="DJ11" s="23">
        <v>24000000</v>
      </c>
      <c r="DK11" s="23">
        <v>130000000</v>
      </c>
      <c r="DL11" s="23">
        <v>0</v>
      </c>
      <c r="DO11" s="74" t="s">
        <v>61</v>
      </c>
      <c r="DP11" s="50">
        <v>284000000</v>
      </c>
      <c r="DQ11"/>
      <c r="DS11" s="46" t="s">
        <v>67</v>
      </c>
      <c r="DT11" s="50">
        <v>589000000</v>
      </c>
      <c r="DU11" s="50">
        <v>162000000</v>
      </c>
      <c r="DV11" s="50">
        <v>76000000</v>
      </c>
      <c r="DW11" s="50">
        <v>707000000</v>
      </c>
    </row>
    <row r="12" spans="2:127" ht="15.6" x14ac:dyDescent="0.3">
      <c r="M12" s="46" t="s">
        <v>41</v>
      </c>
      <c r="N12" s="75">
        <v>1066000000</v>
      </c>
      <c r="O12"/>
      <c r="T12" s="25" t="s">
        <v>22</v>
      </c>
      <c r="U12" s="43">
        <v>1152000000</v>
      </c>
      <c r="V12" s="23">
        <v>1152000000</v>
      </c>
      <c r="AC12"/>
      <c r="AD12"/>
      <c r="AE12"/>
      <c r="AH12" s="25" t="s">
        <v>22</v>
      </c>
      <c r="AI12" s="23">
        <v>189</v>
      </c>
      <c r="AL12" s="46" t="s">
        <v>51</v>
      </c>
      <c r="AM12" s="68">
        <v>176</v>
      </c>
      <c r="AP12"/>
      <c r="AQ12"/>
      <c r="AT12" s="46" t="s">
        <v>64</v>
      </c>
      <c r="AU12" s="50">
        <v>1032000000</v>
      </c>
      <c r="AX12" s="46" t="s">
        <v>64</v>
      </c>
      <c r="AY12" s="68">
        <v>185</v>
      </c>
      <c r="BB12" s="46" t="s">
        <v>64</v>
      </c>
      <c r="BC12" s="50">
        <v>1032000000</v>
      </c>
      <c r="BJ12" s="25" t="s">
        <v>22</v>
      </c>
      <c r="BK12" s="47">
        <v>3.0726650563607082E-3</v>
      </c>
      <c r="BM12" s="23" t="str">
        <f t="shared" si="7"/>
        <v>Aug</v>
      </c>
      <c r="BN12" s="47">
        <f t="shared" si="8"/>
        <v>3.0726650563607082E-3</v>
      </c>
      <c r="BO12" s="47" t="str">
        <f t="shared" si="9"/>
        <v/>
      </c>
      <c r="BP12" s="47" t="str">
        <f t="shared" si="10"/>
        <v/>
      </c>
      <c r="BT12"/>
      <c r="BU12"/>
      <c r="CF12" s="46" t="s">
        <v>63</v>
      </c>
      <c r="CG12" s="50">
        <v>1029000000</v>
      </c>
      <c r="CJ12"/>
      <c r="CK12"/>
      <c r="CQ12" s="61" t="s">
        <v>107</v>
      </c>
      <c r="CZ12" s="25" t="s">
        <v>22</v>
      </c>
      <c r="DA12" s="23">
        <v>79</v>
      </c>
      <c r="DB12" s="23">
        <v>79</v>
      </c>
      <c r="DG12" s="25" t="s">
        <v>72</v>
      </c>
      <c r="DH12" s="43">
        <v>180000000</v>
      </c>
      <c r="DI12" s="43">
        <v>262000000</v>
      </c>
      <c r="DK12" s="23">
        <v>0</v>
      </c>
      <c r="DO12" s="74" t="s">
        <v>74</v>
      </c>
      <c r="DP12" s="50">
        <v>95000000</v>
      </c>
      <c r="DQ12"/>
      <c r="DS12" s="46" t="s">
        <v>65</v>
      </c>
      <c r="DT12" s="50">
        <v>171000000</v>
      </c>
      <c r="DU12" s="50">
        <v>20000000</v>
      </c>
      <c r="DV12" s="50"/>
      <c r="DW12" s="50">
        <v>804000000</v>
      </c>
    </row>
    <row r="13" spans="2:127" ht="15.6" x14ac:dyDescent="0.3">
      <c r="M13" s="46" t="s">
        <v>63</v>
      </c>
      <c r="N13" s="75">
        <v>1029000000</v>
      </c>
      <c r="O13"/>
      <c r="T13" s="25" t="s">
        <v>27</v>
      </c>
      <c r="U13" s="43">
        <v>2178000000</v>
      </c>
      <c r="V13" s="23">
        <v>2178000000</v>
      </c>
      <c r="AC13"/>
      <c r="AD13"/>
      <c r="AE13"/>
      <c r="AH13" s="25" t="s">
        <v>27</v>
      </c>
      <c r="AI13" s="23">
        <v>387</v>
      </c>
      <c r="AL13" s="67" t="s">
        <v>91</v>
      </c>
      <c r="AM13" s="67">
        <v>1237</v>
      </c>
      <c r="AP13"/>
      <c r="AQ13"/>
      <c r="AT13" s="46" t="s">
        <v>24</v>
      </c>
      <c r="AU13" s="50">
        <v>1043000000</v>
      </c>
      <c r="AX13" s="46" t="s">
        <v>24</v>
      </c>
      <c r="AY13" s="68">
        <v>184</v>
      </c>
      <c r="BB13" s="46" t="s">
        <v>50</v>
      </c>
      <c r="BC13" s="50">
        <v>574000000</v>
      </c>
      <c r="BJ13" s="25" t="s">
        <v>27</v>
      </c>
      <c r="BK13" s="47">
        <v>3.1521213377556649E-3</v>
      </c>
      <c r="BM13" s="23" t="str">
        <f t="shared" si="7"/>
        <v>Sep</v>
      </c>
      <c r="BN13" s="47">
        <f t="shared" si="8"/>
        <v>3.1521213377556649E-3</v>
      </c>
      <c r="BO13" s="47" t="str">
        <f t="shared" si="9"/>
        <v/>
      </c>
      <c r="BP13" s="47" t="str">
        <f t="shared" si="10"/>
        <v/>
      </c>
      <c r="BT13"/>
      <c r="BU13"/>
      <c r="CF13" s="46" t="s">
        <v>21</v>
      </c>
      <c r="CG13" s="50">
        <v>329000000</v>
      </c>
      <c r="CJ13"/>
      <c r="CK13"/>
      <c r="CQ13" s="62">
        <f>IFERROR(GETPIVOTDATA("Paid Fees",$CJ$4),"")</f>
        <v>15990000000</v>
      </c>
      <c r="CZ13" s="25" t="s">
        <v>27</v>
      </c>
      <c r="DA13" s="23">
        <v>173</v>
      </c>
      <c r="DB13" s="23">
        <v>173</v>
      </c>
      <c r="DG13" s="25" t="s">
        <v>22</v>
      </c>
      <c r="DH13" s="43">
        <v>372000000</v>
      </c>
      <c r="DI13" s="43">
        <v>443000000</v>
      </c>
      <c r="DJ13" s="23">
        <v>38000000</v>
      </c>
      <c r="DK13" s="23">
        <v>225000000</v>
      </c>
      <c r="DL13" s="23">
        <v>74000000</v>
      </c>
      <c r="DO13" s="74" t="s">
        <v>18</v>
      </c>
      <c r="DP13" s="50">
        <v>1669000000</v>
      </c>
      <c r="DQ13"/>
      <c r="DS13" s="46" t="s">
        <v>63</v>
      </c>
      <c r="DT13" s="50">
        <v>171000000</v>
      </c>
      <c r="DU13" s="50">
        <v>113000000</v>
      </c>
      <c r="DV13" s="50">
        <v>38000000</v>
      </c>
      <c r="DW13" s="50">
        <v>707000000</v>
      </c>
    </row>
    <row r="14" spans="2:127" ht="15.6" x14ac:dyDescent="0.3">
      <c r="M14" s="46" t="s">
        <v>65</v>
      </c>
      <c r="N14" s="75">
        <v>995000000</v>
      </c>
      <c r="O14"/>
      <c r="T14" s="25" t="s">
        <v>37</v>
      </c>
      <c r="U14" s="43">
        <v>3809000000</v>
      </c>
      <c r="V14" s="23">
        <v>3809000000</v>
      </c>
      <c r="AC14"/>
      <c r="AD14"/>
      <c r="AE14"/>
      <c r="AH14" s="25" t="s">
        <v>37</v>
      </c>
      <c r="AI14" s="23">
        <v>617</v>
      </c>
      <c r="AL14"/>
      <c r="AM14"/>
      <c r="AP14"/>
      <c r="AQ14"/>
      <c r="AT14" s="67" t="s">
        <v>91</v>
      </c>
      <c r="AU14" s="72">
        <v>15990000000</v>
      </c>
      <c r="AX14" s="67" t="s">
        <v>91</v>
      </c>
      <c r="AY14" s="67">
        <v>2643</v>
      </c>
      <c r="BB14" s="67" t="s">
        <v>91</v>
      </c>
      <c r="BC14" s="72">
        <v>15990000000</v>
      </c>
      <c r="BJ14" s="25" t="s">
        <v>37</v>
      </c>
      <c r="BK14" s="47">
        <v>3.276282366437237E-3</v>
      </c>
      <c r="BM14" s="23" t="str">
        <f t="shared" si="7"/>
        <v>Oct</v>
      </c>
      <c r="BN14" s="47">
        <f t="shared" si="8"/>
        <v>3.276282366437237E-3</v>
      </c>
      <c r="BO14" s="47" t="str">
        <f t="shared" si="9"/>
        <v/>
      </c>
      <c r="BP14" s="47" t="str">
        <f t="shared" si="10"/>
        <v/>
      </c>
      <c r="BT14"/>
      <c r="BU14"/>
      <c r="CF14" s="46" t="s">
        <v>71</v>
      </c>
      <c r="CG14" s="50">
        <v>411000000</v>
      </c>
      <c r="CJ14"/>
      <c r="CK14"/>
      <c r="CZ14" s="25" t="s">
        <v>37</v>
      </c>
      <c r="DA14" s="23">
        <v>278</v>
      </c>
      <c r="DB14" s="23">
        <v>278</v>
      </c>
      <c r="DG14" s="25" t="s">
        <v>27</v>
      </c>
      <c r="DH14" s="43">
        <v>652000000</v>
      </c>
      <c r="DI14" s="43">
        <v>858000000</v>
      </c>
      <c r="DJ14" s="23">
        <v>142000000</v>
      </c>
      <c r="DK14" s="23">
        <v>413000000</v>
      </c>
      <c r="DL14" s="23">
        <v>113000000</v>
      </c>
      <c r="DO14" s="46" t="s">
        <v>76</v>
      </c>
      <c r="DP14" s="50">
        <v>5372000000</v>
      </c>
      <c r="DQ14"/>
      <c r="DS14" s="46" t="s">
        <v>21</v>
      </c>
      <c r="DT14" s="50">
        <v>95000000</v>
      </c>
      <c r="DU14" s="50">
        <v>22000000</v>
      </c>
      <c r="DV14" s="50"/>
      <c r="DW14" s="50">
        <v>212000000</v>
      </c>
    </row>
    <row r="15" spans="2:127" ht="15.6" x14ac:dyDescent="0.3">
      <c r="M15" s="46" t="s">
        <v>62</v>
      </c>
      <c r="N15" s="75">
        <v>832000000</v>
      </c>
      <c r="O15"/>
      <c r="T15" s="25" t="s">
        <v>44</v>
      </c>
      <c r="U15" s="43">
        <v>2814000000</v>
      </c>
      <c r="V15" s="23">
        <v>2814000000</v>
      </c>
      <c r="AC15"/>
      <c r="AD15"/>
      <c r="AE15"/>
      <c r="AH15" s="25" t="s">
        <v>44</v>
      </c>
      <c r="AI15" s="23">
        <v>468</v>
      </c>
      <c r="AL15"/>
      <c r="AM15"/>
      <c r="AP15"/>
      <c r="AQ15"/>
      <c r="AT15"/>
      <c r="AU15"/>
      <c r="AX15"/>
      <c r="AY15"/>
      <c r="BB15"/>
      <c r="BC15"/>
      <c r="BJ15" s="25" t="s">
        <v>44</v>
      </c>
      <c r="BK15" s="47">
        <v>3.120971050164087E-3</v>
      </c>
      <c r="BM15" s="23" t="str">
        <f t="shared" si="7"/>
        <v>Nov</v>
      </c>
      <c r="BN15" s="47">
        <f t="shared" si="8"/>
        <v>3.120971050164087E-3</v>
      </c>
      <c r="BO15" s="47" t="str">
        <f t="shared" si="9"/>
        <v/>
      </c>
      <c r="BP15" s="47" t="str">
        <f t="shared" si="10"/>
        <v/>
      </c>
      <c r="BT15"/>
      <c r="BU15"/>
      <c r="CF15" s="46" t="s">
        <v>36</v>
      </c>
      <c r="CG15" s="50">
        <v>1177000000</v>
      </c>
      <c r="CJ15"/>
      <c r="CK15"/>
      <c r="CZ15" s="25" t="s">
        <v>44</v>
      </c>
      <c r="DA15" s="23">
        <v>212</v>
      </c>
      <c r="DB15" s="23">
        <v>212</v>
      </c>
      <c r="DG15" s="25" t="s">
        <v>37</v>
      </c>
      <c r="DH15" s="43">
        <v>1179000000</v>
      </c>
      <c r="DI15" s="43">
        <v>1448000000</v>
      </c>
      <c r="DJ15" s="23">
        <v>242000000</v>
      </c>
      <c r="DK15" s="23">
        <v>752000000</v>
      </c>
      <c r="DL15" s="23">
        <v>188000000</v>
      </c>
      <c r="DO15" s="74" t="s">
        <v>46</v>
      </c>
      <c r="DP15" s="50">
        <v>1254000000</v>
      </c>
      <c r="DQ15"/>
      <c r="DS15" s="46" t="s">
        <v>71</v>
      </c>
      <c r="DT15" s="50">
        <v>171000000</v>
      </c>
      <c r="DU15" s="50">
        <v>100000000</v>
      </c>
      <c r="DV15" s="50"/>
      <c r="DW15" s="50">
        <v>140000000</v>
      </c>
    </row>
    <row r="16" spans="2:127" ht="15.6" x14ac:dyDescent="0.3">
      <c r="M16" s="46" t="s">
        <v>66</v>
      </c>
      <c r="N16" s="75">
        <v>650000000</v>
      </c>
      <c r="O16"/>
      <c r="T16" s="25" t="s">
        <v>69</v>
      </c>
      <c r="U16" s="43">
        <v>1247000000</v>
      </c>
      <c r="V16" s="23">
        <v>1247000000</v>
      </c>
      <c r="AC16"/>
      <c r="AD16"/>
      <c r="AE16"/>
      <c r="AH16" s="25" t="s">
        <v>69</v>
      </c>
      <c r="AI16" s="23">
        <v>206</v>
      </c>
      <c r="AL16"/>
      <c r="AM16"/>
      <c r="AP16"/>
      <c r="AQ16"/>
      <c r="AT16"/>
      <c r="AU16"/>
      <c r="AX16"/>
      <c r="AY16"/>
      <c r="BB16"/>
      <c r="BC16"/>
      <c r="BJ16" s="25" t="s">
        <v>69</v>
      </c>
      <c r="BK16" s="47">
        <v>3.2518257694314021E-3</v>
      </c>
      <c r="BM16" s="23" t="str">
        <f t="shared" si="7"/>
        <v>Dec</v>
      </c>
      <c r="BN16" s="47">
        <f t="shared" si="8"/>
        <v>3.2518257694314021E-3</v>
      </c>
      <c r="BO16" s="47" t="str">
        <f t="shared" si="9"/>
        <v/>
      </c>
      <c r="BP16" s="47" t="str">
        <f t="shared" si="10"/>
        <v/>
      </c>
      <c r="BT16"/>
      <c r="BU16"/>
      <c r="CF16" s="46" t="s">
        <v>26</v>
      </c>
      <c r="CG16" s="50">
        <v>1288000000</v>
      </c>
      <c r="CJ16"/>
      <c r="CK16"/>
      <c r="CZ16" s="25" t="s">
        <v>69</v>
      </c>
      <c r="DA16" s="23">
        <v>127</v>
      </c>
      <c r="DB16" s="23">
        <v>127</v>
      </c>
      <c r="DG16" s="25" t="s">
        <v>44</v>
      </c>
      <c r="DH16" s="43">
        <v>789000000</v>
      </c>
      <c r="DI16" s="43">
        <v>1078000000</v>
      </c>
      <c r="DJ16" s="23">
        <v>239000000</v>
      </c>
      <c r="DK16" s="23">
        <v>545000000</v>
      </c>
      <c r="DL16" s="23">
        <v>163000000</v>
      </c>
      <c r="DO16" s="74" t="s">
        <v>61</v>
      </c>
      <c r="DP16" s="50">
        <v>410000000</v>
      </c>
      <c r="DQ16"/>
      <c r="DS16" s="46" t="s">
        <v>36</v>
      </c>
      <c r="DT16" s="50">
        <v>114000000</v>
      </c>
      <c r="DU16" s="50">
        <v>122000000</v>
      </c>
      <c r="DV16" s="50">
        <v>19000000</v>
      </c>
      <c r="DW16" s="50">
        <v>922000000</v>
      </c>
    </row>
    <row r="17" spans="13:127" ht="15.6" x14ac:dyDescent="0.3">
      <c r="M17" s="46" t="s">
        <v>71</v>
      </c>
      <c r="N17" s="75">
        <v>411000000</v>
      </c>
      <c r="O17"/>
      <c r="T17"/>
      <c r="U17"/>
      <c r="AC17"/>
      <c r="AD17"/>
      <c r="AH17" s="22" t="s">
        <v>91</v>
      </c>
      <c r="AI17" s="22">
        <v>2643</v>
      </c>
      <c r="AL17"/>
      <c r="AM17"/>
      <c r="AP17"/>
      <c r="AQ17"/>
      <c r="AT17"/>
      <c r="AU17"/>
      <c r="AX17"/>
      <c r="AY17"/>
      <c r="BB17"/>
      <c r="BC17"/>
      <c r="BJ17" s="22" t="s">
        <v>91</v>
      </c>
      <c r="BK17" s="48">
        <v>3.136911547076245E-3</v>
      </c>
      <c r="BT17"/>
      <c r="BU17"/>
      <c r="CF17" s="46" t="s">
        <v>52</v>
      </c>
      <c r="CG17" s="50">
        <v>1727000000</v>
      </c>
      <c r="CJ17"/>
      <c r="CK17"/>
      <c r="CZ17" s="22" t="s">
        <v>91</v>
      </c>
      <c r="DA17" s="45">
        <v>1237</v>
      </c>
      <c r="DB17" s="22">
        <v>1237</v>
      </c>
      <c r="DG17" s="25" t="s">
        <v>69</v>
      </c>
      <c r="DH17" s="43">
        <v>445000000</v>
      </c>
      <c r="DI17" s="43">
        <v>444000000</v>
      </c>
      <c r="DJ17" s="23">
        <v>75000000</v>
      </c>
      <c r="DK17" s="23">
        <v>200000000</v>
      </c>
      <c r="DL17" s="23">
        <v>83000000</v>
      </c>
      <c r="DO17" s="74" t="s">
        <v>74</v>
      </c>
      <c r="DP17" s="50">
        <v>114000000</v>
      </c>
      <c r="DQ17"/>
      <c r="DS17" s="46" t="s">
        <v>26</v>
      </c>
      <c r="DT17" s="50">
        <v>247000000</v>
      </c>
      <c r="DU17" s="50">
        <v>97000000</v>
      </c>
      <c r="DV17" s="50"/>
      <c r="DW17" s="50">
        <v>944000000</v>
      </c>
    </row>
    <row r="18" spans="13:127" ht="15.6" x14ac:dyDescent="0.3">
      <c r="M18" s="46" t="s">
        <v>34</v>
      </c>
      <c r="N18" s="75">
        <v>379000000</v>
      </c>
      <c r="O18"/>
      <c r="T18"/>
      <c r="U18"/>
      <c r="AC18"/>
      <c r="AD18"/>
      <c r="AH18"/>
      <c r="AI18"/>
      <c r="AL18"/>
      <c r="AM18"/>
      <c r="AP18"/>
      <c r="AQ18"/>
      <c r="AT18"/>
      <c r="AU18"/>
      <c r="AX18"/>
      <c r="AY18"/>
      <c r="BB18"/>
      <c r="BC18"/>
      <c r="BJ18"/>
      <c r="BK18"/>
      <c r="BT18"/>
      <c r="BU18"/>
      <c r="CF18" s="46" t="s">
        <v>54</v>
      </c>
      <c r="CG18" s="50">
        <v>1243000000</v>
      </c>
      <c r="CJ18"/>
      <c r="CK18"/>
      <c r="CZ18"/>
      <c r="DA18"/>
      <c r="DG18" s="22" t="s">
        <v>91</v>
      </c>
      <c r="DH18" s="45">
        <v>4835000000</v>
      </c>
      <c r="DI18" s="45">
        <v>6485000000</v>
      </c>
      <c r="DJ18" s="45">
        <v>900000000</v>
      </c>
      <c r="DK18" s="45">
        <v>3011000000</v>
      </c>
      <c r="DL18" s="45">
        <v>759000000</v>
      </c>
      <c r="DO18" s="74" t="s">
        <v>18</v>
      </c>
      <c r="DP18" s="50">
        <v>3594000000</v>
      </c>
      <c r="DQ18"/>
      <c r="DS18" s="46" t="s">
        <v>52</v>
      </c>
      <c r="DT18" s="50">
        <v>247000000</v>
      </c>
      <c r="DU18" s="50">
        <v>142000000</v>
      </c>
      <c r="DV18" s="50">
        <v>76000000</v>
      </c>
      <c r="DW18" s="50">
        <v>1262000000</v>
      </c>
    </row>
    <row r="19" spans="13:127" ht="15.6" x14ac:dyDescent="0.3">
      <c r="M19" s="46" t="s">
        <v>75</v>
      </c>
      <c r="N19" s="75">
        <v>332000000</v>
      </c>
      <c r="O19"/>
      <c r="T19"/>
      <c r="U19"/>
      <c r="AC19"/>
      <c r="AD19"/>
      <c r="AH19"/>
      <c r="AI19"/>
      <c r="AL19"/>
      <c r="AM19"/>
      <c r="AP19"/>
      <c r="AQ19"/>
      <c r="AT19"/>
      <c r="AU19"/>
      <c r="AX19"/>
      <c r="AY19"/>
      <c r="BB19"/>
      <c r="BC19"/>
      <c r="BJ19"/>
      <c r="BK19"/>
      <c r="BT19"/>
      <c r="BU19"/>
      <c r="CF19" s="46" t="s">
        <v>31</v>
      </c>
      <c r="CG19" s="50">
        <v>1638000000</v>
      </c>
      <c r="CJ19"/>
      <c r="CK19"/>
      <c r="CZ19"/>
      <c r="DA19"/>
      <c r="DG19"/>
      <c r="DH19"/>
      <c r="DO19" s="46" t="s">
        <v>78</v>
      </c>
      <c r="DP19" s="50">
        <v>5288000000</v>
      </c>
      <c r="DS19" s="46" t="s">
        <v>54</v>
      </c>
      <c r="DT19" s="50">
        <v>228000000</v>
      </c>
      <c r="DU19" s="50">
        <v>115000000</v>
      </c>
      <c r="DV19" s="50"/>
      <c r="DW19" s="50">
        <v>900000000</v>
      </c>
    </row>
    <row r="20" spans="13:127" ht="15.6" x14ac:dyDescent="0.3">
      <c r="M20" s="46" t="s">
        <v>21</v>
      </c>
      <c r="N20" s="75">
        <v>329000000</v>
      </c>
      <c r="O20"/>
      <c r="T20"/>
      <c r="U20"/>
      <c r="AC20"/>
      <c r="AD20"/>
      <c r="AH20" s="67" t="s">
        <v>93</v>
      </c>
      <c r="AI20"/>
      <c r="AL20"/>
      <c r="AM20"/>
      <c r="AP20"/>
      <c r="AQ20"/>
      <c r="AT20"/>
      <c r="AU20"/>
      <c r="AX20"/>
      <c r="AY20"/>
      <c r="BB20"/>
      <c r="BC20"/>
      <c r="BJ20"/>
      <c r="BK20"/>
      <c r="BT20"/>
      <c r="BU20"/>
      <c r="CF20" s="46" t="s">
        <v>41</v>
      </c>
      <c r="CG20" s="50">
        <v>1066000000</v>
      </c>
      <c r="CJ20"/>
      <c r="CK20"/>
      <c r="CZ20"/>
      <c r="DA20"/>
      <c r="DG20"/>
      <c r="DH20"/>
      <c r="DO20" s="74" t="s">
        <v>46</v>
      </c>
      <c r="DP20" s="50">
        <v>1425000000</v>
      </c>
      <c r="DS20" s="46" t="s">
        <v>31</v>
      </c>
      <c r="DT20" s="50">
        <v>551000000</v>
      </c>
      <c r="DU20" s="50">
        <v>60000000</v>
      </c>
      <c r="DV20" s="50"/>
      <c r="DW20" s="50">
        <v>1027000000</v>
      </c>
    </row>
    <row r="21" spans="13:127" ht="15.6" x14ac:dyDescent="0.3">
      <c r="M21"/>
      <c r="N21"/>
      <c r="O21"/>
      <c r="T21"/>
      <c r="U21"/>
      <c r="AC21"/>
      <c r="AD21"/>
      <c r="AH21" s="70">
        <v>2.1366208569118834</v>
      </c>
      <c r="AI21"/>
      <c r="AL21"/>
      <c r="AM21"/>
      <c r="AP21"/>
      <c r="AQ21"/>
      <c r="AT21"/>
      <c r="AU21"/>
      <c r="AX21"/>
      <c r="AY21"/>
      <c r="BB21"/>
      <c r="BC21"/>
      <c r="BJ21"/>
      <c r="BK21"/>
      <c r="BT21"/>
      <c r="BU21"/>
      <c r="CF21" s="67" t="s">
        <v>91</v>
      </c>
      <c r="CG21" s="72">
        <v>15990000000</v>
      </c>
      <c r="CJ21"/>
      <c r="CK21"/>
      <c r="CZ21"/>
      <c r="DA21"/>
      <c r="DG21"/>
      <c r="DH21"/>
      <c r="DO21" s="74" t="s">
        <v>61</v>
      </c>
      <c r="DP21" s="50">
        <v>417000000</v>
      </c>
      <c r="DQ21"/>
      <c r="DS21" s="46" t="s">
        <v>41</v>
      </c>
      <c r="DT21" s="50">
        <v>285000000</v>
      </c>
      <c r="DU21" s="50">
        <v>40000000</v>
      </c>
      <c r="DV21" s="50"/>
      <c r="DW21" s="50">
        <v>741000000</v>
      </c>
    </row>
    <row r="22" spans="13:127" ht="15.6" x14ac:dyDescent="0.3">
      <c r="AH22"/>
      <c r="AI22"/>
      <c r="AL22"/>
      <c r="AM22"/>
      <c r="AP22"/>
      <c r="AQ22"/>
      <c r="AT22"/>
      <c r="AU22"/>
      <c r="AX22"/>
      <c r="AY22"/>
      <c r="BB22"/>
      <c r="BC22"/>
      <c r="BJ22"/>
      <c r="BK22"/>
      <c r="BT22"/>
      <c r="BU22"/>
      <c r="CF22"/>
      <c r="CG22"/>
      <c r="CJ22"/>
      <c r="CK22"/>
      <c r="CZ22"/>
      <c r="DA22"/>
      <c r="DG22" s="67" t="s">
        <v>80</v>
      </c>
      <c r="DH22"/>
      <c r="DI22"/>
      <c r="DJ22"/>
      <c r="DK22"/>
      <c r="DL22"/>
      <c r="DO22" s="74" t="s">
        <v>74</v>
      </c>
      <c r="DP22" s="50">
        <v>38000000</v>
      </c>
      <c r="DQ22"/>
      <c r="DS22" s="67" t="s">
        <v>91</v>
      </c>
      <c r="DT22" s="72">
        <v>3895000000</v>
      </c>
      <c r="DU22" s="72">
        <v>1257000000</v>
      </c>
      <c r="DV22" s="72">
        <v>247000000</v>
      </c>
      <c r="DW22" s="72">
        <v>10591000000</v>
      </c>
    </row>
    <row r="23" spans="13:127" ht="15.6" x14ac:dyDescent="0.3">
      <c r="AH23" s="67" t="s">
        <v>92</v>
      </c>
      <c r="AI23"/>
      <c r="AL23"/>
      <c r="AM23"/>
      <c r="AP23"/>
      <c r="AQ23"/>
      <c r="AT23"/>
      <c r="AU23"/>
      <c r="AX23"/>
      <c r="AY23"/>
      <c r="BB23"/>
      <c r="BC23"/>
      <c r="BJ23"/>
      <c r="BK23"/>
      <c r="BT23"/>
      <c r="BU23"/>
      <c r="CF23"/>
      <c r="CG23"/>
      <c r="CJ23"/>
      <c r="CK23"/>
      <c r="CZ23"/>
      <c r="DA23"/>
      <c r="DG23" s="73" t="s">
        <v>23</v>
      </c>
      <c r="DH23"/>
      <c r="DI23" s="65" t="s">
        <v>114</v>
      </c>
      <c r="DJ23"/>
      <c r="DK23"/>
      <c r="DL23"/>
      <c r="DO23" s="74" t="s">
        <v>18</v>
      </c>
      <c r="DP23" s="50">
        <v>3408000000</v>
      </c>
      <c r="DQ23"/>
      <c r="DS23"/>
      <c r="DT23"/>
    </row>
    <row r="24" spans="13:127" ht="15.6" x14ac:dyDescent="0.3">
      <c r="AH24" s="71">
        <v>2643</v>
      </c>
      <c r="AI24"/>
      <c r="AL24"/>
      <c r="AM24"/>
      <c r="AP24"/>
      <c r="AQ24"/>
      <c r="AT24"/>
      <c r="AU24"/>
      <c r="AX24"/>
      <c r="AY24"/>
      <c r="BB24"/>
      <c r="BC24"/>
      <c r="BJ24"/>
      <c r="BK24"/>
      <c r="BT24"/>
      <c r="BU24"/>
      <c r="CF24"/>
      <c r="CG24"/>
      <c r="CJ24"/>
      <c r="CK24"/>
      <c r="CZ24"/>
      <c r="DA24"/>
      <c r="DG24" s="73" t="s">
        <v>42</v>
      </c>
      <c r="DH24"/>
      <c r="DI24" s="66">
        <f>IFERROR(COUNTA(DG23:DG38),"-")</f>
        <v>5</v>
      </c>
      <c r="DJ24"/>
      <c r="DK24"/>
      <c r="DL24"/>
      <c r="DO24" s="67" t="s">
        <v>91</v>
      </c>
      <c r="DP24" s="72">
        <v>15990000000</v>
      </c>
      <c r="DQ24"/>
      <c r="DS24"/>
      <c r="DT24"/>
    </row>
    <row r="25" spans="13:127" ht="15.6" x14ac:dyDescent="0.3">
      <c r="AH25"/>
      <c r="AI25"/>
      <c r="AL25"/>
      <c r="AM25"/>
      <c r="AP25"/>
      <c r="AQ25"/>
      <c r="AT25"/>
      <c r="AU25"/>
      <c r="AX25"/>
      <c r="AY25"/>
      <c r="BB25"/>
      <c r="BC25"/>
      <c r="BJ25"/>
      <c r="BK25"/>
      <c r="BT25"/>
      <c r="BU25"/>
      <c r="CF25" s="51" t="s">
        <v>80</v>
      </c>
      <c r="CG25" s="51" t="s">
        <v>79</v>
      </c>
      <c r="CJ25"/>
      <c r="CK25"/>
      <c r="CZ25"/>
      <c r="DA25"/>
      <c r="DG25" s="73" t="s">
        <v>45</v>
      </c>
      <c r="DH25"/>
      <c r="DI25"/>
      <c r="DJ25"/>
      <c r="DK25"/>
      <c r="DL25"/>
      <c r="DO25"/>
      <c r="DP25"/>
      <c r="DQ25"/>
      <c r="DS25"/>
      <c r="DT25"/>
    </row>
    <row r="26" spans="13:127" ht="15.6" x14ac:dyDescent="0.3">
      <c r="AH26"/>
      <c r="AI26"/>
      <c r="AL26"/>
      <c r="AM26"/>
      <c r="AP26"/>
      <c r="AQ26"/>
      <c r="AT26"/>
      <c r="AU26"/>
      <c r="AX26"/>
      <c r="AY26"/>
      <c r="BB26"/>
      <c r="BC26"/>
      <c r="BJ26"/>
      <c r="BK26"/>
      <c r="BT26"/>
      <c r="BU26"/>
      <c r="CF26" s="46" t="s">
        <v>52</v>
      </c>
      <c r="CG26" s="50">
        <v>1727000000</v>
      </c>
      <c r="CJ26"/>
      <c r="CK26"/>
      <c r="CZ26"/>
      <c r="DA26"/>
      <c r="DG26" s="73" t="s">
        <v>17</v>
      </c>
      <c r="DH26"/>
      <c r="DI26"/>
      <c r="DJ26"/>
      <c r="DK26"/>
      <c r="DL26"/>
      <c r="DO26"/>
      <c r="DP26"/>
      <c r="DQ26"/>
      <c r="DS26"/>
      <c r="DT26"/>
    </row>
    <row r="27" spans="13:127" ht="15.6" x14ac:dyDescent="0.3">
      <c r="AH27"/>
      <c r="AI27"/>
      <c r="AL27"/>
      <c r="AM27"/>
      <c r="AP27"/>
      <c r="AQ27"/>
      <c r="AT27"/>
      <c r="AU27"/>
      <c r="AX27"/>
      <c r="AY27"/>
      <c r="BB27"/>
      <c r="BC27"/>
      <c r="BJ27"/>
      <c r="BK27"/>
      <c r="BT27"/>
      <c r="BU27"/>
      <c r="CF27" s="46" t="s">
        <v>31</v>
      </c>
      <c r="CG27" s="50">
        <v>1638000000</v>
      </c>
      <c r="CJ27"/>
      <c r="CK27"/>
      <c r="CZ27"/>
      <c r="DA27"/>
      <c r="DG27" s="73" t="s">
        <v>68</v>
      </c>
      <c r="DH27"/>
      <c r="DI27"/>
      <c r="DJ27"/>
      <c r="DK27"/>
      <c r="DL27"/>
      <c r="DO27"/>
      <c r="DP27"/>
      <c r="DQ27"/>
      <c r="DS27"/>
      <c r="DT27"/>
    </row>
    <row r="28" spans="13:127" ht="15.6" x14ac:dyDescent="0.3">
      <c r="AH28"/>
      <c r="AI28"/>
      <c r="AL28"/>
      <c r="AM28"/>
      <c r="AP28"/>
      <c r="AQ28"/>
      <c r="AT28"/>
      <c r="AU28"/>
      <c r="AX28"/>
      <c r="AY28"/>
      <c r="BB28"/>
      <c r="BC28"/>
      <c r="BJ28"/>
      <c r="BK28"/>
      <c r="BT28"/>
      <c r="BU28"/>
      <c r="CF28" s="46" t="s">
        <v>67</v>
      </c>
      <c r="CG28" s="50">
        <v>1534000000</v>
      </c>
      <c r="CJ28"/>
      <c r="CK28"/>
      <c r="CZ28"/>
      <c r="DA28"/>
      <c r="DG28"/>
      <c r="DH28"/>
      <c r="DI28"/>
      <c r="DJ28"/>
      <c r="DK28"/>
      <c r="DL28"/>
      <c r="DO28"/>
      <c r="DP28"/>
      <c r="DQ28"/>
      <c r="DS28"/>
      <c r="DT28"/>
    </row>
    <row r="29" spans="13:127" ht="15.6" x14ac:dyDescent="0.3">
      <c r="AH29"/>
      <c r="AI29"/>
      <c r="AL29"/>
      <c r="AM29"/>
      <c r="AP29"/>
      <c r="AQ29"/>
      <c r="AT29"/>
      <c r="AU29"/>
      <c r="AX29"/>
      <c r="AY29"/>
      <c r="BB29"/>
      <c r="BC29"/>
      <c r="BJ29"/>
      <c r="BK29"/>
      <c r="BT29"/>
      <c r="BU29"/>
      <c r="CF29" s="46" t="s">
        <v>53</v>
      </c>
      <c r="CG29" s="50">
        <v>1360000000</v>
      </c>
      <c r="CJ29"/>
      <c r="CK29"/>
      <c r="CZ29"/>
      <c r="DA29"/>
      <c r="DG29"/>
      <c r="DH29"/>
      <c r="DI29"/>
      <c r="DJ29"/>
      <c r="DK29"/>
      <c r="DL29"/>
      <c r="DO29"/>
      <c r="DP29"/>
      <c r="DQ29"/>
      <c r="DS29"/>
      <c r="DT29"/>
    </row>
    <row r="30" spans="13:127" ht="15.6" x14ac:dyDescent="0.3">
      <c r="AH30"/>
      <c r="AI30"/>
      <c r="AL30"/>
      <c r="AM30"/>
      <c r="AP30"/>
      <c r="AQ30"/>
      <c r="AT30"/>
      <c r="AU30"/>
      <c r="AX30"/>
      <c r="AY30"/>
      <c r="BB30"/>
      <c r="BC30"/>
      <c r="BJ30"/>
      <c r="BK30"/>
      <c r="BT30"/>
      <c r="BU30"/>
      <c r="CF30" s="46" t="s">
        <v>26</v>
      </c>
      <c r="CG30" s="50">
        <v>1288000000</v>
      </c>
      <c r="CJ30"/>
      <c r="CK30"/>
      <c r="CZ30"/>
      <c r="DA30"/>
      <c r="DG30"/>
      <c r="DH30"/>
      <c r="DI30"/>
      <c r="DJ30"/>
      <c r="DK30"/>
      <c r="DL30"/>
      <c r="DO30"/>
      <c r="DP30"/>
      <c r="DQ30"/>
      <c r="DS30"/>
      <c r="DT30"/>
    </row>
    <row r="31" spans="13:127" ht="15.6" x14ac:dyDescent="0.3">
      <c r="AH31"/>
      <c r="AI31"/>
      <c r="AL31"/>
      <c r="AM31"/>
      <c r="AP31"/>
      <c r="AQ31"/>
      <c r="AT31"/>
      <c r="AU31"/>
      <c r="AX31"/>
      <c r="AY31"/>
      <c r="BB31"/>
      <c r="BC31"/>
      <c r="BJ31"/>
      <c r="BK31"/>
      <c r="BT31"/>
      <c r="BU31"/>
      <c r="CF31" s="46" t="s">
        <v>54</v>
      </c>
      <c r="CG31" s="50">
        <v>1243000000</v>
      </c>
      <c r="CJ31"/>
      <c r="CK31"/>
      <c r="CZ31"/>
      <c r="DA31"/>
      <c r="DG31"/>
      <c r="DH31"/>
      <c r="DI31"/>
      <c r="DJ31"/>
      <c r="DK31"/>
      <c r="DL31"/>
      <c r="DO31"/>
      <c r="DP31"/>
      <c r="DQ31"/>
      <c r="DS31"/>
      <c r="DT31"/>
    </row>
    <row r="32" spans="13:127" ht="15.6" x14ac:dyDescent="0.3">
      <c r="AH32"/>
      <c r="AI32"/>
      <c r="AL32"/>
      <c r="AM32"/>
      <c r="AP32"/>
      <c r="AQ32"/>
      <c r="AT32"/>
      <c r="AU32"/>
      <c r="AX32"/>
      <c r="AY32"/>
      <c r="BB32"/>
      <c r="BC32"/>
      <c r="BJ32"/>
      <c r="BK32"/>
      <c r="BT32"/>
      <c r="BU32"/>
      <c r="CF32" s="46" t="s">
        <v>36</v>
      </c>
      <c r="CG32" s="50">
        <v>1177000000</v>
      </c>
      <c r="CJ32"/>
      <c r="CK32"/>
      <c r="CZ32"/>
      <c r="DA32"/>
      <c r="DG32"/>
      <c r="DH32"/>
      <c r="DI32"/>
      <c r="DJ32"/>
      <c r="DK32"/>
      <c r="DL32"/>
      <c r="DO32"/>
      <c r="DP32"/>
      <c r="DQ32"/>
      <c r="DS32"/>
      <c r="DT32"/>
    </row>
    <row r="33" spans="34:124" ht="15.6" x14ac:dyDescent="0.3">
      <c r="AH33"/>
      <c r="AI33"/>
      <c r="AL33"/>
      <c r="AM33"/>
      <c r="AP33"/>
      <c r="AQ33"/>
      <c r="AT33"/>
      <c r="AU33"/>
      <c r="AX33"/>
      <c r="AY33"/>
      <c r="BB33"/>
      <c r="BC33"/>
      <c r="BJ33"/>
      <c r="BK33"/>
      <c r="BT33"/>
      <c r="BU33"/>
      <c r="CF33" s="46" t="s">
        <v>41</v>
      </c>
      <c r="CG33" s="50">
        <v>1066000000</v>
      </c>
      <c r="CJ33"/>
      <c r="CK33"/>
      <c r="CZ33"/>
      <c r="DA33"/>
      <c r="DG33"/>
      <c r="DH33"/>
      <c r="DI33"/>
      <c r="DJ33"/>
      <c r="DK33"/>
      <c r="DL33"/>
      <c r="DO33"/>
      <c r="DP33"/>
      <c r="DQ33"/>
      <c r="DS33"/>
      <c r="DT33"/>
    </row>
    <row r="34" spans="34:124" ht="15.6" x14ac:dyDescent="0.3">
      <c r="AP34"/>
      <c r="AQ34"/>
      <c r="AT34"/>
      <c r="AU34"/>
      <c r="AX34"/>
      <c r="AY34"/>
      <c r="BB34"/>
      <c r="BC34"/>
      <c r="BJ34"/>
      <c r="BK34"/>
      <c r="BT34"/>
      <c r="BU34"/>
      <c r="CF34" s="46" t="s">
        <v>63</v>
      </c>
      <c r="CG34" s="50">
        <v>1029000000</v>
      </c>
      <c r="CJ34"/>
      <c r="CK34"/>
      <c r="CZ34"/>
      <c r="DA34"/>
      <c r="DG34"/>
      <c r="DH34"/>
      <c r="DI34"/>
      <c r="DJ34"/>
      <c r="DK34"/>
      <c r="DL34"/>
      <c r="DO34"/>
      <c r="DP34"/>
      <c r="DQ34"/>
      <c r="DS34"/>
      <c r="DT34"/>
    </row>
    <row r="35" spans="34:124" ht="15.6" x14ac:dyDescent="0.3">
      <c r="AP35"/>
      <c r="AQ35"/>
      <c r="AT35"/>
      <c r="AU35"/>
      <c r="AX35"/>
      <c r="AY35"/>
      <c r="BB35"/>
      <c r="BC35"/>
      <c r="BJ35"/>
      <c r="BK35"/>
      <c r="BT35"/>
      <c r="BU35"/>
      <c r="CF35" s="46" t="s">
        <v>65</v>
      </c>
      <c r="CG35" s="50">
        <v>995000000</v>
      </c>
      <c r="CJ35"/>
      <c r="CK35"/>
      <c r="CZ35"/>
      <c r="DA35"/>
      <c r="DG35"/>
      <c r="DH35"/>
      <c r="DI35"/>
      <c r="DJ35"/>
      <c r="DK35"/>
      <c r="DL35"/>
      <c r="DO35"/>
      <c r="DP35"/>
      <c r="DQ35"/>
      <c r="DS35"/>
      <c r="DT35"/>
    </row>
    <row r="36" spans="34:124" ht="15.6" x14ac:dyDescent="0.3">
      <c r="AP36"/>
      <c r="AQ36"/>
      <c r="AT36"/>
      <c r="AU36"/>
      <c r="AX36"/>
      <c r="AY36"/>
      <c r="BB36"/>
      <c r="BC36"/>
      <c r="BJ36"/>
      <c r="BK36"/>
      <c r="BT36"/>
      <c r="BU36"/>
      <c r="CF36" s="46" t="s">
        <v>62</v>
      </c>
      <c r="CG36" s="50">
        <v>832000000</v>
      </c>
      <c r="CJ36"/>
      <c r="CK36"/>
      <c r="CZ36"/>
      <c r="DA36"/>
      <c r="DG36"/>
      <c r="DH36"/>
      <c r="DI36"/>
      <c r="DJ36"/>
      <c r="DK36"/>
      <c r="DL36"/>
      <c r="DO36"/>
      <c r="DP36"/>
      <c r="DQ36"/>
      <c r="DS36"/>
      <c r="DT36"/>
    </row>
    <row r="37" spans="34:124" ht="15.6" x14ac:dyDescent="0.3">
      <c r="AP37"/>
      <c r="AQ37"/>
      <c r="AT37"/>
      <c r="AU37"/>
      <c r="AX37"/>
      <c r="AY37"/>
      <c r="BB37"/>
      <c r="BC37"/>
      <c r="BJ37"/>
      <c r="BK37"/>
      <c r="BT37"/>
      <c r="BU37"/>
      <c r="CF37" s="46" t="s">
        <v>66</v>
      </c>
      <c r="CG37" s="50">
        <v>650000000</v>
      </c>
      <c r="CJ37"/>
      <c r="CK37"/>
      <c r="CZ37"/>
      <c r="DA37"/>
      <c r="DG37"/>
      <c r="DH37"/>
      <c r="DO37"/>
      <c r="DP37"/>
      <c r="DS37"/>
      <c r="DT37"/>
    </row>
    <row r="38" spans="34:124" ht="15.6" x14ac:dyDescent="0.3">
      <c r="AP38"/>
      <c r="AQ38"/>
      <c r="AT38"/>
      <c r="AU38"/>
      <c r="AX38"/>
      <c r="AY38"/>
      <c r="BB38"/>
      <c r="BC38"/>
      <c r="BJ38"/>
      <c r="BK38"/>
      <c r="BT38"/>
      <c r="BU38"/>
      <c r="CF38" s="46" t="s">
        <v>71</v>
      </c>
      <c r="CG38" s="50">
        <v>411000000</v>
      </c>
      <c r="CJ38"/>
      <c r="CK38"/>
      <c r="CZ38"/>
      <c r="DA38"/>
      <c r="DG38"/>
      <c r="DH38"/>
      <c r="DO38"/>
      <c r="DP38"/>
      <c r="DS38"/>
      <c r="DT38"/>
    </row>
    <row r="39" spans="34:124" ht="15.6" x14ac:dyDescent="0.3">
      <c r="AP39"/>
      <c r="AQ39"/>
      <c r="AT39"/>
      <c r="AU39"/>
      <c r="AX39"/>
      <c r="AY39"/>
      <c r="BB39"/>
      <c r="BC39"/>
      <c r="BJ39"/>
      <c r="BK39"/>
      <c r="BT39"/>
      <c r="BU39"/>
      <c r="CF39" s="46" t="s">
        <v>34</v>
      </c>
      <c r="CG39" s="50">
        <v>379000000</v>
      </c>
      <c r="CJ39"/>
      <c r="CK39"/>
      <c r="CZ39"/>
      <c r="DA39"/>
      <c r="DG39"/>
      <c r="DH39"/>
      <c r="DO39"/>
      <c r="DP39"/>
      <c r="DS39"/>
      <c r="DT39"/>
    </row>
    <row r="40" spans="34:124" ht="15.6" x14ac:dyDescent="0.3">
      <c r="AP40"/>
      <c r="AQ40"/>
      <c r="AT40"/>
      <c r="AU40"/>
      <c r="AX40"/>
      <c r="AY40"/>
      <c r="BB40"/>
      <c r="BC40"/>
      <c r="BJ40"/>
      <c r="BK40"/>
      <c r="BT40"/>
      <c r="BU40"/>
      <c r="CF40" s="46" t="s">
        <v>75</v>
      </c>
      <c r="CG40" s="50">
        <v>332000000</v>
      </c>
      <c r="CJ40"/>
      <c r="CK40"/>
      <c r="CZ40"/>
      <c r="DA40"/>
      <c r="DG40"/>
      <c r="DH40"/>
      <c r="DO40"/>
      <c r="DP40"/>
      <c r="DS40"/>
      <c r="DT40"/>
    </row>
    <row r="41" spans="34:124" ht="15.6" x14ac:dyDescent="0.3">
      <c r="AP41"/>
      <c r="AQ41"/>
      <c r="AT41"/>
      <c r="AU41"/>
      <c r="AX41"/>
      <c r="AY41"/>
      <c r="BB41"/>
      <c r="BC41"/>
      <c r="BJ41"/>
      <c r="BK41"/>
      <c r="BT41"/>
      <c r="BU41"/>
      <c r="CF41" s="55" t="s">
        <v>21</v>
      </c>
      <c r="CG41" s="56">
        <v>329000000</v>
      </c>
      <c r="CJ41"/>
      <c r="CK41"/>
      <c r="CZ41"/>
      <c r="DA41"/>
      <c r="DG41"/>
      <c r="DH41"/>
      <c r="DO41"/>
      <c r="DP41"/>
      <c r="DS41"/>
      <c r="DT41"/>
    </row>
    <row r="42" spans="34:124" ht="15.6" x14ac:dyDescent="0.3">
      <c r="AP42"/>
      <c r="AQ42"/>
      <c r="AT42"/>
      <c r="AU42"/>
      <c r="AX42"/>
      <c r="AY42"/>
      <c r="BB42"/>
      <c r="BC42"/>
      <c r="BJ42"/>
      <c r="BK42"/>
      <c r="BT42"/>
      <c r="BU42"/>
      <c r="DG42"/>
      <c r="DH42"/>
      <c r="DO42"/>
      <c r="DP42"/>
      <c r="DS42"/>
      <c r="DT42"/>
    </row>
    <row r="43" spans="34:124" ht="15.6" x14ac:dyDescent="0.3">
      <c r="AP43"/>
      <c r="AQ43"/>
      <c r="AT43"/>
      <c r="AU43"/>
      <c r="AX43"/>
      <c r="AY43"/>
      <c r="BB43"/>
      <c r="BC43"/>
      <c r="BJ43"/>
      <c r="BK43"/>
      <c r="BT43"/>
      <c r="BU43"/>
      <c r="CF43"/>
      <c r="CG43"/>
      <c r="CJ43"/>
      <c r="CK43"/>
      <c r="CZ43"/>
      <c r="DA43"/>
      <c r="DG43"/>
      <c r="DH43"/>
      <c r="DO43"/>
      <c r="DP43"/>
      <c r="DS43"/>
      <c r="DT43"/>
    </row>
    <row r="44" spans="34:124" ht="15.6" x14ac:dyDescent="0.3">
      <c r="AP44"/>
      <c r="AQ44"/>
      <c r="AT44"/>
      <c r="AU44"/>
      <c r="AX44"/>
      <c r="AY44"/>
      <c r="BB44"/>
      <c r="BC44"/>
      <c r="BJ44"/>
      <c r="BK44"/>
      <c r="BT44"/>
      <c r="BU44"/>
      <c r="CF44"/>
      <c r="CG44"/>
      <c r="CJ44"/>
      <c r="CK44"/>
      <c r="CZ44"/>
      <c r="DA44"/>
      <c r="DG44"/>
      <c r="DH44"/>
      <c r="DO44"/>
      <c r="DP44"/>
      <c r="DS44"/>
      <c r="DT44"/>
    </row>
    <row r="45" spans="34:124" ht="15.6" x14ac:dyDescent="0.3">
      <c r="AP45"/>
      <c r="AQ45"/>
      <c r="AT45"/>
      <c r="AU45"/>
      <c r="AX45"/>
      <c r="AY45"/>
      <c r="BB45"/>
      <c r="BC45"/>
      <c r="BJ45"/>
      <c r="BK45"/>
      <c r="BT45"/>
      <c r="BU45"/>
      <c r="CF45"/>
      <c r="CG45"/>
      <c r="CJ45"/>
      <c r="CK45"/>
      <c r="CZ45"/>
      <c r="DA45"/>
      <c r="DG45"/>
      <c r="DH45"/>
      <c r="DO45"/>
      <c r="DP45"/>
      <c r="DS45"/>
      <c r="DT45"/>
    </row>
    <row r="46" spans="34:124" ht="15.6" x14ac:dyDescent="0.3">
      <c r="AP46"/>
      <c r="AQ46"/>
      <c r="AT46"/>
      <c r="AU46"/>
      <c r="AX46"/>
      <c r="AY46"/>
      <c r="BB46"/>
      <c r="BC46"/>
      <c r="BJ46"/>
      <c r="BK46"/>
      <c r="BT46"/>
      <c r="BU46"/>
      <c r="CF46"/>
      <c r="CG46"/>
      <c r="CJ46"/>
      <c r="CK46"/>
      <c r="CZ46"/>
      <c r="DA46"/>
      <c r="DG46"/>
      <c r="DH46"/>
      <c r="DO46"/>
      <c r="DP46"/>
      <c r="DS46"/>
      <c r="DT46"/>
    </row>
    <row r="47" spans="34:124" ht="15.6" x14ac:dyDescent="0.3">
      <c r="AP47"/>
      <c r="AQ47"/>
      <c r="AT47"/>
      <c r="AU47"/>
      <c r="AX47"/>
      <c r="AY47"/>
      <c r="BB47"/>
      <c r="BC47"/>
      <c r="BJ47"/>
      <c r="BK47"/>
      <c r="BT47"/>
      <c r="BU47"/>
      <c r="CF47"/>
      <c r="CG47"/>
      <c r="CJ47"/>
      <c r="CK47"/>
      <c r="CZ47"/>
      <c r="DA47"/>
      <c r="DG47"/>
      <c r="DH47"/>
      <c r="DO47"/>
      <c r="DP47"/>
      <c r="DS47"/>
      <c r="DT47"/>
    </row>
    <row r="48" spans="34:124" ht="15.6" x14ac:dyDescent="0.3">
      <c r="AP48"/>
      <c r="AQ48"/>
      <c r="AT48"/>
      <c r="AU48"/>
      <c r="AX48"/>
      <c r="AY48"/>
      <c r="BB48"/>
      <c r="BC48"/>
      <c r="BJ48"/>
      <c r="BK48"/>
      <c r="BT48"/>
      <c r="BU48"/>
      <c r="CF48"/>
      <c r="CG48"/>
      <c r="CJ48"/>
      <c r="CK48"/>
      <c r="CZ48"/>
      <c r="DA48"/>
      <c r="DG48"/>
      <c r="DH48"/>
      <c r="DO48"/>
      <c r="DP48"/>
      <c r="DS48"/>
      <c r="DT48"/>
    </row>
    <row r="49" spans="50:124" ht="15.6" x14ac:dyDescent="0.3">
      <c r="AX49"/>
      <c r="BB49"/>
      <c r="BJ49"/>
      <c r="BT49"/>
      <c r="CF49"/>
      <c r="CJ49"/>
      <c r="CZ49"/>
      <c r="DG49"/>
      <c r="DH49"/>
      <c r="DO49"/>
      <c r="DP49"/>
      <c r="DS49"/>
      <c r="DT49"/>
    </row>
    <row r="50" spans="50:124" ht="15.6" x14ac:dyDescent="0.3">
      <c r="AX50"/>
      <c r="BB50"/>
      <c r="BJ50"/>
      <c r="BT50"/>
      <c r="CF50"/>
      <c r="CJ50"/>
      <c r="CZ50"/>
      <c r="DG50"/>
      <c r="DH50"/>
      <c r="DO50"/>
      <c r="DP50"/>
      <c r="DS50"/>
      <c r="DT50"/>
    </row>
    <row r="51" spans="50:124" ht="15.6" x14ac:dyDescent="0.3">
      <c r="AX51"/>
      <c r="BB51"/>
      <c r="BJ51"/>
      <c r="BT51"/>
      <c r="CF51"/>
      <c r="CJ51"/>
      <c r="CZ51"/>
      <c r="DG51"/>
      <c r="DH51"/>
      <c r="DO51"/>
      <c r="DP51"/>
      <c r="DS51"/>
      <c r="DT51"/>
    </row>
    <row r="52" spans="50:124" ht="15.6" x14ac:dyDescent="0.3">
      <c r="AX52"/>
      <c r="BB52"/>
      <c r="BJ52"/>
      <c r="BT52"/>
      <c r="CF52"/>
      <c r="CJ52"/>
      <c r="CZ52"/>
      <c r="DG52"/>
      <c r="DH52"/>
      <c r="DO52"/>
      <c r="DP52"/>
      <c r="DS52"/>
      <c r="DT52"/>
    </row>
    <row r="53" spans="50:124" ht="15.6" x14ac:dyDescent="0.3">
      <c r="AX53"/>
      <c r="BB53"/>
      <c r="BJ53"/>
      <c r="BT53"/>
      <c r="CF53"/>
      <c r="CJ53"/>
      <c r="CZ53"/>
      <c r="DG53"/>
      <c r="DH53"/>
      <c r="DO53"/>
      <c r="DP53"/>
      <c r="DS53"/>
      <c r="DT53"/>
    </row>
    <row r="54" spans="50:124" ht="15.6" x14ac:dyDescent="0.3">
      <c r="AX54"/>
      <c r="BB54"/>
      <c r="BJ54"/>
      <c r="BT54"/>
      <c r="CF54"/>
      <c r="CJ54"/>
      <c r="CZ54"/>
      <c r="DG54"/>
      <c r="DH54"/>
      <c r="DO54"/>
      <c r="DP54"/>
      <c r="DS54"/>
      <c r="DT54"/>
    </row>
    <row r="55" spans="50:124" ht="15.6" x14ac:dyDescent="0.3">
      <c r="AX55"/>
      <c r="BB55"/>
      <c r="BJ55"/>
      <c r="BT55"/>
      <c r="CF55"/>
      <c r="CJ55"/>
      <c r="CZ55"/>
      <c r="DG55"/>
      <c r="DH55"/>
      <c r="DO55"/>
      <c r="DP55"/>
      <c r="DS55"/>
      <c r="DT55"/>
    </row>
    <row r="56" spans="50:124" ht="15.6" x14ac:dyDescent="0.3">
      <c r="DG56"/>
      <c r="DH56"/>
      <c r="DO56"/>
      <c r="DP56"/>
      <c r="DS56"/>
      <c r="DT56"/>
    </row>
    <row r="57" spans="50:124" ht="15.6" x14ac:dyDescent="0.3">
      <c r="DG57"/>
      <c r="DH57"/>
      <c r="DO57"/>
      <c r="DP57"/>
      <c r="DS57"/>
      <c r="DT57"/>
    </row>
    <row r="58" spans="50:124" ht="15.6" x14ac:dyDescent="0.3">
      <c r="DG58"/>
      <c r="DH58"/>
      <c r="DO58"/>
      <c r="DP58"/>
      <c r="DS58"/>
      <c r="DT58"/>
    </row>
    <row r="59" spans="50:124" ht="15.6" x14ac:dyDescent="0.3">
      <c r="DG59"/>
      <c r="DH59"/>
      <c r="DO59"/>
      <c r="DP59"/>
      <c r="DS59"/>
      <c r="DT59"/>
    </row>
    <row r="60" spans="50:124" ht="15.6" x14ac:dyDescent="0.3">
      <c r="DG60"/>
      <c r="DH60"/>
      <c r="DO60"/>
      <c r="DP60"/>
      <c r="DS60"/>
      <c r="DT60"/>
    </row>
    <row r="61" spans="50:124" ht="15.6" x14ac:dyDescent="0.3">
      <c r="DG61"/>
      <c r="DH61"/>
      <c r="DO61"/>
      <c r="DP61"/>
      <c r="DS61"/>
      <c r="DT61"/>
    </row>
    <row r="62" spans="50:124" ht="15.6" x14ac:dyDescent="0.3">
      <c r="DG62"/>
      <c r="DH62"/>
      <c r="DO62"/>
      <c r="DP62"/>
      <c r="DS62"/>
      <c r="DT62"/>
    </row>
    <row r="63" spans="50:124" ht="15.6" x14ac:dyDescent="0.3">
      <c r="DG63"/>
      <c r="DH63"/>
      <c r="DO63"/>
      <c r="DP63"/>
      <c r="DS63"/>
      <c r="DT63"/>
    </row>
    <row r="64" spans="50:124" ht="15.6" x14ac:dyDescent="0.3">
      <c r="DG64"/>
      <c r="DH64"/>
      <c r="DO64"/>
      <c r="DP64"/>
      <c r="DS64"/>
      <c r="DT64"/>
    </row>
    <row r="65" spans="111:124" ht="15.6" x14ac:dyDescent="0.3">
      <c r="DG65"/>
      <c r="DH65"/>
      <c r="DO65"/>
      <c r="DP65"/>
      <c r="DS65"/>
      <c r="DT65"/>
    </row>
    <row r="66" spans="111:124" ht="15.6" x14ac:dyDescent="0.3">
      <c r="DG66"/>
      <c r="DH66"/>
      <c r="DO66"/>
      <c r="DP66"/>
      <c r="DS66"/>
      <c r="DT66"/>
    </row>
    <row r="67" spans="111:124" ht="15.6" x14ac:dyDescent="0.3">
      <c r="DG67"/>
      <c r="DH67"/>
      <c r="DO67"/>
      <c r="DP67"/>
      <c r="DS67"/>
      <c r="DT67"/>
    </row>
    <row r="68" spans="111:124" ht="15.6" x14ac:dyDescent="0.3">
      <c r="DG68"/>
      <c r="DH68"/>
      <c r="DO68"/>
      <c r="DP68"/>
      <c r="DS68"/>
      <c r="DT68"/>
    </row>
    <row r="69" spans="111:124" ht="15.6" x14ac:dyDescent="0.3">
      <c r="DG69"/>
      <c r="DH69"/>
      <c r="DO69"/>
      <c r="DP69"/>
      <c r="DS69"/>
      <c r="DT69"/>
    </row>
    <row r="70" spans="111:124" ht="15.6" x14ac:dyDescent="0.3">
      <c r="DG70"/>
      <c r="DH70"/>
      <c r="DO70"/>
      <c r="DP70"/>
      <c r="DS70"/>
      <c r="DT70"/>
    </row>
    <row r="71" spans="111:124" ht="15.6" x14ac:dyDescent="0.3">
      <c r="DG71"/>
      <c r="DH71"/>
      <c r="DO71"/>
      <c r="DP71"/>
      <c r="DS71"/>
      <c r="DT71"/>
    </row>
    <row r="72" spans="111:124" ht="15.6" x14ac:dyDescent="0.3">
      <c r="DG72"/>
      <c r="DH72"/>
      <c r="DO72"/>
      <c r="DP72"/>
      <c r="DS72"/>
      <c r="DT72"/>
    </row>
    <row r="73" spans="111:124" ht="15.6" x14ac:dyDescent="0.3">
      <c r="DG73"/>
      <c r="DH73"/>
      <c r="DO73"/>
      <c r="DP73"/>
      <c r="DS73"/>
      <c r="DT73"/>
    </row>
    <row r="74" spans="111:124" ht="15.6" x14ac:dyDescent="0.3">
      <c r="DG74"/>
      <c r="DH74"/>
      <c r="DO74"/>
      <c r="DP74"/>
      <c r="DS74"/>
      <c r="DT74"/>
    </row>
    <row r="75" spans="111:124" ht="15.6" x14ac:dyDescent="0.3">
      <c r="DG75"/>
      <c r="DH75"/>
      <c r="DO75"/>
      <c r="DP75"/>
      <c r="DS75"/>
      <c r="DT75"/>
    </row>
    <row r="76" spans="111:124" ht="15.6" x14ac:dyDescent="0.3">
      <c r="DG76"/>
      <c r="DH76"/>
      <c r="DO76"/>
      <c r="DP76"/>
      <c r="DS76"/>
      <c r="DT76"/>
    </row>
    <row r="77" spans="111:124" ht="15.6" x14ac:dyDescent="0.3">
      <c r="DG77"/>
      <c r="DH77"/>
      <c r="DO77"/>
      <c r="DP77"/>
      <c r="DS77"/>
      <c r="DT77"/>
    </row>
    <row r="78" spans="111:124" ht="15.6" x14ac:dyDescent="0.3">
      <c r="DG78"/>
      <c r="DH78"/>
      <c r="DO78"/>
      <c r="DP78"/>
      <c r="DS78"/>
      <c r="DT78"/>
    </row>
    <row r="79" spans="111:124" ht="15.6" x14ac:dyDescent="0.3">
      <c r="DG79"/>
      <c r="DH79"/>
      <c r="DO79"/>
      <c r="DP79"/>
      <c r="DS79"/>
      <c r="DT79"/>
    </row>
    <row r="80" spans="111:124" ht="15.6" x14ac:dyDescent="0.3">
      <c r="DG80"/>
      <c r="DH80"/>
      <c r="DO80"/>
      <c r="DP80"/>
      <c r="DS80"/>
      <c r="DT80"/>
    </row>
    <row r="81" spans="111:124" ht="15.6" x14ac:dyDescent="0.3">
      <c r="DG81"/>
      <c r="DH81"/>
      <c r="DO81"/>
      <c r="DP81"/>
      <c r="DS81"/>
      <c r="DT81"/>
    </row>
    <row r="82" spans="111:124" ht="15.6" x14ac:dyDescent="0.3">
      <c r="DG82"/>
      <c r="DH82"/>
      <c r="DO82"/>
      <c r="DP82"/>
      <c r="DS82"/>
      <c r="DT82"/>
    </row>
    <row r="83" spans="111:124" ht="15.6" x14ac:dyDescent="0.3">
      <c r="DG83"/>
      <c r="DH83"/>
      <c r="DO83"/>
      <c r="DP83"/>
      <c r="DS83"/>
      <c r="DT83"/>
    </row>
    <row r="84" spans="111:124" ht="15.6" x14ac:dyDescent="0.3">
      <c r="DG84"/>
      <c r="DH84"/>
      <c r="DO84"/>
      <c r="DP84"/>
      <c r="DS84"/>
      <c r="DT84"/>
    </row>
    <row r="85" spans="111:124" ht="15.6" x14ac:dyDescent="0.3">
      <c r="DG85"/>
      <c r="DH85"/>
      <c r="DO85"/>
      <c r="DP85"/>
      <c r="DS85"/>
      <c r="DT85"/>
    </row>
    <row r="86" spans="111:124" ht="15.6" x14ac:dyDescent="0.3">
      <c r="DG86"/>
      <c r="DH86"/>
      <c r="DO86"/>
      <c r="DP86"/>
      <c r="DS86"/>
      <c r="DT86"/>
    </row>
    <row r="87" spans="111:124" ht="15.6" x14ac:dyDescent="0.3">
      <c r="DG87"/>
      <c r="DH87"/>
      <c r="DO87"/>
      <c r="DP87"/>
      <c r="DS87"/>
      <c r="DT87"/>
    </row>
    <row r="88" spans="111:124" ht="15.6" x14ac:dyDescent="0.3">
      <c r="DG88"/>
      <c r="DH88"/>
      <c r="DO88"/>
      <c r="DP88"/>
      <c r="DS88"/>
      <c r="DT88"/>
    </row>
    <row r="89" spans="111:124" ht="15.6" x14ac:dyDescent="0.3">
      <c r="DG89"/>
      <c r="DH89"/>
      <c r="DO89"/>
      <c r="DP89"/>
      <c r="DS89"/>
      <c r="DT89"/>
    </row>
    <row r="90" spans="111:124" ht="15.6" x14ac:dyDescent="0.3">
      <c r="DG90"/>
      <c r="DH90"/>
      <c r="DO90"/>
      <c r="DP90"/>
      <c r="DS90"/>
      <c r="DT90"/>
    </row>
    <row r="91" spans="111:124" ht="15.6" x14ac:dyDescent="0.3">
      <c r="DG91"/>
      <c r="DH91"/>
      <c r="DO91"/>
      <c r="DP91"/>
      <c r="DS91"/>
      <c r="DT91"/>
    </row>
    <row r="92" spans="111:124" ht="15.6" x14ac:dyDescent="0.3">
      <c r="DG92"/>
      <c r="DH92"/>
      <c r="DO92"/>
      <c r="DP92"/>
      <c r="DS92"/>
      <c r="DT92"/>
    </row>
  </sheetData>
  <autoFilter ref="BY4:BZ9" xr:uid="{C49FC4E9-35DF-46C8-A9CB-5643FECD0C91}">
    <sortState xmlns:xlrd2="http://schemas.microsoft.com/office/spreadsheetml/2017/richdata2" ref="BY5:BZ9">
      <sortCondition descending="1" ref="BZ4:BZ9"/>
    </sortState>
  </autoFilter>
  <sortState xmlns:xlrd2="http://schemas.microsoft.com/office/spreadsheetml/2017/richdata2" ref="CF26:CG42">
    <sortCondition descending="1" ref="CG26:CG42"/>
  </sortState>
  <pageMargins left="0.7" right="0.7" top="0.75" bottom="0.75" header="0.3" footer="0.3"/>
  <pageSetup orientation="portrait" horizontalDpi="200" verticalDpi="200" r:id="rId23"/>
  <drawing r:id="rId24"/>
  <extLst>
    <ext xmlns:x14="http://schemas.microsoft.com/office/spreadsheetml/2009/9/main" uri="{A8765BA9-456A-4dab-B4F3-ACF838C121DE}">
      <x14:slicerList>
        <x14:slicer r:id="rId2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F2C0C-59CA-4F58-A505-7F2EDE6A4238}">
  <sheetPr>
    <tabColor rgb="FF7030A0"/>
  </sheetPr>
  <dimension ref="A1"/>
  <sheetViews>
    <sheetView tabSelected="1" zoomScaleNormal="100" workbookViewId="0">
      <selection activeCell="B41" sqref="B41"/>
    </sheetView>
  </sheetViews>
  <sheetFormatPr defaultColWidth="9" defaultRowHeight="15.6" x14ac:dyDescent="0.3"/>
  <cols>
    <col min="1" max="16384" width="9" style="19"/>
  </cols>
  <sheetData/>
  <sheetProtection sheet="1" objects="1" scenarios="1" selectLockedCells="1" pivotTables="0"/>
  <pageMargins left="0.7" right="0.7" top="0.75" bottom="0.75" header="0.3" footer="0.3"/>
  <pageSetup orientation="portrait" horizontalDpi="200" verticalDpi="2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786D-C55D-49E7-B59B-A4B7E29418FA}">
  <sheetPr>
    <tabColor theme="9" tint="-0.249977111117893"/>
  </sheetPr>
  <dimension ref="A1"/>
  <sheetViews>
    <sheetView showGridLines="0" showRowColHeaders="0" topLeftCell="A7" workbookViewId="0">
      <selection activeCell="Z6" sqref="Z6"/>
    </sheetView>
  </sheetViews>
  <sheetFormatPr defaultColWidth="9" defaultRowHeight="15.6" x14ac:dyDescent="0.3"/>
  <cols>
    <col min="1" max="16384" width="9" style="19"/>
  </cols>
  <sheetData/>
  <pageMargins left="0.7" right="0.7" top="0.75" bottom="0.75" header="0.3" footer="0.3"/>
  <pageSetup orientation="portrait" horizontalDpi="200" verticalDpi="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Database</vt:lpstr>
      <vt:lpstr>Pivot Tables</vt:lpstr>
      <vt:lpstr>Dashboard</vt:lpstr>
      <vt:lpstr>Dashboard (2)</vt:lpstr>
    </vt:vector>
  </TitlesOfParts>
  <Manager/>
  <Company>www.other-levels.com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www.other-levels.com</dc:title>
  <dc:subject/>
  <dc:creator>Sardi Irfansyah</dc:creator>
  <cp:keywords/>
  <dc:description>Copyright © 2022 Other Level's. All rights reserved
"Any illegal reproduction of this content in any form will result in immediate action against the person concerned."</dc:description>
  <cp:lastModifiedBy>Sardi Irfansyah</cp:lastModifiedBy>
  <dcterms:created xsi:type="dcterms:W3CDTF">2021-12-05T19:04:34Z</dcterms:created>
  <dcterms:modified xsi:type="dcterms:W3CDTF">2025-09-15T10:04:05Z</dcterms:modified>
  <cp:category/>
</cp:coreProperties>
</file>